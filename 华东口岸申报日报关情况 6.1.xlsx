
<file path=[Content_Types].xml><?xml version="1.0" encoding="utf-8"?>
<Types xmlns="http://schemas.openxmlformats.org/package/2006/content-types">
  <Default Extension="xml" ContentType="application/xml"/>
  <Default Extension="vml" ContentType="application/vnd.openxmlformats-officedocument.vmlDrawing"/>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1805" activeTab="1"/>
  </bookViews>
  <sheets>
    <sheet name="2026 日报关情况" sheetId="6" r:id="rId1"/>
    <sheet name="2026年异常跟踪表" sheetId="8" r:id="rId2"/>
    <sheet name="Sheet3" sheetId="4" r:id="rId3"/>
    <sheet name="2025 日报关情况" sheetId="1" r:id="rId4"/>
    <sheet name="2025年异常跟踪表" sheetId="2" r:id="rId5"/>
  </sheets>
  <externalReferences>
    <externalReference r:id="rId10"/>
  </externalReferences>
  <definedNames>
    <definedName name="_xlnm._FilterDatabase" localSheetId="1" hidden="1">'2026年异常跟踪表'!$A$1:$O$919</definedName>
    <definedName name="_xlnm._FilterDatabase" localSheetId="4" hidden="1">'2025年异常跟踪表'!$A$1:$N$801</definedName>
    <definedName name="_xlnm._FilterDatabase" localSheetId="0" hidden="1">'2026 日报关情况'!$A$1:$E$263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MIDEA</author>
  </authors>
  <commentList>
    <comment ref="B2" authorId="0">
      <text>
        <r>
          <rPr>
            <b/>
            <sz val="9"/>
            <rFont val="宋体"/>
            <charset val="134"/>
          </rPr>
          <t>1、当日截关；
2、非当日截关，但已满足申报条件：已开舱、驳船已提供出运表、仓库已出账</t>
        </r>
      </text>
    </comment>
  </commentList>
</comments>
</file>

<file path=xl/comments2.xml><?xml version="1.0" encoding="utf-8"?>
<comments xmlns="http://schemas.openxmlformats.org/spreadsheetml/2006/main">
  <authors>
    <author>MIDEA</author>
  </authors>
  <commentList>
    <comment ref="B2" authorId="0">
      <text>
        <r>
          <rPr>
            <b/>
            <sz val="9"/>
            <rFont val="宋体"/>
            <charset val="134"/>
          </rPr>
          <t>1、当日截关；
2、非当日截关，但已满足申报条件：已开舱、驳船已提供出运表、仓库已出账</t>
        </r>
      </text>
    </comment>
  </commentList>
</comments>
</file>

<file path=xl/sharedStrings.xml><?xml version="1.0" encoding="utf-8"?>
<sst xmlns="http://schemas.openxmlformats.org/spreadsheetml/2006/main" count="16284" uniqueCount="5527">
  <si>
    <t>华东口岸申报日报关情况</t>
  </si>
  <si>
    <t>日期</t>
  </si>
  <si>
    <t>应申报总单量</t>
  </si>
  <si>
    <t>已放行单量</t>
  </si>
  <si>
    <t>审结</t>
  </si>
  <si>
    <t>未放行原因</t>
  </si>
  <si>
    <t>无</t>
  </si>
  <si>
    <r>
      <t>1票审结未放行</t>
    </r>
    <r>
      <rPr>
        <sz val="11"/>
        <color rgb="FF000000"/>
        <rFont val="微软雅黑"/>
        <charset val="134"/>
      </rPr>
      <t xml:space="preserve">
</t>
    </r>
    <r>
      <rPr>
        <sz val="11"/>
        <color rgb="FF000000"/>
        <rFont val="微软雅黑"/>
        <charset val="134"/>
      </rPr>
      <t>查验：</t>
    </r>
    <r>
      <rPr>
        <sz val="11"/>
        <color rgb="FF000000"/>
        <rFont val="微软雅黑"/>
        <charset val="134"/>
      </rPr>
      <t xml:space="preserve">
</t>
    </r>
    <r>
      <rPr>
        <sz val="11"/>
        <color rgb="FF000000"/>
        <rFont val="微软雅黑"/>
        <charset val="134"/>
      </rPr>
      <t>WT184V40622 详见异常跟踪表</t>
    </r>
  </si>
  <si>
    <r>
      <t>1票审结未放行</t>
    </r>
    <r>
      <rPr>
        <sz val="11"/>
        <color rgb="FF000000"/>
        <rFont val="微软雅黑"/>
        <charset val="134"/>
      </rPr>
      <t xml:space="preserve">
</t>
    </r>
    <r>
      <rPr>
        <sz val="11"/>
        <color rgb="FF000000"/>
        <rFont val="微软雅黑"/>
        <charset val="134"/>
      </rPr>
      <t>公路：</t>
    </r>
    <r>
      <rPr>
        <sz val="11"/>
        <color rgb="FF000000"/>
        <rFont val="微软雅黑"/>
        <charset val="134"/>
      </rPr>
      <t xml:space="preserve">
</t>
    </r>
    <r>
      <rPr>
        <sz val="11"/>
        <color rgb="FF000000"/>
        <rFont val="微软雅黑"/>
        <charset val="134"/>
      </rPr>
      <t>XM0026P337 未过境</t>
    </r>
  </si>
  <si>
    <r>
      <t xml:space="preserve">23票审结未放行 </t>
    </r>
    <r>
      <rPr>
        <sz val="11"/>
        <color rgb="FF000000"/>
        <rFont val="微软雅黑"/>
        <charset val="134"/>
      </rPr>
      <t xml:space="preserve">
</t>
    </r>
    <r>
      <rPr>
        <sz val="11"/>
        <color rgb="FF000000"/>
        <rFont val="微软雅黑"/>
        <charset val="134"/>
      </rPr>
      <t xml:space="preserve">空运： </t>
    </r>
    <r>
      <rPr>
        <sz val="11"/>
        <color rgb="FF000000"/>
        <rFont val="微软雅黑"/>
        <charset val="134"/>
      </rPr>
      <t xml:space="preserve">
</t>
    </r>
    <r>
      <rPr>
        <sz val="11"/>
        <color rgb="FF000000"/>
        <rFont val="微软雅黑"/>
        <charset val="134"/>
      </rPr>
      <t>48820767983_YJD26060056 未进仓</t>
    </r>
    <r>
      <rPr>
        <sz val="11"/>
        <color rgb="FF000000"/>
        <rFont val="微软雅黑"/>
        <charset val="134"/>
      </rPr>
      <t xml:space="preserve">
</t>
    </r>
    <r>
      <rPr>
        <sz val="11"/>
        <color rgb="FF000000"/>
        <rFont val="微软雅黑"/>
        <charset val="134"/>
      </rPr>
      <t xml:space="preserve">驳船： </t>
    </r>
    <r>
      <rPr>
        <sz val="11"/>
        <color rgb="FF000000"/>
        <rFont val="微软雅黑"/>
        <charset val="134"/>
      </rPr>
      <t xml:space="preserve">
</t>
    </r>
    <r>
      <rPr>
        <sz val="11"/>
        <color rgb="FF000000"/>
        <rFont val="微软雅黑"/>
        <charset val="134"/>
      </rPr>
      <t>NOSNJ26HF47273 箱状态显示异常 海关人工放行</t>
    </r>
    <r>
      <rPr>
        <sz val="11"/>
        <color rgb="FF000000"/>
        <rFont val="微软雅黑"/>
        <charset val="134"/>
      </rPr>
      <t xml:space="preserve">
</t>
    </r>
    <r>
      <rPr>
        <sz val="11"/>
        <color rgb="FF000000"/>
        <rFont val="微软雅黑"/>
        <charset val="134"/>
      </rPr>
      <t>ONEYNKGG10512300A 电机</t>
    </r>
    <r>
      <rPr>
        <sz val="11"/>
        <color rgb="FF000000"/>
        <rFont val="微软雅黑"/>
        <charset val="134"/>
      </rPr>
      <t xml:space="preserve"> </t>
    </r>
    <r>
      <rPr>
        <sz val="11"/>
        <color rgb="FF000000"/>
        <rFont val="微软雅黑"/>
        <charset val="134"/>
      </rPr>
      <t>需人工审单</t>
    </r>
    <r>
      <rPr>
        <sz val="11"/>
        <color rgb="FF000000"/>
        <rFont val="微软雅黑"/>
        <charset val="134"/>
      </rPr>
      <t xml:space="preserve">
</t>
    </r>
    <r>
      <rPr>
        <sz val="11"/>
        <color rgb="FF000000"/>
        <rFont val="微软雅黑"/>
        <charset val="134"/>
      </rPr>
      <t>SNLGZGJL007469 未预配</t>
    </r>
    <r>
      <rPr>
        <sz val="11"/>
        <color rgb="FF000000"/>
        <rFont val="微软雅黑"/>
        <charset val="134"/>
      </rPr>
      <t xml:space="preserve">
</t>
    </r>
    <r>
      <rPr>
        <sz val="11"/>
        <color rgb="FF000000"/>
        <rFont val="微软雅黑"/>
        <charset val="134"/>
      </rPr>
      <t>OOLU232974754002 电机</t>
    </r>
    <r>
      <rPr>
        <sz val="11"/>
        <color rgb="FF000000"/>
        <rFont val="微软雅黑"/>
        <charset val="134"/>
      </rPr>
      <t xml:space="preserve"> </t>
    </r>
    <r>
      <rPr>
        <sz val="11"/>
        <color rgb="FF000000"/>
        <rFont val="微软雅黑"/>
        <charset val="134"/>
      </rPr>
      <t>需人工审单</t>
    </r>
    <r>
      <rPr>
        <sz val="11"/>
        <color rgb="FF000000"/>
        <rFont val="微软雅黑"/>
        <charset val="134"/>
      </rPr>
      <t xml:space="preserve">
</t>
    </r>
    <r>
      <rPr>
        <sz val="11"/>
        <color rgb="FF000000"/>
        <rFont val="微软雅黑"/>
        <charset val="134"/>
      </rPr>
      <t>JNG0325696 许可证</t>
    </r>
    <r>
      <rPr>
        <sz val="11"/>
        <color rgb="FF000000"/>
        <rFont val="微软雅黑"/>
        <charset val="134"/>
      </rPr>
      <t xml:space="preserve"> </t>
    </r>
    <r>
      <rPr>
        <sz val="11"/>
        <color rgb="FF000000"/>
        <rFont val="微软雅黑"/>
        <charset val="134"/>
      </rPr>
      <t>需人工审单</t>
    </r>
    <r>
      <rPr>
        <sz val="11"/>
        <color rgb="FF000000"/>
        <rFont val="微软雅黑"/>
        <charset val="134"/>
      </rPr>
      <t xml:space="preserve">
</t>
    </r>
    <r>
      <rPr>
        <sz val="11"/>
        <color rgb="FF000000"/>
        <rFont val="微软雅黑"/>
        <charset val="134"/>
      </rPr>
      <t xml:space="preserve">大船： </t>
    </r>
    <r>
      <rPr>
        <sz val="11"/>
        <color rgb="FF000000"/>
        <rFont val="微软雅黑"/>
        <charset val="134"/>
      </rPr>
      <t xml:space="preserve">
</t>
    </r>
    <r>
      <rPr>
        <sz val="11"/>
        <color rgb="FF000000"/>
        <rFont val="微软雅黑"/>
        <charset val="134"/>
      </rPr>
      <t>CPL0459001 未进港</t>
    </r>
    <r>
      <rPr>
        <sz val="11"/>
        <color rgb="FF000000"/>
        <rFont val="微软雅黑"/>
        <charset val="134"/>
      </rPr>
      <t xml:space="preserve">
</t>
    </r>
    <r>
      <rPr>
        <sz val="11"/>
        <color rgb="FF000000"/>
        <rFont val="微软雅黑"/>
        <charset val="134"/>
      </rPr>
      <t>177BDFDFS409353 未进港</t>
    </r>
    <r>
      <rPr>
        <sz val="11"/>
        <color rgb="FF000000"/>
        <rFont val="微软雅黑"/>
        <charset val="134"/>
      </rPr>
      <t xml:space="preserve">
</t>
    </r>
    <r>
      <rPr>
        <sz val="11"/>
        <color rgb="FF000000"/>
        <rFont val="微软雅黑"/>
        <charset val="134"/>
      </rPr>
      <t xml:space="preserve">公路： </t>
    </r>
    <r>
      <rPr>
        <sz val="11"/>
        <color rgb="FF000000"/>
        <rFont val="微软雅黑"/>
        <charset val="134"/>
      </rPr>
      <t xml:space="preserve">
</t>
    </r>
    <r>
      <rPr>
        <sz val="11"/>
        <color rgb="FF000000"/>
        <rFont val="微软雅黑"/>
        <charset val="134"/>
      </rPr>
      <t>T262694590 未过境</t>
    </r>
    <r>
      <rPr>
        <sz val="11"/>
        <color rgb="FF000000"/>
        <rFont val="微软雅黑"/>
        <charset val="134"/>
      </rPr>
      <t xml:space="preserve">
</t>
    </r>
    <r>
      <rPr>
        <sz val="11"/>
        <color rgb="FF000000"/>
        <rFont val="微软雅黑"/>
        <charset val="134"/>
      </rPr>
      <t>2865404956 未过境</t>
    </r>
    <r>
      <rPr>
        <sz val="11"/>
        <color rgb="FF000000"/>
        <rFont val="微软雅黑"/>
        <charset val="134"/>
      </rPr>
      <t xml:space="preserve">
</t>
    </r>
    <r>
      <rPr>
        <sz val="11"/>
        <color rgb="FF000000"/>
        <rFont val="微软雅黑"/>
        <charset val="134"/>
      </rPr>
      <t>Y262693127 未过境</t>
    </r>
    <r>
      <rPr>
        <sz val="11"/>
        <color rgb="FF000000"/>
        <rFont val="微软雅黑"/>
        <charset val="134"/>
      </rPr>
      <t xml:space="preserve">
</t>
    </r>
    <r>
      <rPr>
        <sz val="11"/>
        <color rgb="FF000000"/>
        <rFont val="微软雅黑"/>
        <charset val="134"/>
      </rPr>
      <t>T262696816 未过境</t>
    </r>
    <r>
      <rPr>
        <sz val="11"/>
        <color rgb="FF000000"/>
        <rFont val="微软雅黑"/>
        <charset val="134"/>
      </rPr>
      <t xml:space="preserve">
</t>
    </r>
    <r>
      <rPr>
        <sz val="11"/>
        <color rgb="FF000000"/>
        <rFont val="微软雅黑"/>
        <charset val="134"/>
      </rPr>
      <t>T262693987 未过境</t>
    </r>
    <r>
      <rPr>
        <sz val="11"/>
        <color rgb="FF000000"/>
        <rFont val="微软雅黑"/>
        <charset val="134"/>
      </rPr>
      <t xml:space="preserve">
</t>
    </r>
    <r>
      <rPr>
        <sz val="11"/>
        <color rgb="FF000000"/>
        <rFont val="微软雅黑"/>
        <charset val="134"/>
      </rPr>
      <t>XM0026W323 未过境</t>
    </r>
    <r>
      <rPr>
        <sz val="11"/>
        <color rgb="FF000000"/>
        <rFont val="微软雅黑"/>
        <charset val="134"/>
      </rPr>
      <t xml:space="preserve">
</t>
    </r>
    <r>
      <rPr>
        <sz val="11"/>
        <color rgb="FF000000"/>
        <rFont val="微软雅黑"/>
        <charset val="134"/>
      </rPr>
      <t>XM0026W324 未过境</t>
    </r>
    <r>
      <rPr>
        <sz val="11"/>
        <color rgb="FF000000"/>
        <rFont val="微软雅黑"/>
        <charset val="134"/>
      </rPr>
      <t xml:space="preserve">
</t>
    </r>
    <r>
      <rPr>
        <sz val="11"/>
        <color rgb="FF000000"/>
        <rFont val="微软雅黑"/>
        <charset val="134"/>
      </rPr>
      <t>XM0024T2041 未过境</t>
    </r>
    <r>
      <rPr>
        <sz val="11"/>
        <color rgb="FF000000"/>
        <rFont val="微软雅黑"/>
        <charset val="134"/>
      </rPr>
      <t xml:space="preserve">
</t>
    </r>
    <r>
      <rPr>
        <sz val="11"/>
        <color rgb="FF000000"/>
        <rFont val="微软雅黑"/>
        <charset val="134"/>
      </rPr>
      <t>XM0024T2040 未过境</t>
    </r>
    <r>
      <rPr>
        <sz val="11"/>
        <color rgb="FF000000"/>
        <rFont val="微软雅黑"/>
        <charset val="134"/>
      </rPr>
      <t xml:space="preserve">
</t>
    </r>
    <r>
      <rPr>
        <sz val="11"/>
        <color rgb="FF000000"/>
        <rFont val="微软雅黑"/>
        <charset val="134"/>
      </rPr>
      <t xml:space="preserve">查验 </t>
    </r>
    <r>
      <rPr>
        <sz val="11"/>
        <color rgb="FF000000"/>
        <rFont val="微软雅黑"/>
        <charset val="134"/>
      </rPr>
      <t xml:space="preserve">
</t>
    </r>
    <r>
      <rPr>
        <sz val="11"/>
        <color rgb="FF000000"/>
        <rFont val="微软雅黑"/>
        <charset val="134"/>
      </rPr>
      <t xml:space="preserve">JNG0324223B </t>
    </r>
    <r>
      <rPr>
        <sz val="11"/>
        <color rgb="FF000000"/>
        <rFont val="微软雅黑"/>
        <charset val="134"/>
      </rPr>
      <t xml:space="preserve">
</t>
    </r>
    <r>
      <rPr>
        <sz val="11"/>
        <color rgb="FF000000"/>
        <rFont val="微软雅黑"/>
        <charset val="134"/>
      </rPr>
      <t xml:space="preserve">CAJ0166801 </t>
    </r>
    <r>
      <rPr>
        <sz val="11"/>
        <color rgb="FF000000"/>
        <rFont val="微软雅黑"/>
        <charset val="134"/>
      </rPr>
      <t xml:space="preserve">
</t>
    </r>
    <r>
      <rPr>
        <sz val="11"/>
        <color rgb="FF000000"/>
        <rFont val="微软雅黑"/>
        <charset val="134"/>
      </rPr>
      <t xml:space="preserve">EGLV145699724616 </t>
    </r>
    <r>
      <rPr>
        <sz val="11"/>
        <color rgb="FF000000"/>
        <rFont val="微软雅黑"/>
        <charset val="134"/>
      </rPr>
      <t xml:space="preserve">
</t>
    </r>
    <r>
      <rPr>
        <sz val="11"/>
        <color rgb="FF000000"/>
        <rFont val="微软雅黑"/>
        <charset val="134"/>
      </rPr>
      <t xml:space="preserve">OOLU2328828950 </t>
    </r>
    <r>
      <rPr>
        <sz val="11"/>
        <color rgb="FF000000"/>
        <rFont val="微软雅黑"/>
        <charset val="134"/>
      </rPr>
      <t xml:space="preserve">
</t>
    </r>
    <r>
      <rPr>
        <sz val="11"/>
        <color rgb="FF000000"/>
        <rFont val="微软雅黑"/>
        <charset val="134"/>
      </rPr>
      <t xml:space="preserve">JNG0323725 </t>
    </r>
    <r>
      <rPr>
        <sz val="11"/>
        <color rgb="FF000000"/>
        <rFont val="微软雅黑"/>
        <charset val="134"/>
      </rPr>
      <t xml:space="preserve">
</t>
    </r>
    <r>
      <rPr>
        <sz val="11"/>
        <color rgb="FF000000"/>
        <rFont val="微软雅黑"/>
        <charset val="134"/>
      </rPr>
      <t>EGLV145699209355</t>
    </r>
  </si>
  <si>
    <t>序号</t>
  </si>
  <si>
    <t>发生/发现日期</t>
  </si>
  <si>
    <t>异常类别</t>
  </si>
  <si>
    <t>事业部</t>
  </si>
  <si>
    <t>经营单位</t>
  </si>
  <si>
    <t>进出口</t>
  </si>
  <si>
    <t>报关单号</t>
  </si>
  <si>
    <t>提运单号</t>
  </si>
  <si>
    <t>柜号</t>
  </si>
  <si>
    <t>异常描述</t>
  </si>
  <si>
    <t>责任方</t>
  </si>
  <si>
    <t>异常费用</t>
  </si>
  <si>
    <t>处理进度</t>
  </si>
  <si>
    <t>闭环情况</t>
  </si>
  <si>
    <t>代理</t>
  </si>
  <si>
    <t>删改单</t>
  </si>
  <si>
    <t>洗衣机</t>
  </si>
  <si>
    <t>无锡小天鹅电器有限公司</t>
  </si>
  <si>
    <t>出口</t>
  </si>
  <si>
    <t>232720250275766368</t>
  </si>
  <si>
    <t>TLTCLCJU25151010</t>
  </si>
  <si>
    <t>12.30放行，含钢铁制品，运抵后申报，需改单</t>
  </si>
  <si>
    <t>海关系统</t>
  </si>
  <si>
    <t>1.4申请改单，上传在场证明，修改备注栏，已完成改单</t>
  </si>
  <si>
    <t>已闭环</t>
  </si>
  <si>
    <t>合肥美的洗衣机有限公司</t>
  </si>
  <si>
    <t>230820250085795291</t>
  </si>
  <si>
    <t>TLNJLCJH26011008</t>
  </si>
  <si>
    <t>12.29申报，1.4放行，含钢铁制品，运抵前申报，需删单</t>
  </si>
  <si>
    <r>
      <t>1.4 准备删单资料，待代理更改箱状态后发起删单</t>
    </r>
    <r>
      <rPr>
        <sz val="11"/>
        <color rgb="FF000000"/>
        <rFont val="微软雅黑"/>
        <charset val="134"/>
      </rPr>
      <t xml:space="preserve">
</t>
    </r>
    <r>
      <rPr>
        <sz val="11"/>
        <color rgb="FF000000"/>
        <rFont val="微软雅黑"/>
        <charset val="134"/>
      </rPr>
      <t>1.5 发起删改单，已删单完成</t>
    </r>
  </si>
  <si>
    <t>冰箱</t>
  </si>
  <si>
    <t>合肥华凌股份有限公司</t>
  </si>
  <si>
    <t>230820250085793549</t>
  </si>
  <si>
    <t>TLNJJKJR25141025</t>
  </si>
  <si>
    <t>12.29申报放行，含钢铁制品，运抵前申报，需删单</t>
  </si>
  <si>
    <t>1.4 准备删单资料，已完成删单，代理删舱单后重报放行</t>
  </si>
  <si>
    <t>230820250085797491</t>
  </si>
  <si>
    <t>TLNJJKJR25141060</t>
  </si>
  <si>
    <t>12.31申报放行，含钢铁制品，运抵前申报，需删单</t>
  </si>
  <si>
    <t>查验</t>
  </si>
  <si>
    <t>230520260056500364</t>
  </si>
  <si>
    <t>ONEYNK5GR2775800</t>
  </si>
  <si>
    <t>1.4查验</t>
  </si>
  <si>
    <t>1.5安排查验，查验完成已放行</t>
  </si>
  <si>
    <t>230820260086500572</t>
  </si>
  <si>
    <t>COSU6439726740</t>
  </si>
  <si>
    <t>1.5安排查验，查验放行</t>
  </si>
  <si>
    <t>230520260056500000</t>
  </si>
  <si>
    <t>OOLU2318133980</t>
  </si>
  <si>
    <t>230820250085793725</t>
  </si>
  <si>
    <t>HLCUNK2251211424</t>
  </si>
  <si>
    <t>三拼票，12.29申报放行，1.4代理通知改靠区</t>
  </si>
  <si>
    <r>
      <t>1.4联系通关代表，准备改单资料</t>
    </r>
    <r>
      <rPr>
        <sz val="11"/>
        <color rgb="FF000000"/>
        <rFont val="微软雅黑"/>
        <charset val="134"/>
      </rPr>
      <t xml:space="preserve">
</t>
    </r>
    <r>
      <rPr>
        <sz val="11"/>
        <color rgb="FF000000"/>
        <rFont val="微软雅黑"/>
        <charset val="134"/>
      </rPr>
      <t>1.5 待通关代表确认后申请改单</t>
    </r>
    <r>
      <rPr>
        <sz val="11"/>
        <color rgb="FF000000"/>
        <rFont val="微软雅黑"/>
        <charset val="134"/>
      </rPr>
      <t xml:space="preserve">
</t>
    </r>
    <r>
      <rPr>
        <sz val="11"/>
        <color rgb="FF000000"/>
        <rFont val="微软雅黑"/>
        <charset val="134"/>
      </rPr>
      <t>1.6 发起改单 海关操作成功，报关单已放行</t>
    </r>
  </si>
  <si>
    <t>南京中集世联达</t>
  </si>
  <si>
    <t>230820250085793739</t>
  </si>
  <si>
    <t>HLCUNK2251232697</t>
  </si>
  <si>
    <t>230820250085793736</t>
  </si>
  <si>
    <t>HLCUNK2251232704</t>
  </si>
  <si>
    <t>其他</t>
  </si>
  <si>
    <t>楼宇</t>
  </si>
  <si>
    <t>广东美的暖通设备有限公司</t>
  </si>
  <si>
    <t>223320260000003378</t>
  </si>
  <si>
    <t>87154486725_SJH24031447</t>
  </si>
  <si>
    <t>1.1号申报审结，货物含电机，未跳准予进卡通知</t>
  </si>
  <si>
    <t>1.4现场海关申请人工准卡，代理通知变更为1.7航班</t>
  </si>
  <si>
    <t>230520260056500080</t>
  </si>
  <si>
    <t>JNG0291032</t>
  </si>
  <si>
    <t>1.3 申报审结，含电机，需人工放行</t>
  </si>
  <si>
    <t>1.4 提交海关人工接单审单，报关单已放行</t>
  </si>
  <si>
    <t>230520260056500091</t>
  </si>
  <si>
    <t>JNG0290512</t>
  </si>
  <si>
    <t>230820260086500898</t>
  </si>
  <si>
    <t>JNG0295616</t>
  </si>
  <si>
    <t>230520260056500388</t>
  </si>
  <si>
    <t>SNLGZGJL005335</t>
  </si>
  <si>
    <t>230820260086500885</t>
  </si>
  <si>
    <t>EGLV145590002012</t>
  </si>
  <si>
    <r>
      <t>1.4 申报海关放行 未码放</t>
    </r>
    <r>
      <rPr>
        <sz val="11"/>
        <color rgb="FF000000"/>
        <rFont val="微软雅黑"/>
        <charset val="134"/>
      </rPr>
      <t xml:space="preserve"> </t>
    </r>
  </si>
  <si>
    <r>
      <t>1.4 18:07 申报海关放行 未码放，反馈海关人工放行</t>
    </r>
    <r>
      <rPr>
        <sz val="11"/>
        <color rgb="FF000000"/>
        <rFont val="微软雅黑"/>
        <charset val="134"/>
      </rPr>
      <t xml:space="preserve">
</t>
    </r>
    <r>
      <rPr>
        <sz val="11"/>
        <color rgb="FF000000"/>
        <rFont val="微软雅黑"/>
        <charset val="134"/>
      </rPr>
      <t>1.5 海关反馈预配船名航次异常，代理重新发送后放行</t>
    </r>
  </si>
  <si>
    <t>230820260086500856</t>
  </si>
  <si>
    <t>JNG0292644</t>
  </si>
  <si>
    <t>1.4申报审结，1.5反查原因为美的仓库系统维护箱号错误，需改单</t>
  </si>
  <si>
    <t>美的</t>
  </si>
  <si>
    <t>1.5 准备改单资料，已改单完成</t>
  </si>
  <si>
    <t>230820260086501151</t>
  </si>
  <si>
    <t>177MJUJUJ059632W</t>
  </si>
  <si>
    <t>1.5海关挂起，补充：第二项商品的材质，是否含有稀土材料，是否涉及商务部2025第18号公告内容，书面说明</t>
  </si>
  <si>
    <t>海关挂起</t>
  </si>
  <si>
    <t>1.5 准备情况说明，报关单已放行</t>
  </si>
  <si>
    <t>223120260000053559</t>
  </si>
  <si>
    <t>1.5 查验</t>
  </si>
  <si>
    <t>1.6 安排查验，报关单放行</t>
  </si>
  <si>
    <t>230820260086500344</t>
  </si>
  <si>
    <t>JNG0294541</t>
  </si>
  <si>
    <t>1.4 申报放行，1.5 代理通知更改船名航次</t>
  </si>
  <si>
    <r>
      <t xml:space="preserve">1.5 申请更换船名航次 </t>
    </r>
    <r>
      <rPr>
        <sz val="11"/>
        <color rgb="FF000000"/>
        <rFont val="微软雅黑"/>
        <charset val="134"/>
      </rPr>
      <t xml:space="preserve">
</t>
    </r>
    <r>
      <rPr>
        <sz val="11"/>
        <color rgb="FF000000"/>
        <rFont val="微软雅黑"/>
        <charset val="134"/>
      </rPr>
      <t>1.6 海关操作成功，报关单已放行</t>
    </r>
  </si>
  <si>
    <t>南京众诚</t>
  </si>
  <si>
    <t>采购中心</t>
  </si>
  <si>
    <t>宁波美的联合物资供应有限公司</t>
  </si>
  <si>
    <t>222920250005018113</t>
  </si>
  <si>
    <t>SHSD4A536600</t>
  </si>
  <si>
    <t>12.30申报放行，含钢铁制品，申报时已上传船期等信息</t>
  </si>
  <si>
    <r>
      <t>1.5联系通关代表尽快办理出口许可证</t>
    </r>
    <r>
      <rPr>
        <sz val="11"/>
        <color rgb="FF000000"/>
        <rFont val="微软雅黑"/>
        <charset val="134"/>
      </rPr>
      <t xml:space="preserve">
</t>
    </r>
    <r>
      <rPr>
        <sz val="11"/>
        <color rgb="FF000000"/>
        <rFont val="微软雅黑"/>
        <charset val="134"/>
      </rPr>
      <t>1.6与现场海关沟通处理办法</t>
    </r>
    <r>
      <rPr>
        <sz val="11"/>
        <color rgb="FF000000"/>
        <rFont val="微软雅黑"/>
        <charset val="134"/>
      </rPr>
      <t xml:space="preserve">
</t>
    </r>
    <r>
      <rPr>
        <sz val="11"/>
        <color rgb="FF000000"/>
        <rFont val="微软雅黑"/>
        <charset val="134"/>
      </rPr>
      <t>1.12出口许可证已办好，现场联系海关处理</t>
    </r>
    <r>
      <rPr>
        <sz val="11"/>
        <color rgb="FF000000"/>
        <rFont val="微软雅黑"/>
        <charset val="134"/>
      </rPr>
      <t xml:space="preserve">
</t>
    </r>
    <r>
      <rPr>
        <sz val="11"/>
        <color rgb="FF000000"/>
        <rFont val="微软雅黑"/>
        <charset val="134"/>
      </rPr>
      <t>1.19联系通关代表出具情况说明</t>
    </r>
    <r>
      <rPr>
        <sz val="11"/>
        <color rgb="FF000000"/>
        <rFont val="微软雅黑"/>
        <charset val="134"/>
      </rPr>
      <t xml:space="preserve">
</t>
    </r>
    <r>
      <rPr>
        <sz val="11"/>
        <color rgb="FF000000"/>
        <rFont val="微软雅黑"/>
        <charset val="134"/>
      </rPr>
      <t>1.20情况说明盖章，正本寄现场</t>
    </r>
    <r>
      <rPr>
        <sz val="11"/>
        <color rgb="FF000000"/>
        <rFont val="微软雅黑"/>
        <charset val="134"/>
      </rPr>
      <t xml:space="preserve">
</t>
    </r>
    <r>
      <rPr>
        <sz val="11"/>
        <color rgb="FF000000"/>
        <rFont val="微软雅黑"/>
        <charset val="134"/>
      </rPr>
      <t>1.21情况说明交现场海关，待海关审核</t>
    </r>
    <r>
      <rPr>
        <sz val="11"/>
        <color rgb="FF000000"/>
        <rFont val="微软雅黑"/>
        <charset val="134"/>
      </rPr>
      <t xml:space="preserve">
</t>
    </r>
    <r>
      <rPr>
        <sz val="11"/>
        <color rgb="FF000000"/>
        <rFont val="微软雅黑"/>
        <charset val="134"/>
      </rPr>
      <t>1.23海关审核未通过情况说明内容，要求出具两简相关资料，待海关内部商讨后给出答复</t>
    </r>
    <r>
      <rPr>
        <sz val="11"/>
        <color rgb="FF000000"/>
        <rFont val="微软雅黑"/>
        <charset val="134"/>
      </rPr>
      <t xml:space="preserve">
</t>
    </r>
    <r>
      <rPr>
        <sz val="11"/>
        <color rgb="FF000000"/>
        <rFont val="微软雅黑"/>
        <charset val="134"/>
      </rPr>
      <t>1.26联系通关代表提供相关资料</t>
    </r>
    <r>
      <rPr>
        <sz val="11"/>
        <color rgb="FF000000"/>
        <rFont val="微软雅黑"/>
        <charset val="134"/>
      </rPr>
      <t xml:space="preserve">
</t>
    </r>
    <r>
      <rPr>
        <sz val="11"/>
        <color rgb="FF000000"/>
        <rFont val="微软雅黑"/>
        <charset val="134"/>
      </rPr>
      <t>1.30情况说明已盖章</t>
    </r>
    <r>
      <rPr>
        <sz val="11"/>
        <color rgb="FF000000"/>
        <rFont val="微软雅黑"/>
        <charset val="134"/>
      </rPr>
      <t xml:space="preserve">
</t>
    </r>
    <r>
      <rPr>
        <sz val="11"/>
        <color rgb="FF000000"/>
        <rFont val="微软雅黑"/>
        <charset val="134"/>
      </rPr>
      <t>2.2正本寄上海现场</t>
    </r>
    <r>
      <rPr>
        <sz val="11"/>
        <color rgb="FF000000"/>
        <rFont val="微软雅黑"/>
        <charset val="134"/>
      </rPr>
      <t xml:space="preserve">
</t>
    </r>
    <r>
      <rPr>
        <sz val="11"/>
        <color rgb="FF000000"/>
        <rFont val="微软雅黑"/>
        <charset val="134"/>
      </rPr>
      <t>2.4正本资料交现场海关，待海关审核处理</t>
    </r>
    <r>
      <rPr>
        <sz val="11"/>
        <color rgb="FF000000"/>
        <rFont val="微软雅黑"/>
        <charset val="134"/>
      </rPr>
      <t xml:space="preserve">
</t>
    </r>
    <r>
      <rPr>
        <sz val="11"/>
        <color rgb="FF000000"/>
        <rFont val="微软雅黑"/>
        <charset val="134"/>
      </rPr>
      <t>2.6海关要求重新提供情况说明，联系通关代表处理</t>
    </r>
    <r>
      <rPr>
        <sz val="11"/>
        <color rgb="FF000000"/>
        <rFont val="微软雅黑"/>
        <charset val="134"/>
      </rPr>
      <t xml:space="preserve">
</t>
    </r>
    <r>
      <rPr>
        <sz val="11"/>
        <color rgb="FF000000"/>
        <rFont val="微软雅黑"/>
        <charset val="134"/>
      </rPr>
      <t>2.9情况说明交现场海关，待海关审核</t>
    </r>
    <r>
      <rPr>
        <sz val="11"/>
        <color rgb="FF000000"/>
        <rFont val="微软雅黑"/>
        <charset val="134"/>
      </rPr>
      <t xml:space="preserve">
</t>
    </r>
    <r>
      <rPr>
        <sz val="11"/>
        <color rgb="FF000000"/>
        <rFont val="微软雅黑"/>
        <charset val="134"/>
      </rPr>
      <t>海关收到说明及证件，暂无给出进一步需要继续处理的意见</t>
    </r>
    <r>
      <rPr>
        <sz val="11"/>
        <color rgb="FF000000"/>
        <rFont val="微软雅黑"/>
        <charset val="134"/>
      </rPr>
      <t xml:space="preserve">
</t>
    </r>
    <r>
      <rPr>
        <sz val="11"/>
        <color rgb="FF000000"/>
        <rFont val="微软雅黑"/>
        <charset val="134"/>
      </rPr>
      <t>5.15 接现场通知，此票需要在数字报关厅收到海关事务通知后补传 船延期认定资料（包括补办的出口许可证、情况说明、订舱信息、货物进港信息、船延误通知和船离泊信息），由于系统一直未能收到数字报关厅通知，后联系海关，告知可以线下递单交单，经沟通，周一（5.18）联系现场通知交单</t>
    </r>
    <r>
      <rPr>
        <sz val="11"/>
        <color rgb="FF000000"/>
        <rFont val="微软雅黑"/>
        <charset val="134"/>
      </rPr>
      <t xml:space="preserve">
</t>
    </r>
    <r>
      <rPr>
        <sz val="11"/>
        <color rgb="FF000000"/>
        <rFont val="微软雅黑"/>
        <charset val="134"/>
      </rPr>
      <t>5.18 现场已向海关窗口递单，等海关通知</t>
    </r>
    <r>
      <rPr>
        <sz val="11"/>
        <color rgb="FF000000"/>
        <rFont val="微软雅黑"/>
        <charset val="134"/>
      </rPr>
      <t xml:space="preserve">
</t>
    </r>
    <r>
      <rPr>
        <sz val="11"/>
        <color rgb="FF000000"/>
        <rFont val="微软雅黑"/>
        <charset val="134"/>
      </rPr>
      <t>5.19 接现场通知，海关5.20上午十点召集现场进行会议，具体结果等待会议后反馈</t>
    </r>
    <r>
      <rPr>
        <sz val="11"/>
        <color rgb="FF000000"/>
        <rFont val="微软雅黑"/>
        <charset val="134"/>
      </rPr>
      <t xml:space="preserve">
</t>
    </r>
    <r>
      <rPr>
        <sz val="11"/>
        <color rgb="FF000000"/>
        <rFont val="微软雅黑"/>
        <charset val="134"/>
      </rPr>
      <t>5.20 接现场通知，重新准备资料寄出，递交法制科，已通知美的盖章寄出</t>
    </r>
    <r>
      <rPr>
        <sz val="11"/>
        <color rgb="FF000000"/>
        <rFont val="微软雅黑"/>
        <charset val="134"/>
      </rPr>
      <t xml:space="preserve">
</t>
    </r>
    <r>
      <rPr>
        <sz val="11"/>
        <color rgb="FF000000"/>
        <rFont val="微软雅黑"/>
        <charset val="134"/>
      </rPr>
      <t>5.21下午快递已到达现场，5.22一早递交海关</t>
    </r>
    <r>
      <rPr>
        <sz val="11"/>
        <color rgb="FF000000"/>
        <rFont val="微软雅黑"/>
        <charset val="134"/>
      </rPr>
      <t xml:space="preserve">
</t>
    </r>
    <r>
      <rPr>
        <sz val="11"/>
        <color rgb="FF000000"/>
        <rFont val="微软雅黑"/>
        <charset val="134"/>
      </rPr>
      <t>5.22 资料已递交海关法制科，后续等海关通知</t>
    </r>
  </si>
  <si>
    <t>未闭环</t>
  </si>
  <si>
    <t>230520260056500774</t>
  </si>
  <si>
    <t>JNG0290513</t>
  </si>
  <si>
    <t>1.5 申报审结，含电机，需人工放行</t>
  </si>
  <si>
    <r>
      <t>1.5 申请人工审单</t>
    </r>
    <r>
      <rPr>
        <sz val="11"/>
        <color rgb="FF000000"/>
        <rFont val="微软雅黑"/>
        <charset val="134"/>
      </rPr>
      <t xml:space="preserve">
</t>
    </r>
    <r>
      <rPr>
        <sz val="11"/>
        <color rgb="FF000000"/>
        <rFont val="微软雅黑"/>
        <charset val="134"/>
      </rPr>
      <t>1.6 海关操作成功，报关单已放行</t>
    </r>
  </si>
  <si>
    <t>230520260056500750</t>
  </si>
  <si>
    <t>JNG0291381</t>
  </si>
  <si>
    <t>230520260056500777</t>
  </si>
  <si>
    <t>JNG0290508</t>
  </si>
  <si>
    <t>230520260056500771</t>
  </si>
  <si>
    <t>JNG0291947</t>
  </si>
  <si>
    <t>230520260056500773</t>
  </si>
  <si>
    <t>JNG0291947B</t>
  </si>
  <si>
    <r>
      <t>1.5 申报审结，含电机，需人工放行</t>
    </r>
    <r>
      <rPr>
        <sz val="11"/>
        <color rgb="FF000000"/>
        <rFont val="微软雅黑"/>
        <charset val="134"/>
      </rPr>
      <t xml:space="preserve">
</t>
    </r>
    <r>
      <rPr>
        <sz val="11"/>
        <color rgb="FF000000"/>
        <rFont val="微软雅黑"/>
        <charset val="134"/>
      </rPr>
      <t>1.6 海放未码放</t>
    </r>
  </si>
  <si>
    <r>
      <t>1.5 申请人工审单</t>
    </r>
    <r>
      <rPr>
        <sz val="11"/>
        <color rgb="FF000000"/>
        <rFont val="微软雅黑"/>
        <charset val="134"/>
      </rPr>
      <t xml:space="preserve">
</t>
    </r>
    <r>
      <rPr>
        <sz val="11"/>
        <color rgb="FF000000"/>
        <rFont val="微软雅黑"/>
        <charset val="134"/>
      </rPr>
      <t>1.6 海关操作成功，货物海关放行未码放，代理联系运维仍未放行，等系统核碰</t>
    </r>
    <r>
      <rPr>
        <sz val="11"/>
        <color rgb="FF000000"/>
        <rFont val="微软雅黑"/>
        <charset val="134"/>
      </rPr>
      <t xml:space="preserve">
</t>
    </r>
    <r>
      <rPr>
        <sz val="11"/>
        <color rgb="FF000000"/>
        <rFont val="微软雅黑"/>
        <charset val="134"/>
      </rPr>
      <t>1.7 码头运维处理后码放</t>
    </r>
  </si>
  <si>
    <t>230520260056500759</t>
  </si>
  <si>
    <t>177TJWJWJ2006325S</t>
  </si>
  <si>
    <t>230520260056500762</t>
  </si>
  <si>
    <t>177FJAJAJ21087Z</t>
  </si>
  <si>
    <t>230520260056500776</t>
  </si>
  <si>
    <t>177BJCJCJ228259T</t>
  </si>
  <si>
    <t>230820260086501431</t>
  </si>
  <si>
    <t>COSU6440343310</t>
  </si>
  <si>
    <t>6拼，海放未码放，做人工放行</t>
  </si>
  <si>
    <r>
      <t>1.5 申请人工放行</t>
    </r>
    <r>
      <rPr>
        <sz val="11"/>
        <color rgb="FF000000"/>
        <rFont val="微软雅黑"/>
        <charset val="134"/>
      </rPr>
      <t xml:space="preserve">
</t>
    </r>
    <r>
      <rPr>
        <sz val="11"/>
        <color rgb="FF000000"/>
        <rFont val="微软雅黑"/>
        <charset val="134"/>
      </rPr>
      <t>1.6 海关反馈有多余预配信息，申请置空船名，通知代理删除预配舱单后重新发送</t>
    </r>
    <r>
      <rPr>
        <sz val="11"/>
        <color rgb="FF000000"/>
        <rFont val="微软雅黑"/>
        <charset val="134"/>
      </rPr>
      <t xml:space="preserve">
</t>
    </r>
    <r>
      <rPr>
        <sz val="11"/>
        <color rgb="FF000000"/>
        <rFont val="微软雅黑"/>
        <charset val="134"/>
      </rPr>
      <t>1.7 代理预配重发，已置回正确船名，码头放行</t>
    </r>
  </si>
  <si>
    <t>230820260086501442</t>
  </si>
  <si>
    <t>COSU644034331001</t>
  </si>
  <si>
    <t>230820260086501434</t>
  </si>
  <si>
    <t>COSU644034331002</t>
  </si>
  <si>
    <t>230820260086501438</t>
  </si>
  <si>
    <t>COSU644034331003</t>
  </si>
  <si>
    <t>230820260086501444</t>
  </si>
  <si>
    <t>COSU644034331004</t>
  </si>
  <si>
    <t>230820260086501428</t>
  </si>
  <si>
    <t>COSU644034331005</t>
  </si>
  <si>
    <t>湖北美的电冰箱有限公司</t>
  </si>
  <si>
    <t>230820260086501481</t>
  </si>
  <si>
    <t>JNG0290252</t>
  </si>
  <si>
    <t>1.5 审结未放行，做人工放行</t>
  </si>
  <si>
    <r>
      <t>1.5 申请人工放行</t>
    </r>
    <r>
      <rPr>
        <sz val="11"/>
        <color rgb="FF000000"/>
        <rFont val="微软雅黑"/>
        <charset val="134"/>
      </rPr>
      <t xml:space="preserve">
</t>
    </r>
    <r>
      <rPr>
        <sz val="11"/>
        <color rgb="FF000000"/>
        <rFont val="微软雅黑"/>
        <charset val="134"/>
      </rPr>
      <t>1.6 海关操作成功，报关单已放行</t>
    </r>
  </si>
  <si>
    <t>厨热</t>
  </si>
  <si>
    <t>芜湖美的智能厨电制造有限公司</t>
  </si>
  <si>
    <t>330120260000000390</t>
  </si>
  <si>
    <t>JNG0290611</t>
  </si>
  <si>
    <t>1.6 查验</t>
  </si>
  <si>
    <t>1.7 安排查验，报关单放行</t>
  </si>
  <si>
    <t>222920260000059848</t>
  </si>
  <si>
    <t>AHG0283798</t>
  </si>
  <si>
    <t>1.7 货物没装完通知申报，申报审结后代理通知短装</t>
  </si>
  <si>
    <r>
      <t>1.7 准备删单资料</t>
    </r>
    <r>
      <rPr>
        <sz val="11"/>
        <color rgb="FF000000"/>
        <rFont val="微软雅黑"/>
        <charset val="134"/>
      </rPr>
      <t xml:space="preserve">
</t>
    </r>
    <r>
      <rPr>
        <sz val="11"/>
        <color rgb="FF000000"/>
        <rFont val="微软雅黑"/>
        <charset val="134"/>
      </rPr>
      <t>1.8 发起删单，海关操作成功</t>
    </r>
  </si>
  <si>
    <t>夏氏</t>
  </si>
  <si>
    <t>工业技术</t>
  </si>
  <si>
    <t>广东威灵电机制造有限公司</t>
  </si>
  <si>
    <t>472820260000001754</t>
  </si>
  <si>
    <t>31295112905_SZHMA2512496</t>
  </si>
  <si>
    <t>1.7 申报，海关挂起，需补充：商品的性能参数、应用场景、用途、照片等资料</t>
  </si>
  <si>
    <r>
      <t>1.8 补传情况说明后海关研判，现场联系海关处理，预计处理时长需3个工作日</t>
    </r>
    <r>
      <rPr>
        <sz val="11"/>
        <color rgb="FF000000"/>
        <rFont val="微软雅黑"/>
        <charset val="134"/>
      </rPr>
      <t xml:space="preserve">
</t>
    </r>
    <r>
      <rPr>
        <sz val="11"/>
        <color rgb="FF000000"/>
        <rFont val="微软雅黑"/>
        <charset val="134"/>
      </rPr>
      <t>1.9 跟进处理进展</t>
    </r>
    <r>
      <rPr>
        <sz val="11"/>
        <color rgb="FF000000"/>
        <rFont val="微软雅黑"/>
        <charset val="134"/>
      </rPr>
      <t xml:space="preserve">
</t>
    </r>
    <r>
      <rPr>
        <sz val="11"/>
        <color rgb="FF000000"/>
        <rFont val="微软雅黑"/>
        <charset val="134"/>
      </rPr>
      <t>1.13现场联系海关，还在审核处理中</t>
    </r>
    <r>
      <rPr>
        <sz val="11"/>
        <color rgb="FF000000"/>
        <rFont val="微软雅黑"/>
        <charset val="134"/>
      </rPr>
      <t xml:space="preserve">
</t>
    </r>
    <r>
      <rPr>
        <sz val="11"/>
        <color rgb="FF000000"/>
        <rFont val="微软雅黑"/>
        <charset val="134"/>
      </rPr>
      <t>1.14海关要求补传电机的工作频率以及频率控制等参数数据证明资料，联系通关代表提供资料，资料已补传</t>
    </r>
    <r>
      <rPr>
        <sz val="11"/>
        <color rgb="FF000000"/>
        <rFont val="微软雅黑"/>
        <charset val="134"/>
      </rPr>
      <t xml:space="preserve">
</t>
    </r>
    <r>
      <rPr>
        <sz val="11"/>
        <color rgb="FF000000"/>
        <rFont val="微软雅黑"/>
        <charset val="134"/>
      </rPr>
      <t>1.15 现场联系海关审核， 海关审单完成 ，报关单已放行</t>
    </r>
  </si>
  <si>
    <t>223120260000088414</t>
  </si>
  <si>
    <t>CHN2999209</t>
  </si>
  <si>
    <t>1.7晚22：30通知申报，1.8上午通知短装，需删单</t>
  </si>
  <si>
    <t>1.8联系通关代表准备删单资料，发起删单，海关操作成功</t>
  </si>
  <si>
    <t>天合</t>
  </si>
  <si>
    <t>223120260000088185</t>
  </si>
  <si>
    <t>HDMUSHAZJ6290500</t>
  </si>
  <si>
    <t>1.7晚19：30通知申报，1.8上午通知短装，需删单</t>
  </si>
  <si>
    <t>鸭嘴兽</t>
  </si>
  <si>
    <t>删改单/退柜</t>
  </si>
  <si>
    <t>230820260086500262</t>
  </si>
  <si>
    <t>JNG0293152</t>
  </si>
  <si>
    <r>
      <t>1.4申报放行，1.8接美的通知：因货物品质问题要求返场，需办理删单、重出重回。</t>
    </r>
    <r>
      <rPr>
        <sz val="11"/>
        <color rgb="FF000000"/>
        <rFont val="微软雅黑"/>
        <charset val="134"/>
      </rPr>
      <t xml:space="preserve">
</t>
    </r>
    <r>
      <rPr>
        <sz val="11"/>
        <color rgb="FF000000"/>
        <rFont val="微软雅黑"/>
        <charset val="134"/>
      </rPr>
      <t>箱号：APHU7249840/CMAU4851699/CMAU7951670/TCNU2655912/TGHU9461823/TRHU7682719</t>
    </r>
  </si>
  <si>
    <r>
      <t>1.8 和通关代表确认删单。准备删单资料、重出重回资料，正本寄出</t>
    </r>
    <r>
      <rPr>
        <sz val="11"/>
        <color rgb="FF000000"/>
        <rFont val="微软雅黑"/>
        <charset val="134"/>
      </rPr>
      <t xml:space="preserve">
</t>
    </r>
    <r>
      <rPr>
        <sz val="11"/>
        <color rgb="FF000000"/>
        <rFont val="微软雅黑"/>
        <charset val="134"/>
      </rPr>
      <t>1.9 发起删单，海关操作成功，删运抵</t>
    </r>
    <r>
      <rPr>
        <sz val="11"/>
        <color rgb="FF000000"/>
        <rFont val="微软雅黑"/>
        <charset val="134"/>
      </rPr>
      <t xml:space="preserve">
</t>
    </r>
    <r>
      <rPr>
        <sz val="11"/>
        <color rgb="FF000000"/>
        <rFont val="微软雅黑"/>
        <charset val="134"/>
      </rPr>
      <t>1.12 代理删除理货、预配</t>
    </r>
    <r>
      <rPr>
        <sz val="11"/>
        <color rgb="FF000000"/>
        <rFont val="微软雅黑"/>
        <charset val="134"/>
      </rPr>
      <t xml:space="preserve">
</t>
    </r>
    <r>
      <rPr>
        <sz val="11"/>
        <color rgb="FF000000"/>
        <rFont val="微软雅黑"/>
        <charset val="134"/>
      </rPr>
      <t>1.13重出已办</t>
    </r>
  </si>
  <si>
    <t>230520260056501753</t>
  </si>
  <si>
    <t>OOLU2318098450</t>
  </si>
  <si>
    <t>1.8 查验</t>
  </si>
  <si>
    <t>1.9 上午机检结束追加人工查验，下午查验完成，报关单已放行</t>
  </si>
  <si>
    <t>222920260000091556</t>
  </si>
  <si>
    <t>ESLCHNSHG064178</t>
  </si>
  <si>
    <r>
      <t>1.9 第15项品名电机被海关总署综合司布控查验，要求集装箱中3千多个纸箱全数掏出待查，掏箱后海关下班，要求将货物装回箱内待查</t>
    </r>
    <r>
      <rPr>
        <sz val="11"/>
        <color rgb="FF000000"/>
        <rFont val="微软雅黑"/>
        <charset val="134"/>
      </rPr>
      <t xml:space="preserve">
</t>
    </r>
    <r>
      <rPr>
        <sz val="11"/>
        <color rgb="FF000000"/>
        <rFont val="微软雅黑"/>
        <charset val="134"/>
      </rPr>
      <t>1.10 再次申请掏箱查验，现场海关联系总署综合司后操作放行</t>
    </r>
  </si>
  <si>
    <t>230520260056501670</t>
  </si>
  <si>
    <t>ONEYNKGF15259800</t>
  </si>
  <si>
    <t>1.8 申报审结，含电机，需人工放行</t>
  </si>
  <si>
    <t>1.8 申请人工审单 海关操作成功，报关单已放行</t>
  </si>
  <si>
    <t>230520260056501715</t>
  </si>
  <si>
    <t>230520260056501870</t>
  </si>
  <si>
    <t>177TJWJWJ2006334S</t>
  </si>
  <si>
    <t>1.9 人工加机检查验</t>
  </si>
  <si>
    <r>
      <t>1.9 安排机检查验，追加人工查验</t>
    </r>
    <r>
      <rPr>
        <sz val="11"/>
        <color rgb="FF000000"/>
        <rFont val="微软雅黑"/>
        <charset val="134"/>
      </rPr>
      <t xml:space="preserve">
</t>
    </r>
    <r>
      <rPr>
        <sz val="11"/>
        <color rgb="FF000000"/>
        <rFont val="微软雅黑"/>
        <charset val="134"/>
      </rPr>
      <t>1.12 人工查验完成，报关单放行，代理通知改配，申请改配</t>
    </r>
    <r>
      <rPr>
        <sz val="11"/>
        <color rgb="FF000000"/>
        <rFont val="微软雅黑"/>
        <charset val="134"/>
      </rPr>
      <t xml:space="preserve">
</t>
    </r>
    <r>
      <rPr>
        <sz val="11"/>
        <color rgb="FF000000"/>
        <rFont val="微软雅黑"/>
        <charset val="134"/>
      </rPr>
      <t>1.13 改配海关操作成功</t>
    </r>
  </si>
  <si>
    <t>230520260056501947</t>
  </si>
  <si>
    <t>OOLU2318481280</t>
  </si>
  <si>
    <t>1.9 申报审结，含电机，需人工放行</t>
  </si>
  <si>
    <t>1.9 申请人工审单 报关单已放行。</t>
  </si>
  <si>
    <t>230820260086505555</t>
  </si>
  <si>
    <t>COSU6441037960</t>
  </si>
  <si>
    <t>1.9 申报审结，箱状态“以箱代库”需代理联系码头修改数据</t>
  </si>
  <si>
    <t>码头系统</t>
  </si>
  <si>
    <r>
      <t>1.9 通知代理联系码头修改箱状态，已改好，报关单放行</t>
    </r>
    <r>
      <rPr>
        <sz val="11"/>
        <color rgb="FF000000"/>
        <rFont val="微软雅黑"/>
        <charset val="134"/>
      </rPr>
      <t xml:space="preserve">
</t>
    </r>
    <r>
      <rPr>
        <sz val="11"/>
        <color rgb="FF000000"/>
        <rFont val="微软雅黑"/>
        <charset val="134"/>
      </rPr>
      <t>1.13 代理通知换驳船 已操作成功</t>
    </r>
  </si>
  <si>
    <t>230820260086505477</t>
  </si>
  <si>
    <t>COSU6440563930</t>
  </si>
  <si>
    <t>1.9申报审结，反查原因为美的仓库系统维护箱号错误，需改单</t>
  </si>
  <si>
    <t>1.9 准备改单资料，已改单完成，申请人工放行，报关单已放行。</t>
  </si>
  <si>
    <t>230820260086506984</t>
  </si>
  <si>
    <t>SNLFNJPXSWY0958</t>
  </si>
  <si>
    <t>1.12 申报审结，反查原因为美的仓库系统维护箱号错误，需改单</t>
  </si>
  <si>
    <r>
      <t>1.12 准备改单资料</t>
    </r>
    <r>
      <rPr>
        <sz val="11"/>
        <color rgb="FF000000"/>
        <rFont val="微软雅黑"/>
        <charset val="134"/>
      </rPr>
      <t xml:space="preserve">
</t>
    </r>
    <r>
      <rPr>
        <sz val="11"/>
        <color rgb="FF000000"/>
        <rFont val="微软雅黑"/>
        <charset val="134"/>
      </rPr>
      <t>1.13 发起改单 海关操作成功 报关单已放行</t>
    </r>
  </si>
  <si>
    <t>230820260086506769</t>
  </si>
  <si>
    <t>COSU6440865940G</t>
  </si>
  <si>
    <t>1.12 申报审结，代理通知改提单号</t>
  </si>
  <si>
    <r>
      <t>1.12 改单完成，报关单已放行</t>
    </r>
    <r>
      <rPr>
        <sz val="11"/>
        <color rgb="FF000000"/>
        <rFont val="微软雅黑"/>
        <charset val="134"/>
      </rPr>
      <t xml:space="preserve">
</t>
    </r>
    <r>
      <rPr>
        <sz val="11"/>
        <color rgb="FF000000"/>
        <rFont val="微软雅黑"/>
        <charset val="134"/>
      </rPr>
      <t>1.13 放行后申请改配 海关操作成功</t>
    </r>
  </si>
  <si>
    <t>宁波联洋</t>
  </si>
  <si>
    <t>微波和清洁</t>
  </si>
  <si>
    <t>江苏美的清洁电器股份有限公司</t>
  </si>
  <si>
    <t>230820260086506759</t>
  </si>
  <si>
    <t>COSU6440865940E</t>
  </si>
  <si>
    <t>230820260086506758</t>
  </si>
  <si>
    <t>COSU6440865940F</t>
  </si>
  <si>
    <t>230820260086506752</t>
  </si>
  <si>
    <t>COSU6440865940D</t>
  </si>
  <si>
    <t>230820260086506753</t>
  </si>
  <si>
    <t>COSU6440865940C</t>
  </si>
  <si>
    <t>230820260086506745</t>
  </si>
  <si>
    <t>COSU6440865940B</t>
  </si>
  <si>
    <t>230820260086506744</t>
  </si>
  <si>
    <t>COSU6440865940A</t>
  </si>
  <si>
    <t>230820260086508246</t>
  </si>
  <si>
    <t>JNG0293908</t>
  </si>
  <si>
    <t>1.12 查验</t>
  </si>
  <si>
    <t>1.13安排查验，查验完成已放行</t>
  </si>
  <si>
    <t>230820260086508232</t>
  </si>
  <si>
    <t>115G500210</t>
  </si>
  <si>
    <t>230820260086508018</t>
  </si>
  <si>
    <t>SITGNKDTJ10021</t>
  </si>
  <si>
    <t>223120260000155397</t>
  </si>
  <si>
    <t>EGLV142551370516</t>
  </si>
  <si>
    <t>230520260056502593</t>
  </si>
  <si>
    <t>1.12 申报审结，含电机，需人工放行</t>
  </si>
  <si>
    <t>1.12 申请人工放行，海关操作成功，报关单已放行</t>
  </si>
  <si>
    <t>230520260056502354</t>
  </si>
  <si>
    <t>177IJWJWJ2006272S</t>
  </si>
  <si>
    <t>1.12 审结未放行，做人工放行</t>
  </si>
  <si>
    <t>230520260056502339</t>
  </si>
  <si>
    <t>177MJCJCJ228461T</t>
  </si>
  <si>
    <t>230520260056502272</t>
  </si>
  <si>
    <t>EGLV145599069187</t>
  </si>
  <si>
    <t>230520260056502393</t>
  </si>
  <si>
    <t>OOLU2318131510</t>
  </si>
  <si>
    <t>230820260086505748</t>
  </si>
  <si>
    <t>CAJ0156582</t>
  </si>
  <si>
    <t>1.9 查验</t>
  </si>
  <si>
    <t>1.12 安排查验，查验完成已放行</t>
  </si>
  <si>
    <t>330120260000000967</t>
  </si>
  <si>
    <t>177FJUJUJ512911W</t>
  </si>
  <si>
    <t>1.9 审结未放行，1.12 做人工放行</t>
  </si>
  <si>
    <t>330120260000001051</t>
  </si>
  <si>
    <t>230820260086502051</t>
  </si>
  <si>
    <t>NOSNJ26MS48001</t>
  </si>
  <si>
    <t>1.6 申报放行 1.13代理通知换靠区</t>
  </si>
  <si>
    <t>1.13 准备资料改单 海关操作成功</t>
  </si>
  <si>
    <t>230820260086505311</t>
  </si>
  <si>
    <t>NOSNJ26MS48019</t>
  </si>
  <si>
    <t>1.9 申报放行 1.13代理通知换靠区</t>
  </si>
  <si>
    <t>230820260086508552</t>
  </si>
  <si>
    <t>COAU7265477110</t>
  </si>
  <si>
    <t>1.13 查验</t>
  </si>
  <si>
    <t>230820260086501089</t>
  </si>
  <si>
    <t>COAU7265312000</t>
  </si>
  <si>
    <t>1.5 申报放行 1.13 代理通知换船名航次</t>
  </si>
  <si>
    <t>1.13 申请改配，海关操作成功</t>
  </si>
  <si>
    <t>南京中远海</t>
  </si>
  <si>
    <t>230520260056503009</t>
  </si>
  <si>
    <t>177SJWJWJ2006455S</t>
  </si>
  <si>
    <t>1.14 安排查验，报关单已放行</t>
  </si>
  <si>
    <t>230520260056502829</t>
  </si>
  <si>
    <t>1.13 申报审结，含电机，需人工放行</t>
  </si>
  <si>
    <t>1.13 申请人工放行，海关操作成功，报关单已放行</t>
  </si>
  <si>
    <t>230520260056502695</t>
  </si>
  <si>
    <t>CAJ0156656</t>
  </si>
  <si>
    <t>230820260086509397</t>
  </si>
  <si>
    <t>JNG0296969</t>
  </si>
  <si>
    <t>230520260056503035</t>
  </si>
  <si>
    <t>JNG0295845</t>
  </si>
  <si>
    <t>1.13 审结未放行，做人工放行</t>
  </si>
  <si>
    <r>
      <t>1.13 申请人工放行</t>
    </r>
    <r>
      <rPr>
        <sz val="11"/>
        <color rgb="FF000000"/>
        <rFont val="微软雅黑"/>
        <charset val="134"/>
      </rPr>
      <t xml:space="preserve">
</t>
    </r>
    <r>
      <rPr>
        <sz val="11"/>
        <color rgb="FF000000"/>
        <rFont val="微软雅黑"/>
        <charset val="134"/>
      </rPr>
      <t>1.14 海关操作成功，报关单已放行</t>
    </r>
  </si>
  <si>
    <t>广东美的厨房电器制造有限公司</t>
  </si>
  <si>
    <t>330120250000049664</t>
  </si>
  <si>
    <t>COSU6438267821</t>
  </si>
  <si>
    <r>
      <t>2025.12.18 申报放行</t>
    </r>
    <r>
      <rPr>
        <sz val="11"/>
        <color rgb="FF000000"/>
        <rFont val="微软雅黑"/>
        <charset val="134"/>
      </rPr>
      <t xml:space="preserve">  </t>
    </r>
    <r>
      <rPr>
        <sz val="11"/>
        <color rgb="FF000000"/>
        <rFont val="微软雅黑"/>
        <charset val="134"/>
      </rPr>
      <t>2026.1.12 接美的通知：海关核查项一税号与申报要素不符，需改单</t>
    </r>
  </si>
  <si>
    <r>
      <t>1.13 待通关代表确认</t>
    </r>
    <r>
      <rPr>
        <sz val="11"/>
        <color rgb="FF000000"/>
        <rFont val="微软雅黑"/>
        <charset val="134"/>
      </rPr>
      <t xml:space="preserve">
</t>
    </r>
    <r>
      <rPr>
        <sz val="11"/>
        <color rgb="FF000000"/>
        <rFont val="微软雅黑"/>
        <charset val="134"/>
      </rPr>
      <t xml:space="preserve">1.14 准备改单资料 </t>
    </r>
    <r>
      <rPr>
        <sz val="11"/>
        <color rgb="FF000000"/>
        <rFont val="微软雅黑"/>
        <charset val="134"/>
      </rPr>
      <t xml:space="preserve">
</t>
    </r>
    <r>
      <rPr>
        <sz val="11"/>
        <color rgb="FF000000"/>
        <rFont val="微软雅黑"/>
        <charset val="134"/>
      </rPr>
      <t>1.15 通关代表更新情况说明后发起改单，海关受理</t>
    </r>
    <r>
      <rPr>
        <sz val="11"/>
        <color rgb="FF000000"/>
        <rFont val="微软雅黑"/>
        <charset val="134"/>
      </rPr>
      <t xml:space="preserve">
</t>
    </r>
    <r>
      <rPr>
        <sz val="11"/>
        <color rgb="FF000000"/>
        <rFont val="微软雅黑"/>
        <charset val="134"/>
      </rPr>
      <t>1.16 海关操作完成</t>
    </r>
  </si>
  <si>
    <t>原230820250085793549</t>
  </si>
  <si>
    <t>原TLNJJKJR25141025</t>
  </si>
  <si>
    <t>1.4删单完成，1.14通关代表通知补办倒箱手续</t>
  </si>
  <si>
    <r>
      <t>1.14 准备资料，待通关代表盖章寄出</t>
    </r>
    <r>
      <rPr>
        <sz val="11"/>
        <color rgb="FF000000"/>
        <rFont val="微软雅黑"/>
        <charset val="134"/>
      </rPr>
      <t xml:space="preserve">
</t>
    </r>
    <r>
      <rPr>
        <sz val="11"/>
        <color rgb="FF000000"/>
        <rFont val="微软雅黑"/>
        <charset val="134"/>
      </rPr>
      <t>1.15 通关代表盖章资料已寄出</t>
    </r>
    <r>
      <rPr>
        <sz val="11"/>
        <color rgb="FF000000"/>
        <rFont val="微软雅黑"/>
        <charset val="134"/>
      </rPr>
      <t xml:space="preserve">
</t>
    </r>
    <r>
      <rPr>
        <sz val="11"/>
        <color rgb="FF000000"/>
        <rFont val="微软雅黑"/>
        <charset val="134"/>
      </rPr>
      <t>1.16下午收到，码头盖章</t>
    </r>
    <r>
      <rPr>
        <sz val="11"/>
        <color rgb="FF000000"/>
        <rFont val="微软雅黑"/>
        <charset val="134"/>
      </rPr>
      <t xml:space="preserve">
</t>
    </r>
    <r>
      <rPr>
        <sz val="11"/>
        <color rgb="FF000000"/>
        <rFont val="微软雅黑"/>
        <charset val="134"/>
      </rPr>
      <t>1.19倒箱已办理完成，已通知代理提供理货单给海关核销</t>
    </r>
  </si>
  <si>
    <t>原230820250085797491</t>
  </si>
  <si>
    <t>原TLNJJKJR25141060</t>
  </si>
  <si>
    <t>230820260086509306</t>
  </si>
  <si>
    <t>1.14 查验</t>
  </si>
  <si>
    <t>230820260086510316</t>
  </si>
  <si>
    <t>TLNJLCJH26011008（删单重报）</t>
  </si>
  <si>
    <t>1.14 申报审结，涉许可证，需人工审单</t>
  </si>
  <si>
    <t>1.14 申请人工审单 海关操作成功 报关单已放行</t>
  </si>
  <si>
    <t>942520260000001625</t>
  </si>
  <si>
    <t>KL304244864</t>
  </si>
  <si>
    <t>1.14接代理通知申报，按邮件提供的车号锁号信息完成申报放行，后接代理反馈其提供车号锁号错误</t>
  </si>
  <si>
    <r>
      <t>1.14 代理与现场海关沟通中，等代理反馈是否需要删改单</t>
    </r>
    <r>
      <rPr>
        <sz val="11"/>
        <color rgb="FF000000"/>
        <rFont val="微软雅黑"/>
        <charset val="134"/>
      </rPr>
      <t xml:space="preserve">
</t>
    </r>
    <r>
      <rPr>
        <sz val="11"/>
        <color rgb="FF000000"/>
        <rFont val="微软雅黑"/>
        <charset val="134"/>
      </rPr>
      <t>1.15 车辆已出境，无需删改单</t>
    </r>
  </si>
  <si>
    <t>百利达</t>
  </si>
  <si>
    <t>家用空调</t>
  </si>
  <si>
    <t>芜湖美智空调设备有限公司</t>
  </si>
  <si>
    <t>330120260000001716</t>
  </si>
  <si>
    <t>HLCUNK2251214594</t>
  </si>
  <si>
    <t>1.15 申请人工审单 海关操作成功 报关单已放行</t>
  </si>
  <si>
    <t>230820260086510486</t>
  </si>
  <si>
    <t>TLNJJKJE26021003A</t>
  </si>
  <si>
    <t>230820260086510487</t>
  </si>
  <si>
    <t>TLNJJKJE26021003B</t>
  </si>
  <si>
    <t>230820260086510488</t>
  </si>
  <si>
    <t>TLNJJKJE26021003C</t>
  </si>
  <si>
    <t>222920260000180658</t>
  </si>
  <si>
    <t>CHN3015331</t>
  </si>
  <si>
    <t>230820260086510712</t>
  </si>
  <si>
    <t>OOLU2318488000</t>
  </si>
  <si>
    <t>1.15查验</t>
  </si>
  <si>
    <t>1.15 安排查验，查验完成已放行</t>
  </si>
  <si>
    <t>230520260056503663</t>
  </si>
  <si>
    <t>177FJWJWJ2006421S</t>
  </si>
  <si>
    <t>230820260086510465</t>
  </si>
  <si>
    <t>CAJ0157245</t>
  </si>
  <si>
    <t>1.14申报审结未预配，1.15查验</t>
  </si>
  <si>
    <t>222920260000184798</t>
  </si>
  <si>
    <t>KMTCSHAP091674</t>
  </si>
  <si>
    <r>
      <t>1.15</t>
    </r>
    <r>
      <rPr>
        <sz val="11"/>
        <color rgb="FF000000"/>
        <rFont val="微软雅黑"/>
        <charset val="134"/>
      </rPr>
      <t xml:space="preserve"> </t>
    </r>
    <r>
      <rPr>
        <sz val="11"/>
        <color rgb="FF000000"/>
        <rFont val="微软雅黑"/>
        <charset val="134"/>
      </rPr>
      <t>9:53通知申报</t>
    </r>
    <r>
      <rPr>
        <sz val="11"/>
        <color rgb="FF000000"/>
        <rFont val="微软雅黑"/>
        <charset val="134"/>
      </rPr>
      <t xml:space="preserve"> </t>
    </r>
    <r>
      <rPr>
        <sz val="11"/>
        <color rgb="FF000000"/>
        <rFont val="微软雅黑"/>
        <charset val="134"/>
      </rPr>
      <t>10:08申报审结</t>
    </r>
    <r>
      <rPr>
        <sz val="11"/>
        <color rgb="FF000000"/>
        <rFont val="微软雅黑"/>
        <charset val="134"/>
      </rPr>
      <t xml:space="preserve"> </t>
    </r>
    <r>
      <rPr>
        <sz val="11"/>
        <color rgb="FF000000"/>
        <rFont val="微软雅黑"/>
        <charset val="134"/>
      </rPr>
      <t>10:30代理通知暂停，指代改配，更换目的港。需删单</t>
    </r>
  </si>
  <si>
    <t>指代</t>
  </si>
  <si>
    <r>
      <t>1.15 通关代表确认删单，准备资料，发起删单</t>
    </r>
    <r>
      <rPr>
        <sz val="11"/>
        <color rgb="FF000000"/>
        <rFont val="微软雅黑"/>
        <charset val="134"/>
      </rPr>
      <t xml:space="preserve">
</t>
    </r>
    <r>
      <rPr>
        <sz val="11"/>
        <color rgb="FF000000"/>
        <rFont val="微软雅黑"/>
        <charset val="134"/>
      </rPr>
      <t>1.16 海关操作成功</t>
    </r>
    <r>
      <rPr>
        <sz val="11"/>
        <color rgb="FF000000"/>
        <rFont val="微软雅黑"/>
        <charset val="134"/>
      </rPr>
      <t xml:space="preserve"> </t>
    </r>
  </si>
  <si>
    <t>230820260086509384</t>
  </si>
  <si>
    <t>COSU6441414360</t>
  </si>
  <si>
    <t>1.13 申报审结 未预配，1.15代理通知推驳船，需改单 1.19 风险甄别 1.21 海关反馈超七天通关时效，需删单重报</t>
  </si>
  <si>
    <r>
      <t>1.15 待代理确认改单</t>
    </r>
    <r>
      <rPr>
        <sz val="11"/>
        <color rgb="FF000000"/>
        <rFont val="微软雅黑"/>
        <charset val="134"/>
      </rPr>
      <t xml:space="preserve">
</t>
    </r>
    <r>
      <rPr>
        <sz val="11"/>
        <color rgb="FF000000"/>
        <rFont val="微软雅黑"/>
        <charset val="134"/>
      </rPr>
      <t>1.16 发起改单 改单已完成，海关反馈风险甄别，待查验回执后安排查验</t>
    </r>
    <r>
      <rPr>
        <sz val="11"/>
        <color rgb="FF000000"/>
        <rFont val="微软雅黑"/>
        <charset val="134"/>
      </rPr>
      <t xml:space="preserve">
</t>
    </r>
    <r>
      <rPr>
        <sz val="11"/>
        <color rgb="FF000000"/>
        <rFont val="微软雅黑"/>
        <charset val="134"/>
      </rPr>
      <t>1.19 现场申请查验计划</t>
    </r>
    <r>
      <rPr>
        <sz val="11"/>
        <color rgb="FF000000"/>
        <rFont val="微软雅黑"/>
        <charset val="134"/>
      </rPr>
      <t xml:space="preserve">
</t>
    </r>
    <r>
      <rPr>
        <sz val="11"/>
        <color rgb="FF000000"/>
        <rFont val="微软雅黑"/>
        <charset val="134"/>
      </rPr>
      <t>1.20 机检查验已完成，待海关审图</t>
    </r>
    <r>
      <rPr>
        <sz val="11"/>
        <color rgb="FF000000"/>
        <rFont val="微软雅黑"/>
        <charset val="134"/>
      </rPr>
      <t xml:space="preserve">
</t>
    </r>
    <r>
      <rPr>
        <sz val="11"/>
        <color rgb="FF000000"/>
        <rFont val="微软雅黑"/>
        <charset val="134"/>
      </rPr>
      <t>1.21 运抵重发，申请海关人工放行，海关反馈超七天通关时效，运抵超期，需删单重报，和通关代表确认删单，准备资料</t>
    </r>
    <r>
      <rPr>
        <sz val="11"/>
        <color rgb="FF000000"/>
        <rFont val="微软雅黑"/>
        <charset val="134"/>
      </rPr>
      <t xml:space="preserve">
</t>
    </r>
    <r>
      <rPr>
        <sz val="11"/>
        <color rgb="FF000000"/>
        <rFont val="微软雅黑"/>
        <charset val="134"/>
      </rPr>
      <t>1.22 通关代表寄出盖章资料，待收到后办理</t>
    </r>
    <r>
      <rPr>
        <sz val="11"/>
        <color rgb="FF000000"/>
        <rFont val="微软雅黑"/>
        <charset val="134"/>
      </rPr>
      <t xml:space="preserve">
</t>
    </r>
    <r>
      <rPr>
        <sz val="11"/>
        <color rgb="FF000000"/>
        <rFont val="微软雅黑"/>
        <charset val="134"/>
      </rPr>
      <t>1.23 资料找海关签字后发起改单，删单已完成。</t>
    </r>
  </si>
  <si>
    <t>南京恒隆</t>
  </si>
  <si>
    <t>230520260056504207</t>
  </si>
  <si>
    <t>1.16 申报审结，涉许可证，需人工审单</t>
  </si>
  <si>
    <t>1.16 申请人工审单 海关操作成功 报关单已放行</t>
  </si>
  <si>
    <t>230820260086509903</t>
  </si>
  <si>
    <t>HLCUNK2250634970</t>
  </si>
  <si>
    <t>客服：1.14 更新出运表客服未同步，申报放行 1.16 代理通知靠区报错，正确为舟山，错报为梅山。需改单</t>
  </si>
  <si>
    <t>远海通</t>
  </si>
  <si>
    <t>1.16 已完成改单</t>
  </si>
  <si>
    <t>230820260086512039</t>
  </si>
  <si>
    <t>JNG0291207</t>
  </si>
  <si>
    <t>1.16 查验</t>
  </si>
  <si>
    <r>
      <t>1.16 安排查验</t>
    </r>
    <r>
      <rPr>
        <sz val="11"/>
        <color rgb="FF000000"/>
        <rFont val="微软雅黑"/>
        <charset val="134"/>
      </rPr>
      <t xml:space="preserve">
</t>
    </r>
    <r>
      <rPr>
        <sz val="11"/>
        <color rgb="FF000000"/>
        <rFont val="微软雅黑"/>
        <charset val="134"/>
      </rPr>
      <t>1.19 查验完成，报关单已放行</t>
    </r>
  </si>
  <si>
    <t>230820250085794729</t>
  </si>
  <si>
    <t>NOSNJ26MS48016</t>
  </si>
  <si>
    <t>2025/12/29 申报放行，2026/1/16 代理通知改靠区</t>
  </si>
  <si>
    <t>东南海铁</t>
  </si>
  <si>
    <t>330120260000002022</t>
  </si>
  <si>
    <t>HLCUNK2251128443</t>
  </si>
  <si>
    <t>1.15 审结未放行，做人工放行</t>
  </si>
  <si>
    <t>1.16 申请人工放行，海关操作成功，报关单已放行</t>
  </si>
  <si>
    <t>230820260086513437</t>
  </si>
  <si>
    <t>COSU6442481230</t>
  </si>
  <si>
    <t>1.19 查验</t>
  </si>
  <si>
    <r>
      <t>1.19 现场申请查验计划</t>
    </r>
    <r>
      <rPr>
        <sz val="11"/>
        <color rgb="FF000000"/>
        <rFont val="微软雅黑"/>
        <charset val="134"/>
      </rPr>
      <t xml:space="preserve">
</t>
    </r>
    <r>
      <rPr>
        <sz val="11"/>
        <color rgb="FF000000"/>
        <rFont val="微软雅黑"/>
        <charset val="134"/>
      </rPr>
      <t>1.20 查验完成 报关单已放行，代理通知改配</t>
    </r>
    <r>
      <rPr>
        <sz val="11"/>
        <color rgb="FF000000"/>
        <rFont val="微软雅黑"/>
        <charset val="134"/>
      </rPr>
      <t xml:space="preserve">
</t>
    </r>
    <r>
      <rPr>
        <sz val="11"/>
        <color rgb="FF000000"/>
        <rFont val="微软雅黑"/>
        <charset val="134"/>
      </rPr>
      <t>1.21 海关操作完成</t>
    </r>
  </si>
  <si>
    <t>230820260086513496</t>
  </si>
  <si>
    <t>177TJUJUJ059854W</t>
  </si>
  <si>
    <r>
      <t>1.19 现场申请查验计划</t>
    </r>
    <r>
      <rPr>
        <sz val="11"/>
        <color rgb="FF000000"/>
        <rFont val="微软雅黑"/>
        <charset val="134"/>
      </rPr>
      <t xml:space="preserve">
</t>
    </r>
    <r>
      <rPr>
        <sz val="11"/>
        <color rgb="FF000000"/>
        <rFont val="微软雅黑"/>
        <charset val="134"/>
      </rPr>
      <t>1.20 箱子未到龙潭港，待进港后申请查验</t>
    </r>
    <r>
      <rPr>
        <sz val="11"/>
        <color rgb="FF000000"/>
        <rFont val="微软雅黑"/>
        <charset val="134"/>
      </rPr>
      <t xml:space="preserve">
</t>
    </r>
    <r>
      <rPr>
        <sz val="11"/>
        <color rgb="FF000000"/>
        <rFont val="微软雅黑"/>
        <charset val="134"/>
      </rPr>
      <t>1.22 箱子到龙潭 安排查验计划</t>
    </r>
    <r>
      <rPr>
        <sz val="11"/>
        <color rgb="FF000000"/>
        <rFont val="微软雅黑"/>
        <charset val="134"/>
      </rPr>
      <t xml:space="preserve">
</t>
    </r>
    <r>
      <rPr>
        <sz val="11"/>
        <color rgb="FF000000"/>
        <rFont val="微软雅黑"/>
        <charset val="134"/>
      </rPr>
      <t>1.23 追加人工查验，海关开箱查验未查完，下周一继续查验</t>
    </r>
    <r>
      <rPr>
        <sz val="11"/>
        <color rgb="FF000000"/>
        <rFont val="微软雅黑"/>
        <charset val="134"/>
      </rPr>
      <t xml:space="preserve">
</t>
    </r>
    <r>
      <rPr>
        <sz val="11"/>
        <color rgb="FF000000"/>
        <rFont val="微软雅黑"/>
        <charset val="134"/>
      </rPr>
      <t>1.26申请人工查验，查验未完成</t>
    </r>
    <r>
      <rPr>
        <sz val="11"/>
        <color rgb="FF000000"/>
        <rFont val="微软雅黑"/>
        <charset val="134"/>
      </rPr>
      <t xml:space="preserve">
</t>
    </r>
    <r>
      <rPr>
        <sz val="11"/>
        <color rgb="FF000000"/>
        <rFont val="微软雅黑"/>
        <charset val="134"/>
      </rPr>
      <t>1.27海关追加查验，要求将第四项品名的货物也掏箱查验，现场申请调箱计划</t>
    </r>
    <r>
      <rPr>
        <sz val="11"/>
        <color rgb="FF000000"/>
        <rFont val="微软雅黑"/>
        <charset val="134"/>
      </rPr>
      <t xml:space="preserve">
</t>
    </r>
    <r>
      <rPr>
        <sz val="11"/>
        <color rgb="FF000000"/>
        <rFont val="微软雅黑"/>
        <charset val="134"/>
      </rPr>
      <t>1.28 查验完成，报关单已放行</t>
    </r>
  </si>
  <si>
    <t>230820260086509993</t>
  </si>
  <si>
    <t>177FJWJWJ049430S</t>
  </si>
  <si>
    <t>1.14申报放行 1.19 代理通知推驳船</t>
  </si>
  <si>
    <t>1.19 申请改船名航次，海关操作成功</t>
  </si>
  <si>
    <t>南京外运</t>
  </si>
  <si>
    <t>330120260000002372</t>
  </si>
  <si>
    <t>NKAA60005100</t>
  </si>
  <si>
    <t>1.19 运抵正常未放行，人工放行</t>
  </si>
  <si>
    <t>1.19 申请申请人工审单，海关操作成功，报关单已放行</t>
  </si>
  <si>
    <t>230520260056504852</t>
  </si>
  <si>
    <t>177TJWJWJ2006312S</t>
  </si>
  <si>
    <r>
      <t>1.19 申报审结</t>
    </r>
    <r>
      <rPr>
        <sz val="11"/>
        <color rgb="FF000000"/>
        <rFont val="微软雅黑"/>
        <charset val="134"/>
      </rPr>
      <t xml:space="preserve"> </t>
    </r>
    <r>
      <rPr>
        <sz val="11"/>
        <color rgb="FF000000"/>
        <rFont val="微软雅黑"/>
        <charset val="134"/>
      </rPr>
      <t>涉及电机，需要人工审单</t>
    </r>
  </si>
  <si>
    <t>230520260056504886</t>
  </si>
  <si>
    <t>177FJUJUJ207184W</t>
  </si>
  <si>
    <r>
      <t>1.19 现场申请查验计划</t>
    </r>
    <r>
      <rPr>
        <sz val="11"/>
        <color rgb="FF000000"/>
        <rFont val="微软雅黑"/>
        <charset val="134"/>
      </rPr>
      <t xml:space="preserve">
</t>
    </r>
    <r>
      <rPr>
        <sz val="11"/>
        <color rgb="FF000000"/>
        <rFont val="微软雅黑"/>
        <charset val="134"/>
      </rPr>
      <t>1.20 查验完成 报关单已放行</t>
    </r>
  </si>
  <si>
    <t>230520260056504998</t>
  </si>
  <si>
    <t>JNG0298103</t>
  </si>
  <si>
    <r>
      <t>1.19 申报审结</t>
    </r>
    <r>
      <rPr>
        <sz val="11"/>
        <color rgb="FF000000"/>
        <rFont val="微软雅黑"/>
        <charset val="134"/>
      </rPr>
      <t xml:space="preserve"> </t>
    </r>
    <r>
      <rPr>
        <sz val="11"/>
        <color rgb="FF000000"/>
        <rFont val="微软雅黑"/>
        <charset val="134"/>
      </rPr>
      <t>涉及许可证，需要人工审单</t>
    </r>
  </si>
  <si>
    <t>230520260056505038</t>
  </si>
  <si>
    <t>JNG0293955</t>
  </si>
  <si>
    <t>230520260056505079</t>
  </si>
  <si>
    <t>JNG0296472</t>
  </si>
  <si>
    <t>230520260056505188</t>
  </si>
  <si>
    <t>JNG0294998</t>
  </si>
  <si>
    <r>
      <t>1.19 申请人工审单</t>
    </r>
    <r>
      <rPr>
        <sz val="11"/>
        <color rgb="FF000000"/>
        <rFont val="微软雅黑"/>
        <charset val="134"/>
      </rPr>
      <t xml:space="preserve">
</t>
    </r>
    <r>
      <rPr>
        <sz val="11"/>
        <color rgb="FF000000"/>
        <rFont val="微软雅黑"/>
        <charset val="134"/>
      </rPr>
      <t>1.20 海关操作成功 报关单已放行</t>
    </r>
  </si>
  <si>
    <t>230520260056505169</t>
  </si>
  <si>
    <t>EGLV145699025530</t>
  </si>
  <si>
    <t>退柜</t>
  </si>
  <si>
    <t>未申报</t>
  </si>
  <si>
    <t>JNG0295997</t>
  </si>
  <si>
    <t>1.19 接代理通知。此票由于货物包装标签贴错，需退回工厂。暂未申报，办理重出重回。箱号：GESU6093730</t>
  </si>
  <si>
    <r>
      <t>1.19 准备资料 通关代表盖章寄出</t>
    </r>
    <r>
      <rPr>
        <sz val="11"/>
        <color rgb="FF000000"/>
        <rFont val="微软雅黑"/>
        <charset val="134"/>
      </rPr>
      <t xml:space="preserve">
</t>
    </r>
    <r>
      <rPr>
        <sz val="11"/>
        <color rgb="FF000000"/>
        <rFont val="微软雅黑"/>
        <charset val="134"/>
      </rPr>
      <t>1.20 重出已办理完成</t>
    </r>
  </si>
  <si>
    <r>
      <t>未申报</t>
    </r>
    <r>
      <rPr>
        <sz val="11"/>
        <color rgb="FF000000"/>
        <rFont val="微软雅黑"/>
        <charset val="134"/>
      </rPr>
      <t xml:space="preserve"> </t>
    </r>
  </si>
  <si>
    <t>177GJMJMJ008947X</t>
  </si>
  <si>
    <t>1.19 接代理通知。此票由于货物包装标签贴错，需退回工厂。暂未申报，办理重出重回。箱号：MSBU7789790</t>
  </si>
  <si>
    <t>芜湖美的厨卫电器制造有限公司</t>
  </si>
  <si>
    <t>330120260000001727</t>
  </si>
  <si>
    <t>177FVKJUJ513014W</t>
  </si>
  <si>
    <t>申报：1.14 申报放行，1.19代理通知船名航次报错，下货纸上是ZHONG CHENG 26 B2603E，报成了ZHONG CHENG 69 B2603E，无法做转关单，需申请改船名航次</t>
  </si>
  <si>
    <r>
      <t>1.19 准备改单资料</t>
    </r>
    <r>
      <rPr>
        <sz val="11"/>
        <color rgb="FF000000"/>
        <rFont val="微软雅黑"/>
        <charset val="134"/>
      </rPr>
      <t xml:space="preserve">
</t>
    </r>
    <r>
      <rPr>
        <sz val="11"/>
        <color rgb="FF000000"/>
        <rFont val="微软雅黑"/>
        <charset val="134"/>
      </rPr>
      <t>1.20 现场联系海关审批改单申请表</t>
    </r>
    <r>
      <rPr>
        <sz val="11"/>
        <color rgb="FF000000"/>
        <rFont val="微软雅黑"/>
        <charset val="134"/>
      </rPr>
      <t xml:space="preserve">
</t>
    </r>
    <r>
      <rPr>
        <sz val="11"/>
        <color rgb="FF000000"/>
        <rFont val="微软雅黑"/>
        <charset val="134"/>
      </rPr>
      <t>1.21 海关操作成功</t>
    </r>
  </si>
  <si>
    <t>安徽美芝制冷设备有限公司</t>
  </si>
  <si>
    <t>222920260000253581</t>
  </si>
  <si>
    <t>JJCSHLCA607203</t>
  </si>
  <si>
    <r>
      <t>1.19 现场申请查验计划</t>
    </r>
    <r>
      <rPr>
        <sz val="11"/>
        <color rgb="FF000000"/>
        <rFont val="微软雅黑"/>
        <charset val="134"/>
      </rPr>
      <t xml:space="preserve">
</t>
    </r>
    <r>
      <rPr>
        <sz val="11"/>
        <color rgb="FF000000"/>
        <rFont val="微软雅黑"/>
        <charset val="134"/>
      </rPr>
      <t>1.20 联系海关安排查验，特殊操作，报关单已放行</t>
    </r>
  </si>
  <si>
    <t>230520260056505316</t>
  </si>
  <si>
    <t>177FJWJWJ2006585S</t>
  </si>
  <si>
    <t>1.20 申报审结，涉许可证，需人工审单</t>
  </si>
  <si>
    <t>1.20海关人工审单，报关单放行</t>
  </si>
  <si>
    <t>230520260056505368</t>
  </si>
  <si>
    <t>COAU7265830020</t>
  </si>
  <si>
    <t>1.20 申报审结，涉电机，需人工审单</t>
  </si>
  <si>
    <t>230520260056505324</t>
  </si>
  <si>
    <t>JNG0298817</t>
  </si>
  <si>
    <t>230520260056505409</t>
  </si>
  <si>
    <t>COAU7265829770</t>
  </si>
  <si>
    <r>
      <t>1.20 申报审结，涉电机，需人工审单</t>
    </r>
    <r>
      <rPr>
        <sz val="11"/>
        <color rgb="FF000000"/>
        <rFont val="微软雅黑"/>
        <charset val="134"/>
      </rPr>
      <t xml:space="preserve">
</t>
    </r>
    <r>
      <rPr>
        <sz val="11"/>
        <color rgb="FF000000"/>
        <rFont val="微软雅黑"/>
        <charset val="134"/>
      </rPr>
      <t>1.21 代理反馈报关单核碰旧预配未码放，需改单置空航次，旧预配删除后，改单置回航次。</t>
    </r>
  </si>
  <si>
    <r>
      <t>1.20海关人工审单，报关单放行</t>
    </r>
    <r>
      <rPr>
        <sz val="11"/>
        <color rgb="FF000000"/>
        <rFont val="微软雅黑"/>
        <charset val="134"/>
      </rPr>
      <t xml:space="preserve">
</t>
    </r>
    <r>
      <rPr>
        <sz val="11"/>
        <color rgb="FF000000"/>
        <rFont val="微软雅黑"/>
        <charset val="134"/>
      </rPr>
      <t>1.21 改单置空航次，代理删除旧预配，改单置回。已码放</t>
    </r>
  </si>
  <si>
    <t>230820260086515036</t>
  </si>
  <si>
    <t>177NJCJCJ028515U</t>
  </si>
  <si>
    <t>330120260000002785</t>
  </si>
  <si>
    <t>OOLU2319559410</t>
  </si>
  <si>
    <t>1.20 查验</t>
  </si>
  <si>
    <t>1.21查验完成，报关单放行</t>
  </si>
  <si>
    <t>230820260086515608</t>
  </si>
  <si>
    <t>177NJCJCJ028584U</t>
  </si>
  <si>
    <t>230820260086513823</t>
  </si>
  <si>
    <t>177CJAJAJ01186Z</t>
  </si>
  <si>
    <t>1.19申报审结 ，未预配，1.20 跳查验</t>
  </si>
  <si>
    <r>
      <t>1.21 箱子未到龙潭港，待进港后申请查验</t>
    </r>
    <r>
      <rPr>
        <sz val="11"/>
        <color rgb="FF000000"/>
        <rFont val="微软雅黑"/>
        <charset val="134"/>
      </rPr>
      <t xml:space="preserve">
</t>
    </r>
    <r>
      <rPr>
        <sz val="11"/>
        <color rgb="FF000000"/>
        <rFont val="微软雅黑"/>
        <charset val="134"/>
      </rPr>
      <t>1.22 晚上到龙潭码头</t>
    </r>
    <r>
      <rPr>
        <sz val="11"/>
        <color rgb="FF000000"/>
        <rFont val="微软雅黑"/>
        <charset val="134"/>
      </rPr>
      <t xml:space="preserve">
</t>
    </r>
    <r>
      <rPr>
        <sz val="11"/>
        <color rgb="FF000000"/>
        <rFont val="微软雅黑"/>
        <charset val="134"/>
      </rPr>
      <t>1.23 报查验计划 海关操作完成 已放行</t>
    </r>
  </si>
  <si>
    <t>230820260086515737</t>
  </si>
  <si>
    <t>JNG0297144A</t>
  </si>
  <si>
    <t>1.20 申请人工审单，报关单放行</t>
  </si>
  <si>
    <t>230820260086515744</t>
  </si>
  <si>
    <t>JNG0297144B</t>
  </si>
  <si>
    <t>230820260086515749</t>
  </si>
  <si>
    <t>JNG0297144C</t>
  </si>
  <si>
    <t>230820260086515740</t>
  </si>
  <si>
    <t>JNG0297144D</t>
  </si>
  <si>
    <t>230820260086515743</t>
  </si>
  <si>
    <t>JNG0297144E</t>
  </si>
  <si>
    <t>230820260086515745</t>
  </si>
  <si>
    <t>JNG0297144F</t>
  </si>
  <si>
    <t>230820260086515747</t>
  </si>
  <si>
    <t>JNG0297144G</t>
  </si>
  <si>
    <t>230820260086515748</t>
  </si>
  <si>
    <t>JNG0297144H</t>
  </si>
  <si>
    <t>230820260086515750</t>
  </si>
  <si>
    <t>JNG0297144I</t>
  </si>
  <si>
    <t>230820260086515751</t>
  </si>
  <si>
    <t>JNG0297144J</t>
  </si>
  <si>
    <t>230820260086515620</t>
  </si>
  <si>
    <t>177MJCJCJ028476U</t>
  </si>
  <si>
    <t>1.20 申报，海放未码放，申请人工放行</t>
  </si>
  <si>
    <t>广州美的华凌冰箱有限公司</t>
  </si>
  <si>
    <t>230820260086515618</t>
  </si>
  <si>
    <t>177MJCJCJ028476AU</t>
  </si>
  <si>
    <t>1.20 申报审结，未放行，申请人工放行</t>
  </si>
  <si>
    <t>230820260086515482</t>
  </si>
  <si>
    <r>
      <t>177USKJUJ059802W</t>
    </r>
    <r>
      <rPr>
        <sz val="11"/>
        <color rgb="FF000000"/>
        <rFont val="微软雅黑"/>
        <charset val="134"/>
      </rPr>
      <t xml:space="preserve"> </t>
    </r>
  </si>
  <si>
    <t>申报：1.20 申报放行，码头无放行信息，错将驳船船名航次报为大船船名航次，需更改船名航次</t>
  </si>
  <si>
    <r>
      <t>1.20 申请改船名航次</t>
    </r>
    <r>
      <rPr>
        <sz val="11"/>
        <color rgb="FF000000"/>
        <rFont val="微软雅黑"/>
        <charset val="134"/>
      </rPr>
      <t xml:space="preserve">
</t>
    </r>
    <r>
      <rPr>
        <sz val="11"/>
        <color rgb="FF000000"/>
        <rFont val="微软雅黑"/>
        <charset val="134"/>
      </rPr>
      <t>1.21 海关操作成功 报关单已放行</t>
    </r>
  </si>
  <si>
    <t>230820260086515796</t>
  </si>
  <si>
    <t>SNLGNJKLPS1006</t>
  </si>
  <si>
    <r>
      <t>1.20 申请人工放行， 待海关处理</t>
    </r>
    <r>
      <rPr>
        <sz val="11"/>
        <color rgb="FF000000"/>
        <rFont val="微软雅黑"/>
        <charset val="134"/>
      </rPr>
      <t xml:space="preserve">
</t>
    </r>
    <r>
      <rPr>
        <sz val="11"/>
        <color rgb="FF000000"/>
        <rFont val="微软雅黑"/>
        <charset val="134"/>
      </rPr>
      <t>1.21 海关操作成功 报关单已放行</t>
    </r>
  </si>
  <si>
    <t>230520260056505791</t>
  </si>
  <si>
    <t>JNG0290507</t>
  </si>
  <si>
    <t>1.21 申报审结，涉许可证，需人工审单</t>
  </si>
  <si>
    <t>1.21 申请人工审单，报关单放行</t>
  </si>
  <si>
    <t>330120260000002673</t>
  </si>
  <si>
    <t>HLCUNK2250913958</t>
  </si>
  <si>
    <t>1.20申报放行，1.21 车队反馈船名提供错误，需改配</t>
  </si>
  <si>
    <r>
      <t>1.21 现场联系海关审批改单申请表</t>
    </r>
    <r>
      <rPr>
        <sz val="11"/>
        <color rgb="FF000000"/>
        <rFont val="微软雅黑"/>
        <charset val="134"/>
      </rPr>
      <t xml:space="preserve">
</t>
    </r>
    <r>
      <rPr>
        <sz val="11"/>
        <color rgb="FF000000"/>
        <rFont val="微软雅黑"/>
        <charset val="134"/>
      </rPr>
      <t>1.22</t>
    </r>
    <r>
      <rPr>
        <sz val="11"/>
        <color rgb="FF000000"/>
        <rFont val="微软雅黑"/>
        <charset val="134"/>
      </rPr>
      <t xml:space="preserve">  </t>
    </r>
    <r>
      <rPr>
        <sz val="11"/>
        <color rgb="FF000000"/>
        <rFont val="微软雅黑"/>
        <charset val="134"/>
      </rPr>
      <t>海关操作成功</t>
    </r>
    <r>
      <rPr>
        <sz val="11"/>
        <color rgb="FF000000"/>
        <rFont val="微软雅黑"/>
        <charset val="134"/>
      </rPr>
      <t xml:space="preserve"> </t>
    </r>
  </si>
  <si>
    <t>芜湖众诚</t>
  </si>
  <si>
    <t>MIL</t>
  </si>
  <si>
    <t>广东美智联达物流供应链有限公司</t>
  </si>
  <si>
    <t>330120251000009305</t>
  </si>
  <si>
    <t>SNLFLCCX007069</t>
  </si>
  <si>
    <t>25.8.25申报，暂时进出货物，1.21申请退保证金改单</t>
  </si>
  <si>
    <t>海关系统/消保</t>
  </si>
  <si>
    <t>1.21 发起改单 海关操作成功</t>
  </si>
  <si>
    <t>230820260086516441</t>
  </si>
  <si>
    <t>CAJ0157127</t>
  </si>
  <si>
    <t>1.21 申报审结 1.22代理提供预配截图，预配船名与出运表报关单不符，代理出运表提供错误，需改单</t>
  </si>
  <si>
    <t>1.22发起改单，海关操作成功，人工放行</t>
  </si>
  <si>
    <t>南京外代</t>
  </si>
  <si>
    <t>230520260056506183</t>
  </si>
  <si>
    <t>COAU7265850830</t>
  </si>
  <si>
    <t>1.22 申报审结，涉许可证，需人工审单</t>
  </si>
  <si>
    <t>1.22 申请人工审单，报关单放行</t>
  </si>
  <si>
    <t>230520260056506357</t>
  </si>
  <si>
    <t>JNG0298637</t>
  </si>
  <si>
    <t>230520260056506509</t>
  </si>
  <si>
    <t>JNG0300035</t>
  </si>
  <si>
    <t>1.22 申报审结，未放行，申请人工放行</t>
  </si>
  <si>
    <t>230820260086517898</t>
  </si>
  <si>
    <t>JJMNJLCCNC600010</t>
  </si>
  <si>
    <r>
      <t>1.22 申请人工审单，待海关审核</t>
    </r>
    <r>
      <rPr>
        <sz val="11"/>
        <color rgb="FF000000"/>
        <rFont val="微软雅黑"/>
        <charset val="134"/>
      </rPr>
      <t xml:space="preserve">
</t>
    </r>
  </si>
  <si>
    <t>230820260086517113</t>
  </si>
  <si>
    <t>177FJUJUJ059940W</t>
  </si>
  <si>
    <t>1.22 查验</t>
  </si>
  <si>
    <r>
      <t>1.22 报查验计划，待海关作业</t>
    </r>
    <r>
      <rPr>
        <sz val="11"/>
        <color rgb="FF000000"/>
        <rFont val="微软雅黑"/>
        <charset val="134"/>
      </rPr>
      <t xml:space="preserve">
</t>
    </r>
    <r>
      <rPr>
        <sz val="11"/>
        <color rgb="FF000000"/>
        <rFont val="微软雅黑"/>
        <charset val="134"/>
      </rPr>
      <t>1.23 查验完成 报关单已放行</t>
    </r>
  </si>
  <si>
    <t>223120260000309269</t>
  </si>
  <si>
    <t>COAU7266074470</t>
  </si>
  <si>
    <r>
      <t>1.22 9:40申报审结，13：30接代理通知 集装箱号：CSGU6343780实际退关还箱，且港航数据关联的提单号并非报关提单号，需删单</t>
    </r>
    <r>
      <rPr>
        <sz val="11"/>
        <color rgb="FF000000"/>
        <rFont val="微软雅黑"/>
        <charset val="134"/>
      </rPr>
      <t xml:space="preserve"> </t>
    </r>
  </si>
  <si>
    <r>
      <t>1.26 准备删单资料，待代理提供在港证明、未上船证明后申请删单</t>
    </r>
    <r>
      <rPr>
        <sz val="11"/>
        <color rgb="FF000000"/>
        <rFont val="微软雅黑"/>
        <charset val="134"/>
      </rPr>
      <t xml:space="preserve">
</t>
    </r>
    <r>
      <rPr>
        <sz val="11"/>
        <color rgb="FF000000"/>
        <rFont val="微软雅黑"/>
        <charset val="134"/>
      </rPr>
      <t>1.27 未上船证明寄出，待收到资料后发起删单</t>
    </r>
    <r>
      <rPr>
        <sz val="11"/>
        <color rgb="FF000000"/>
        <rFont val="微软雅黑"/>
        <charset val="134"/>
      </rPr>
      <t xml:space="preserve">
</t>
    </r>
    <r>
      <rPr>
        <sz val="11"/>
        <color rgb="FF000000"/>
        <rFont val="微软雅黑"/>
        <charset val="134"/>
      </rPr>
      <t>1.28 已在全国单一重新发起删单，在上海单一排号，等待海关审批处理</t>
    </r>
    <r>
      <rPr>
        <sz val="11"/>
        <color rgb="FF000000"/>
        <rFont val="微软雅黑"/>
        <charset val="134"/>
      </rPr>
      <t xml:space="preserve">
</t>
    </r>
    <r>
      <rPr>
        <sz val="11"/>
        <color rgb="FF000000"/>
        <rFont val="微软雅黑"/>
        <charset val="134"/>
      </rPr>
      <t>1.29 删单成功</t>
    </r>
  </si>
  <si>
    <t>进口</t>
  </si>
  <si>
    <t>230820261086002412</t>
  </si>
  <si>
    <t>TLYKNJJB26010002</t>
  </si>
  <si>
    <t>修理物品，1.22 申报审结后海关挂起，现场与海关沟通后，海关认为此票货损属于保险范畴，不能报修理物品，1.26 海关反馈无需删改单，需补传资料</t>
  </si>
  <si>
    <r>
      <t>1.23 准备资料，待通关代表盖章资料寄出</t>
    </r>
    <r>
      <rPr>
        <sz val="11"/>
        <color rgb="FF000000"/>
        <rFont val="微软雅黑"/>
        <charset val="134"/>
      </rPr>
      <t xml:space="preserve">
</t>
    </r>
    <r>
      <rPr>
        <sz val="11"/>
        <color rgb="FF000000"/>
        <rFont val="微软雅黑"/>
        <charset val="134"/>
      </rPr>
      <t>1.26 现场申请海关签字，海关商议后确认可以按修理物品申报，需要改维修协议和情况说明，联系通关代表处理</t>
    </r>
    <r>
      <rPr>
        <sz val="11"/>
        <color rgb="FF000000"/>
        <rFont val="微软雅黑"/>
        <charset val="134"/>
      </rPr>
      <t xml:space="preserve">
</t>
    </r>
    <r>
      <rPr>
        <sz val="11"/>
        <color rgb="FF000000"/>
        <rFont val="微软雅黑"/>
        <charset val="134"/>
      </rPr>
      <t>1.27 更新的维修协议签章不清晰， 待美的重新提供</t>
    </r>
    <r>
      <rPr>
        <sz val="11"/>
        <color rgb="FF000000"/>
        <rFont val="微软雅黑"/>
        <charset val="134"/>
      </rPr>
      <t xml:space="preserve">
</t>
    </r>
    <r>
      <rPr>
        <sz val="11"/>
        <color rgb="FF000000"/>
        <rFont val="微软雅黑"/>
        <charset val="134"/>
      </rPr>
      <t>1.28 保证金申请提交，审批通过。再次挂起，资料已补传，等海关回执</t>
    </r>
    <r>
      <rPr>
        <sz val="11"/>
        <color rgb="FF000000"/>
        <rFont val="微软雅黑"/>
        <charset val="134"/>
      </rPr>
      <t xml:space="preserve">
</t>
    </r>
    <r>
      <rPr>
        <sz val="11"/>
        <color rgb="FF000000"/>
        <rFont val="微软雅黑"/>
        <charset val="134"/>
      </rPr>
      <t>1.29 保证金已交，审结未放行，等海关回执</t>
    </r>
    <r>
      <rPr>
        <sz val="11"/>
        <color rgb="FF000000"/>
        <rFont val="微软雅黑"/>
        <charset val="134"/>
      </rPr>
      <t xml:space="preserve">
</t>
    </r>
    <r>
      <rPr>
        <sz val="11"/>
        <color rgb="FF000000"/>
        <rFont val="微软雅黑"/>
        <charset val="134"/>
      </rPr>
      <t>1.30 海关操作成功 已放行</t>
    </r>
  </si>
  <si>
    <t>230820260086513893</t>
  </si>
  <si>
    <t>177SJWJWJ049506S</t>
  </si>
  <si>
    <t>1.19 申报放行，1.23 代理通知改配</t>
  </si>
  <si>
    <t>1.23 申请改配，海关操作成功</t>
  </si>
  <si>
    <t>230820260086519323</t>
  </si>
  <si>
    <t>COAU7265631860</t>
  </si>
  <si>
    <t>国内单证：2拼票，1.23下午16:43申报海关放行，未码放，主单的EMF数据错发成"主+分"合计的数据，主单的预配舱单错误，代理已安排推驳船。需置空船名释放预配舱单，删预配后重发正确预配。</t>
  </si>
  <si>
    <r>
      <t>1.26 申请置空船名，代理删预配重新发送，置回正确船名，报关单放行，码头无放行信息</t>
    </r>
    <r>
      <rPr>
        <sz val="11"/>
        <color rgb="FF000000"/>
        <rFont val="微软雅黑"/>
        <charset val="134"/>
      </rPr>
      <t xml:space="preserve">
</t>
    </r>
    <r>
      <rPr>
        <sz val="11"/>
        <color rgb="FF000000"/>
        <rFont val="微软雅黑"/>
        <charset val="134"/>
      </rPr>
      <t>1.27 申请海关操作人工码放，海关反馈到货信息与报关单不一致，反查重发预配数据有误。重新置空、重发预配、置回成功，货物放行</t>
    </r>
  </si>
  <si>
    <t>230820260086519322</t>
  </si>
  <si>
    <t>COAU726563186001</t>
  </si>
  <si>
    <t>国内单证：因主单EMF数据发错，拼单船名航次需同步修改，释放预配舱单。</t>
  </si>
  <si>
    <t>230820260086519659</t>
  </si>
  <si>
    <t>FNB0F30603</t>
  </si>
  <si>
    <t>申报：错申报为南京驳船，勾选水运中转，正确为宁波大船，需删单重报</t>
  </si>
  <si>
    <t>1.26 现场联系宁波码头开具在港证明，准备删单资料。删单成功</t>
  </si>
  <si>
    <t>230520260056507265</t>
  </si>
  <si>
    <t>JNG0297025</t>
  </si>
  <si>
    <t>1.26 申报审结，涉电机，需人工审单</t>
  </si>
  <si>
    <t>1.26 申请人工审单，报关单放行</t>
  </si>
  <si>
    <t>230520260056507635</t>
  </si>
  <si>
    <t>NOSZJ26LB87028</t>
  </si>
  <si>
    <t>230520260056507456</t>
  </si>
  <si>
    <t>COAU7266098290</t>
  </si>
  <si>
    <t>1.26 申报审结，涉许可证，需人工审单</t>
  </si>
  <si>
    <t>230520260056507648</t>
  </si>
  <si>
    <t>JNG0298643</t>
  </si>
  <si>
    <t>230820260086515814</t>
  </si>
  <si>
    <t>JNG0297816</t>
  </si>
  <si>
    <t>1.20 申报放行，1.26代理通知出运表船名航次错，需更改船名航次</t>
  </si>
  <si>
    <r>
      <t>1.26 待代理确认费用后安排改配</t>
    </r>
    <r>
      <rPr>
        <sz val="11"/>
        <color rgb="FF000000"/>
        <rFont val="微软雅黑"/>
        <charset val="134"/>
      </rPr>
      <t xml:space="preserve">
</t>
    </r>
    <r>
      <rPr>
        <sz val="11"/>
        <color rgb="FF000000"/>
        <rFont val="微软雅黑"/>
        <charset val="134"/>
      </rPr>
      <t>1.27 代理反馈无需操作改配</t>
    </r>
  </si>
  <si>
    <t>230820260086517995</t>
  </si>
  <si>
    <t>JNG0299113</t>
  </si>
  <si>
    <r>
      <t>1.23申报放行，1.26接美的通知：因货物品质问题要求返场，需办理删单、重出重回。</t>
    </r>
    <r>
      <rPr>
        <sz val="11"/>
        <color rgb="FF000000"/>
        <rFont val="微软雅黑"/>
        <charset val="134"/>
      </rPr>
      <t xml:space="preserve">
</t>
    </r>
    <r>
      <rPr>
        <sz val="11"/>
        <color rgb="FF000000"/>
        <rFont val="微软雅黑"/>
        <charset val="134"/>
      </rPr>
      <t>箱号：BMOU5421832/CMAU4556733/CMAU7749063/TCNU6231126</t>
    </r>
  </si>
  <si>
    <r>
      <t>1.26 准备删单、重出资料，通关代表盖章寄出</t>
    </r>
    <r>
      <rPr>
        <sz val="11"/>
        <color rgb="FF000000"/>
        <rFont val="微软雅黑"/>
        <charset val="134"/>
      </rPr>
      <t xml:space="preserve">
</t>
    </r>
    <r>
      <rPr>
        <sz val="11"/>
        <color rgb="FF000000"/>
        <rFont val="微软雅黑"/>
        <charset val="134"/>
      </rPr>
      <t>1.28 待现场收到资料后申请删单，删单、删运抵、删预配 成功</t>
    </r>
    <r>
      <rPr>
        <sz val="11"/>
        <color rgb="FF000000"/>
        <rFont val="微软雅黑"/>
        <charset val="134"/>
      </rPr>
      <t xml:space="preserve">
</t>
    </r>
    <r>
      <rPr>
        <sz val="11"/>
        <color rgb="FF000000"/>
        <rFont val="微软雅黑"/>
        <charset val="134"/>
      </rPr>
      <t>1.29 重出办理完成</t>
    </r>
  </si>
  <si>
    <t>222920260000363921</t>
  </si>
  <si>
    <t>KMTCSHAP090445B</t>
  </si>
  <si>
    <t>1.26 查验</t>
  </si>
  <si>
    <r>
      <t>1.26 现场申请查验计划</t>
    </r>
    <r>
      <rPr>
        <sz val="11"/>
        <color rgb="FF000000"/>
        <rFont val="微软雅黑"/>
        <charset val="134"/>
      </rPr>
      <t xml:space="preserve">
</t>
    </r>
    <r>
      <rPr>
        <sz val="11"/>
        <color rgb="FF000000"/>
        <rFont val="微软雅黑"/>
        <charset val="134"/>
      </rPr>
      <t>1.27 追加人工查验</t>
    </r>
    <r>
      <rPr>
        <sz val="11"/>
        <color rgb="FF000000"/>
        <rFont val="微软雅黑"/>
        <charset val="134"/>
      </rPr>
      <t xml:space="preserve">
</t>
    </r>
    <r>
      <rPr>
        <sz val="11"/>
        <color rgb="FF000000"/>
        <rFont val="微软雅黑"/>
        <charset val="134"/>
      </rPr>
      <t>1.28 海关操作成功 报关单已放行</t>
    </r>
  </si>
  <si>
    <t>222520251000230322</t>
  </si>
  <si>
    <t>SNLFLCCL008515</t>
  </si>
  <si>
    <t>25.10.13申报，暂时进出货物，1.23申请退保证金改单</t>
  </si>
  <si>
    <r>
      <t xml:space="preserve">1.23 发起改单 </t>
    </r>
    <r>
      <rPr>
        <sz val="11"/>
        <color rgb="FF000000"/>
        <rFont val="微软雅黑"/>
        <charset val="134"/>
      </rPr>
      <t xml:space="preserve">
</t>
    </r>
    <r>
      <rPr>
        <sz val="11"/>
        <color rgb="FF000000"/>
        <rFont val="微软雅黑"/>
        <charset val="134"/>
      </rPr>
      <t>1.26 海关操作成功，报关单放行</t>
    </r>
  </si>
  <si>
    <t>230520260056507747</t>
  </si>
  <si>
    <t>NOSZJ26LB87027A</t>
  </si>
  <si>
    <r>
      <t>1.26 申报审结，涉许可证，需人工审单</t>
    </r>
    <r>
      <rPr>
        <sz val="11"/>
        <color rgb="FF000000"/>
        <rFont val="微软雅黑"/>
        <charset val="134"/>
      </rPr>
      <t xml:space="preserve">
</t>
    </r>
    <r>
      <rPr>
        <sz val="11"/>
        <color rgb="FF000000"/>
        <rFont val="微软雅黑"/>
        <charset val="134"/>
      </rPr>
      <t>1.27 代理安排驳船捎带</t>
    </r>
  </si>
  <si>
    <r>
      <t>1.26 申请人工审单</t>
    </r>
    <r>
      <rPr>
        <sz val="11"/>
        <color rgb="FF000000"/>
        <rFont val="微软雅黑"/>
        <charset val="134"/>
      </rPr>
      <t xml:space="preserve">
</t>
    </r>
    <r>
      <rPr>
        <sz val="11"/>
        <color rgb="FF000000"/>
        <rFont val="微软雅黑"/>
        <charset val="134"/>
      </rPr>
      <t>1.27 海关操作成功，报关单放行</t>
    </r>
  </si>
  <si>
    <t>230520260056507723</t>
  </si>
  <si>
    <t>JNG0298644</t>
  </si>
  <si>
    <r>
      <t>1.26 申请人工审单</t>
    </r>
    <r>
      <rPr>
        <sz val="11"/>
        <color rgb="FF000000"/>
        <rFont val="微软雅黑"/>
        <charset val="134"/>
      </rPr>
      <t xml:space="preserve">
</t>
    </r>
    <r>
      <rPr>
        <sz val="11"/>
        <color rgb="FF000000"/>
        <rFont val="微软雅黑"/>
        <charset val="134"/>
      </rPr>
      <t>1.27 海关操作成功 报关单已放行</t>
    </r>
  </si>
  <si>
    <t>230520260056507773</t>
  </si>
  <si>
    <t>HLCUNK2260105459</t>
  </si>
  <si>
    <t>1.27 申报审结，涉电机，需人工审单</t>
  </si>
  <si>
    <t>1.27海关人工审单，报关单放行</t>
  </si>
  <si>
    <t>230520260056507874</t>
  </si>
  <si>
    <t>COAU7266098550</t>
  </si>
  <si>
    <t>230520260056507881</t>
  </si>
  <si>
    <t>COAU7266098050</t>
  </si>
  <si>
    <t>330120260000003887</t>
  </si>
  <si>
    <t>177FJWJWJ506774S</t>
  </si>
  <si>
    <t>1.27 查验</t>
  </si>
  <si>
    <r>
      <t>1.27 提交查验计划</t>
    </r>
    <r>
      <rPr>
        <sz val="11"/>
        <color rgb="FF000000"/>
        <rFont val="微软雅黑"/>
        <charset val="134"/>
      </rPr>
      <t xml:space="preserve">
</t>
    </r>
    <r>
      <rPr>
        <sz val="11"/>
        <color rgb="FF000000"/>
        <rFont val="微软雅黑"/>
        <charset val="134"/>
      </rPr>
      <t>1.28 海关操作成功，报关单已放行</t>
    </r>
  </si>
  <si>
    <t>230820260086521083</t>
  </si>
  <si>
    <t>COSU6442868050</t>
  </si>
  <si>
    <t>1.26 海放未码放，海关已下班，次日联系海关做码头放行。1.27代理通知推1.29号驳船。需改配</t>
  </si>
  <si>
    <r>
      <t>1.27 待代理提供新BC</t>
    </r>
    <r>
      <rPr>
        <sz val="11"/>
        <color rgb="FF000000"/>
        <rFont val="微软雅黑"/>
        <charset val="134"/>
      </rPr>
      <t xml:space="preserve">
</t>
    </r>
    <r>
      <rPr>
        <sz val="11"/>
        <color rgb="FF000000"/>
        <rFont val="微软雅黑"/>
        <charset val="134"/>
      </rPr>
      <t>1.28 码头放行，申请更改船名，海关操作成功</t>
    </r>
  </si>
  <si>
    <t>230820260086522458</t>
  </si>
  <si>
    <t>COSU6443254500</t>
  </si>
  <si>
    <r>
      <t>申报：1.27 件数错申报为30件，正确为18件。</t>
    </r>
    <r>
      <rPr>
        <sz val="11"/>
        <color rgb="FF000000"/>
        <rFont val="微软雅黑"/>
        <charset val="134"/>
      </rPr>
      <t xml:space="preserve">
</t>
    </r>
    <r>
      <rPr>
        <sz val="11"/>
        <color rgb="FF000000"/>
        <rFont val="微软雅黑"/>
        <charset val="134"/>
      </rPr>
      <t>1.29 删单成功，重报</t>
    </r>
  </si>
  <si>
    <r>
      <t>1.27 准备改单资料，发起改单，待海关受理</t>
    </r>
    <r>
      <rPr>
        <sz val="11"/>
        <color rgb="FF000000"/>
        <rFont val="微软雅黑"/>
        <charset val="134"/>
      </rPr>
      <t xml:space="preserve">
</t>
    </r>
    <r>
      <rPr>
        <sz val="11"/>
        <color rgb="FF000000"/>
        <rFont val="微软雅黑"/>
        <charset val="134"/>
      </rPr>
      <t>1.29 改单驳回，联系通关代表准备删单资料，删单成功。</t>
    </r>
  </si>
  <si>
    <t>230820250085782960</t>
  </si>
  <si>
    <t>SNLFNJPXSWY0953</t>
  </si>
  <si>
    <t>25.12.16 申报放行 26.1.2已结关。1.28接南京海关统计科通知：要求核查数量和重量。经和美的业务再次确认，实际正确毛重：528kg 净重：472kg，系统数据错误（业务员提供）毛重：16kg 净重：8kg。需改单</t>
  </si>
  <si>
    <t>海关核查</t>
  </si>
  <si>
    <r>
      <t>1.28 联系通关代表，提供情况说明</t>
    </r>
    <r>
      <rPr>
        <sz val="11"/>
        <color rgb="FF000000"/>
        <rFont val="微软雅黑"/>
        <charset val="134"/>
      </rPr>
      <t xml:space="preserve">
</t>
    </r>
    <r>
      <rPr>
        <sz val="11"/>
        <color rgb="FF000000"/>
        <rFont val="微软雅黑"/>
        <charset val="134"/>
      </rPr>
      <t>1.29 现场与海关沟通，确定不处罚，准备改单资料</t>
    </r>
    <r>
      <rPr>
        <sz val="11"/>
        <color rgb="FF000000"/>
        <rFont val="微软雅黑"/>
        <charset val="134"/>
      </rPr>
      <t xml:space="preserve">
</t>
    </r>
    <r>
      <rPr>
        <sz val="11"/>
        <color rgb="FF000000"/>
        <rFont val="微软雅黑"/>
        <charset val="134"/>
      </rPr>
      <t>1.30 情况说明交海关审核签字</t>
    </r>
    <r>
      <rPr>
        <sz val="11"/>
        <color rgb="FF000000"/>
        <rFont val="微软雅黑"/>
        <charset val="134"/>
      </rPr>
      <t xml:space="preserve">
</t>
    </r>
    <r>
      <rPr>
        <sz val="11"/>
        <color rgb="FF000000"/>
        <rFont val="微软雅黑"/>
        <charset val="134"/>
      </rPr>
      <t>2.2 发起改单申请，海关操作成功</t>
    </r>
  </si>
  <si>
    <t>230520260056507725</t>
  </si>
  <si>
    <t>1.26 申报放行 1.28接代理通知，此票要换提单号箱号改配出运，需删单重报</t>
  </si>
  <si>
    <r>
      <t>1.28 和通关代表确认删单，准备删单资料</t>
    </r>
    <r>
      <rPr>
        <sz val="11"/>
        <color rgb="FF000000"/>
        <rFont val="微软雅黑"/>
        <charset val="134"/>
      </rPr>
      <t xml:space="preserve">
</t>
    </r>
    <r>
      <rPr>
        <sz val="11"/>
        <color rgb="FF000000"/>
        <rFont val="微软雅黑"/>
        <charset val="134"/>
      </rPr>
      <t>1.29 发起删单，海关操作成功</t>
    </r>
  </si>
  <si>
    <t>张家港中艺</t>
  </si>
  <si>
    <t>230520260056508719</t>
  </si>
  <si>
    <t>JNG0298641</t>
  </si>
  <si>
    <r>
      <t>1.28 17:20 申报审结，涉许可证，需人工审单</t>
    </r>
    <r>
      <rPr>
        <sz val="11"/>
        <color rgb="FF000000"/>
        <rFont val="微软雅黑"/>
        <charset val="134"/>
      </rPr>
      <t xml:space="preserve">   </t>
    </r>
    <r>
      <rPr>
        <sz val="11"/>
        <color rgb="FF000000"/>
        <rFont val="微软雅黑"/>
        <charset val="134"/>
      </rPr>
      <t>1.29驳船</t>
    </r>
  </si>
  <si>
    <r>
      <t>1.28 申请人工审单</t>
    </r>
    <r>
      <rPr>
        <sz val="11"/>
        <color rgb="FF000000"/>
        <rFont val="微软雅黑"/>
        <charset val="134"/>
      </rPr>
      <t xml:space="preserve">
</t>
    </r>
    <r>
      <rPr>
        <sz val="11"/>
        <color rgb="FF000000"/>
        <rFont val="微软雅黑"/>
        <charset val="134"/>
      </rPr>
      <t>1.29 海关操作成功 已放行</t>
    </r>
  </si>
  <si>
    <t>230820260086522656</t>
  </si>
  <si>
    <t>177TJWJWJ049438S</t>
  </si>
  <si>
    <t>1.27 22:54 查验</t>
  </si>
  <si>
    <t>1.28 提交查验计划，查验完成，报关单已放行</t>
  </si>
  <si>
    <t>230820260086523040</t>
  </si>
  <si>
    <t>177NJCJCJ028656AU</t>
  </si>
  <si>
    <r>
      <t>1.28 申报审结，涉许可证，需人工审单</t>
    </r>
    <r>
      <rPr>
        <sz val="11"/>
        <color rgb="FF000000"/>
        <rFont val="微软雅黑"/>
        <charset val="134"/>
      </rPr>
      <t xml:space="preserve"> </t>
    </r>
  </si>
  <si>
    <t>1.28 申请人工审单，海关操作成功，报关单已放行</t>
  </si>
  <si>
    <t>230520260056508484</t>
  </si>
  <si>
    <t>EGLV145699025858</t>
  </si>
  <si>
    <r>
      <t>1.28 申报审结，涉电机，需人工审单</t>
    </r>
    <r>
      <rPr>
        <sz val="11"/>
        <color rgb="FF000000"/>
        <rFont val="微软雅黑"/>
        <charset val="134"/>
      </rPr>
      <t xml:space="preserve"> </t>
    </r>
  </si>
  <si>
    <t>230520260056508942</t>
  </si>
  <si>
    <t>ONEYNKGG01416600B</t>
  </si>
  <si>
    <t>1.29 申报</t>
  </si>
  <si>
    <t>1.29 申请人工审单，海关操作成功，报关单已放行</t>
  </si>
  <si>
    <t>330120260000004413</t>
  </si>
  <si>
    <t>CAJ0157424</t>
  </si>
  <si>
    <t>1.29 查验</t>
  </si>
  <si>
    <t>1.29 提交查验计划，查验完成，报关单已放行</t>
  </si>
  <si>
    <t>330120260000004572</t>
  </si>
  <si>
    <t>177IJWJWJ506724S</t>
  </si>
  <si>
    <r>
      <t>1.29 17:53提交查验计划</t>
    </r>
    <r>
      <rPr>
        <sz val="11"/>
        <color rgb="FF000000"/>
        <rFont val="微软雅黑"/>
        <charset val="134"/>
      </rPr>
      <t xml:space="preserve">
</t>
    </r>
    <r>
      <rPr>
        <sz val="11"/>
        <color rgb="FF000000"/>
        <rFont val="微软雅黑"/>
        <charset val="134"/>
      </rPr>
      <t>1.30 安排查验，查验完成，报关单已放行</t>
    </r>
  </si>
  <si>
    <t>上海凯昭商贸有限公司</t>
  </si>
  <si>
    <t>330120260000004298</t>
  </si>
  <si>
    <t>COSU6442482110</t>
  </si>
  <si>
    <t>国内单证：1.28 申报放行，代理通知预配柜型有误，应为2大柜，EMF提交为1小柜1大柜。</t>
  </si>
  <si>
    <t>1.28 预配退关重发成功</t>
  </si>
  <si>
    <t>230520260056509549</t>
  </si>
  <si>
    <t>JNG0299998</t>
  </si>
  <si>
    <t>1.30 申报审结，涉电机、许可证，需人工审单</t>
  </si>
  <si>
    <t>1.30 申请人工审单，海关操作成功，报关单已放行</t>
  </si>
  <si>
    <t>230520260056509573</t>
  </si>
  <si>
    <t>COSU6443262860</t>
  </si>
  <si>
    <t>1.30 申报审结，涉电机，需人工审单</t>
  </si>
  <si>
    <t>230820260086526505</t>
  </si>
  <si>
    <t>177NJCJCJ028657U</t>
  </si>
  <si>
    <t>230820260086526308</t>
  </si>
  <si>
    <t>COSU6443840610</t>
  </si>
  <si>
    <t>1.30 上午收到BC安排申报， 14：09海关放行未码放，16：55代理提供预配截图，船名航次与BC不符，原因：中午客户通知换船，代理未同步相关船名航次信息。需改配</t>
  </si>
  <si>
    <r>
      <t>1.30 17：00 申请改船名航次</t>
    </r>
    <r>
      <rPr>
        <sz val="11"/>
        <color rgb="FF000000"/>
        <rFont val="微软雅黑"/>
        <charset val="134"/>
      </rPr>
      <t xml:space="preserve">
</t>
    </r>
    <r>
      <rPr>
        <sz val="11"/>
        <color rgb="FF000000"/>
        <rFont val="微软雅黑"/>
        <charset val="134"/>
      </rPr>
      <t>2.2 海关操作成功</t>
    </r>
  </si>
  <si>
    <t>940320260000011670</t>
  </si>
  <si>
    <t>T262338849</t>
  </si>
  <si>
    <t>2.1 申报审结 2.2 海关挂起，要求补传：第三方检测报告，商品2,3,4,5相关材质检测报告</t>
  </si>
  <si>
    <r>
      <t>2.2 待通关代表提供相关检测报告</t>
    </r>
    <r>
      <rPr>
        <sz val="11"/>
        <color rgb="FF000000"/>
        <rFont val="微软雅黑"/>
        <charset val="134"/>
      </rPr>
      <t xml:space="preserve">
</t>
    </r>
    <r>
      <rPr>
        <sz val="11"/>
        <color rgb="FF000000"/>
        <rFont val="微软雅黑"/>
        <charset val="134"/>
      </rPr>
      <t>2.3 补传相关资料，海关审核后再次挂起，美的无相关资料</t>
    </r>
    <r>
      <rPr>
        <sz val="11"/>
        <color rgb="FF000000"/>
        <rFont val="微软雅黑"/>
        <charset val="134"/>
      </rPr>
      <t xml:space="preserve">
</t>
    </r>
    <r>
      <rPr>
        <sz val="11"/>
        <color rgb="FF000000"/>
        <rFont val="微软雅黑"/>
        <charset val="134"/>
      </rPr>
      <t>2.4 联系海关反馈现况，海关按原资料审单放行</t>
    </r>
  </si>
  <si>
    <t>230520260056509975</t>
  </si>
  <si>
    <t>COSU6441040460</t>
  </si>
  <si>
    <t>2.2 申报审结，未放行，申请人工放行</t>
  </si>
  <si>
    <t>2.2 申请人工放行，海关操作成功，报关单已放行</t>
  </si>
  <si>
    <t>230520260056509988</t>
  </si>
  <si>
    <t>COSU6443138070</t>
  </si>
  <si>
    <t>230520260056510134</t>
  </si>
  <si>
    <t>HLCUNK22601APUW2</t>
  </si>
  <si>
    <t>无锡美芝电器有限公司</t>
  </si>
  <si>
    <t>230520260056510271</t>
  </si>
  <si>
    <t>SNLGZGJL005914B</t>
  </si>
  <si>
    <t>2.2 查验</t>
  </si>
  <si>
    <t>2.2 提交查验计划，查验完成，报关单已放行</t>
  </si>
  <si>
    <t>230520260056510358</t>
  </si>
  <si>
    <t>JNG0300078</t>
  </si>
  <si>
    <t>2.2 申报审结，涉电机，需人工审单。3号需放行</t>
  </si>
  <si>
    <r>
      <t>2.3 申请人工审单，电机审单无误。海关要求提供洗衣机安装组件具体明细，联系通关代表提供情况说明。海关审核不通过要求按要求参照2B350的参数重新出具情况说明，待通关代表提供</t>
    </r>
    <r>
      <rPr>
        <sz val="11"/>
        <color rgb="FF000000"/>
        <rFont val="微软雅黑"/>
        <charset val="134"/>
      </rPr>
      <t xml:space="preserve">
</t>
    </r>
    <r>
      <rPr>
        <sz val="11"/>
        <color rgb="FF000000"/>
        <rFont val="微软雅黑"/>
        <charset val="134"/>
      </rPr>
      <t>2.4 按海关要求重新出具情况说明，海关审单，报关单放行</t>
    </r>
  </si>
  <si>
    <t>230520260056510371</t>
  </si>
  <si>
    <t>2.2 申报审结，涉电机，需人工审单</t>
  </si>
  <si>
    <t>2.2 申请人工审单，海关操作成功，报关单已放行</t>
  </si>
  <si>
    <t>230520260056510481</t>
  </si>
  <si>
    <t>CAJ0158010</t>
  </si>
  <si>
    <t>2.2 申报审结，涉电机，需人工审单。3号上午需放行</t>
  </si>
  <si>
    <r>
      <t>2.3 申请人工审单，电机审单无误。海关要求参照2B350的参数重新出具情况说明，待通关代表提供</t>
    </r>
    <r>
      <rPr>
        <sz val="11"/>
        <color rgb="FF000000"/>
        <rFont val="微软雅黑"/>
        <charset val="134"/>
      </rPr>
      <t xml:space="preserve">
</t>
    </r>
    <r>
      <rPr>
        <sz val="11"/>
        <color rgb="FF000000"/>
        <rFont val="微软雅黑"/>
        <charset val="134"/>
      </rPr>
      <t>2.4 按海关要求重新出具情况说明，海关审单，报关单放行</t>
    </r>
  </si>
  <si>
    <t>230820260086525574</t>
  </si>
  <si>
    <t>JNG0300365</t>
  </si>
  <si>
    <t>1.29申报放行，2.2 代理通知放行后推船</t>
  </si>
  <si>
    <r>
      <t>2.2 申请改配 待海关操作</t>
    </r>
    <r>
      <rPr>
        <sz val="11"/>
        <color rgb="FF000000"/>
        <rFont val="微软雅黑"/>
        <charset val="134"/>
      </rPr>
      <t xml:space="preserve">
</t>
    </r>
    <r>
      <rPr>
        <sz val="11"/>
        <color rgb="FF000000"/>
        <rFont val="微软雅黑"/>
        <charset val="134"/>
      </rPr>
      <t>2.3 海关操作成功</t>
    </r>
  </si>
  <si>
    <t>南京远洋</t>
  </si>
  <si>
    <t>230820260086525573</t>
  </si>
  <si>
    <t>JNG0300365A</t>
  </si>
  <si>
    <t>230820260086528122</t>
  </si>
  <si>
    <t>177IJWJWJ049460S</t>
  </si>
  <si>
    <r>
      <t>2.2 提交查验计划</t>
    </r>
    <r>
      <rPr>
        <sz val="11"/>
        <color rgb="FF000000"/>
        <rFont val="微软雅黑"/>
        <charset val="134"/>
      </rPr>
      <t xml:space="preserve">
</t>
    </r>
    <r>
      <rPr>
        <sz val="11"/>
        <color rgb="FF000000"/>
        <rFont val="微软雅黑"/>
        <charset val="134"/>
      </rPr>
      <t>2.3 安排查验，查验完成，报关单已放行</t>
    </r>
  </si>
  <si>
    <t>230820260086528109</t>
  </si>
  <si>
    <t>NOSNJ26LB46032</t>
  </si>
  <si>
    <t>2.2 申报审结，涉许可证，需人工审单</t>
  </si>
  <si>
    <t>230820260086527789</t>
  </si>
  <si>
    <t>COSU6443265920</t>
  </si>
  <si>
    <t>230820260086527450</t>
  </si>
  <si>
    <t>177IJWJWJ049478S</t>
  </si>
  <si>
    <t>申报：2.2 申报海关放行，未码放。反查原因制单航次报错，需改配</t>
  </si>
  <si>
    <t>2.2 申请改配 海关操作成功</t>
  </si>
  <si>
    <t>230820260086527226</t>
  </si>
  <si>
    <t>JNG0296654</t>
  </si>
  <si>
    <t>230820260086529035</t>
  </si>
  <si>
    <t>JNG0300637</t>
  </si>
  <si>
    <r>
      <t>2.2 查验</t>
    </r>
    <r>
      <rPr>
        <sz val="11"/>
        <color rgb="FF000000"/>
        <rFont val="微软雅黑"/>
        <charset val="134"/>
      </rPr>
      <t xml:space="preserve">
</t>
    </r>
    <r>
      <rPr>
        <sz val="11"/>
        <color rgb="FF000000"/>
        <rFont val="微软雅黑"/>
        <charset val="134"/>
      </rPr>
      <t>2.5 人工查验发现，再生木托包装未申报，需要写情况说明申请改单</t>
    </r>
  </si>
  <si>
    <r>
      <t>2.2 提交查验计划</t>
    </r>
    <r>
      <rPr>
        <sz val="11"/>
        <color rgb="FF000000"/>
        <rFont val="微软雅黑"/>
        <charset val="134"/>
      </rPr>
      <t xml:space="preserve">
</t>
    </r>
    <r>
      <rPr>
        <sz val="11"/>
        <color rgb="FF000000"/>
        <rFont val="微软雅黑"/>
        <charset val="134"/>
      </rPr>
      <t>2.4 安排查验，机检无误，追加人工查验，提交查验计划</t>
    </r>
    <r>
      <rPr>
        <sz val="11"/>
        <color rgb="FF000000"/>
        <rFont val="微软雅黑"/>
        <charset val="134"/>
      </rPr>
      <t xml:space="preserve">
</t>
    </r>
    <r>
      <rPr>
        <sz val="11"/>
        <color rgb="FF000000"/>
        <rFont val="微软雅黑"/>
        <charset val="134"/>
      </rPr>
      <t>2.5 人工查验，发现集装箱中有再生木托包装未申报，需改单 ，联系通关代表提供情况说明，准备改单资料</t>
    </r>
    <r>
      <rPr>
        <sz val="11"/>
        <color rgb="FF000000"/>
        <rFont val="微软雅黑"/>
        <charset val="134"/>
      </rPr>
      <t xml:space="preserve">
</t>
    </r>
    <r>
      <rPr>
        <sz val="11"/>
        <color rgb="FF000000"/>
        <rFont val="微软雅黑"/>
        <charset val="134"/>
      </rPr>
      <t>2.6 查验单据流转到海关监管科，海关审核完成，报关单放行。改单资料海关签字后发起改单申请，海关操作完成。</t>
    </r>
  </si>
  <si>
    <t>232720260276525485</t>
  </si>
  <si>
    <t>TLTCLCJH26021006</t>
  </si>
  <si>
    <r>
      <t>2.2 申请人工审单</t>
    </r>
    <r>
      <rPr>
        <sz val="11"/>
        <color rgb="FF000000"/>
        <rFont val="微软雅黑"/>
        <charset val="134"/>
      </rPr>
      <t xml:space="preserve">
</t>
    </r>
    <r>
      <rPr>
        <sz val="11"/>
        <color rgb="FF000000"/>
        <rFont val="微软雅黑"/>
        <charset val="134"/>
      </rPr>
      <t>2.3 海关操作成功，报关单已放行</t>
    </r>
  </si>
  <si>
    <t>232720260276525472</t>
  </si>
  <si>
    <t>TLTCLCJH26021005</t>
  </si>
  <si>
    <r>
      <t>2.2 申报审结，涉电机，需人工审单</t>
    </r>
    <r>
      <rPr>
        <sz val="11"/>
        <color rgb="FF000000"/>
        <rFont val="微软雅黑"/>
        <charset val="134"/>
      </rPr>
      <t xml:space="preserve">
</t>
    </r>
    <r>
      <rPr>
        <sz val="11"/>
        <color rgb="FF000000"/>
        <rFont val="微软雅黑"/>
        <charset val="134"/>
      </rPr>
      <t>2.3 海关挂起</t>
    </r>
  </si>
  <si>
    <r>
      <t>2.2 申请人工审单</t>
    </r>
    <r>
      <rPr>
        <sz val="11"/>
        <color rgb="FF000000"/>
        <rFont val="微软雅黑"/>
        <charset val="134"/>
      </rPr>
      <t xml:space="preserve">
</t>
    </r>
    <r>
      <rPr>
        <sz val="11"/>
        <color rgb="FF000000"/>
        <rFont val="微软雅黑"/>
        <charset val="134"/>
      </rPr>
      <t>2.3 海关挂起，要求提供构成组件上第2、5项成分含量，是否含贵金属，通关代表提供情况说明，已补传</t>
    </r>
    <r>
      <rPr>
        <sz val="11"/>
        <color rgb="FF000000"/>
        <rFont val="微软雅黑"/>
        <charset val="134"/>
      </rPr>
      <t xml:space="preserve">
</t>
    </r>
    <r>
      <rPr>
        <sz val="11"/>
        <color rgb="FF000000"/>
        <rFont val="微软雅黑"/>
        <charset val="134"/>
      </rPr>
      <t>2.4现场联系海关人工审单，海关退回重新挂起，要求重新提供情况说明，联系通关代表提供新的情况说明</t>
    </r>
    <r>
      <rPr>
        <sz val="11"/>
        <color rgb="FF000000"/>
        <rFont val="微软雅黑"/>
        <charset val="134"/>
      </rPr>
      <t xml:space="preserve">
</t>
    </r>
    <r>
      <rPr>
        <sz val="11"/>
        <color rgb="FF000000"/>
        <rFont val="微软雅黑"/>
        <charset val="134"/>
      </rPr>
      <t>2.5再次更新情况说明，现场交海关审核</t>
    </r>
    <r>
      <rPr>
        <sz val="11"/>
        <color rgb="FF000000"/>
        <rFont val="微软雅黑"/>
        <charset val="134"/>
      </rPr>
      <t xml:space="preserve">
</t>
    </r>
    <r>
      <rPr>
        <sz val="11"/>
        <color rgb="FF000000"/>
        <rFont val="微软雅黑"/>
        <charset val="134"/>
      </rPr>
      <t>2.6海关审单未完成，申请周六加班审核</t>
    </r>
    <r>
      <rPr>
        <sz val="11"/>
        <color rgb="FF000000"/>
        <rFont val="微软雅黑"/>
        <charset val="134"/>
      </rPr>
      <t xml:space="preserve">
</t>
    </r>
    <r>
      <rPr>
        <sz val="11"/>
        <color rgb="FF000000"/>
        <rFont val="微软雅黑"/>
        <charset val="134"/>
      </rPr>
      <t>2.9现场联系海关审单，审单完成，报关单已放行</t>
    </r>
  </si>
  <si>
    <t>232720260276525443</t>
  </si>
  <si>
    <t>TLTCLCJH26021002</t>
  </si>
  <si>
    <t>232720260276525428</t>
  </si>
  <si>
    <t>TLTCLCJH26021003</t>
  </si>
  <si>
    <r>
      <t>2.2 申请人工审单</t>
    </r>
    <r>
      <rPr>
        <sz val="11"/>
        <color rgb="FF000000"/>
        <rFont val="微软雅黑"/>
        <charset val="134"/>
      </rPr>
      <t xml:space="preserve">
</t>
    </r>
    <r>
      <rPr>
        <sz val="11"/>
        <color rgb="FF000000"/>
        <rFont val="微软雅黑"/>
        <charset val="134"/>
      </rPr>
      <t>2.3 海关操作成功 报关单已放行</t>
    </r>
  </si>
  <si>
    <t>230820260086524818</t>
  </si>
  <si>
    <r>
      <t>COSU6443254500</t>
    </r>
    <r>
      <rPr>
        <sz val="11"/>
        <color rgb="FF000000"/>
        <rFont val="微软雅黑"/>
        <charset val="134"/>
      </rPr>
      <t xml:space="preserve"> </t>
    </r>
  </si>
  <si>
    <t>1.29申报审结 1.30 海关研判</t>
  </si>
  <si>
    <t>海关研判</t>
  </si>
  <si>
    <r>
      <t>1.29 重报审结，第28项冲切机被海关研判，要求核实是否涉及两用物项许可证的管理，并要求提供产品参数铭牌等相关信息，联系通关代表处理，已提供情况说明，暂无产品参数信息。</t>
    </r>
    <r>
      <rPr>
        <sz val="11"/>
        <color rgb="FF000000"/>
        <rFont val="微软雅黑"/>
        <charset val="134"/>
      </rPr>
      <t xml:space="preserve">
</t>
    </r>
    <r>
      <rPr>
        <sz val="11"/>
        <color rgb="FF000000"/>
        <rFont val="微软雅黑"/>
        <charset val="134"/>
      </rPr>
      <t>1.30现场递交情况说明，海关通知周一开会研判</t>
    </r>
    <r>
      <rPr>
        <sz val="11"/>
        <color rgb="FF000000"/>
        <rFont val="微软雅黑"/>
        <charset val="134"/>
      </rPr>
      <t xml:space="preserve">
</t>
    </r>
    <r>
      <rPr>
        <sz val="11"/>
        <color rgb="FF000000"/>
        <rFont val="微软雅黑"/>
        <charset val="134"/>
      </rPr>
      <t>2.2海关开会研判，要求提供冲切机的使用说明书、加工总定位精度的具体出处，联系通关代表处理</t>
    </r>
    <r>
      <rPr>
        <sz val="11"/>
        <color rgb="FF000000"/>
        <rFont val="微软雅黑"/>
        <charset val="134"/>
      </rPr>
      <t xml:space="preserve">
</t>
    </r>
    <r>
      <rPr>
        <sz val="11"/>
        <color rgb="FF000000"/>
        <rFont val="微软雅黑"/>
        <charset val="134"/>
      </rPr>
      <t>2.3 报关单已放行</t>
    </r>
  </si>
  <si>
    <t>230520260056510549</t>
  </si>
  <si>
    <t>JNG0298608</t>
  </si>
  <si>
    <t>2.3 申请人工放行，海关操作成功 报关单已放行</t>
  </si>
  <si>
    <t>230820260086528930</t>
  </si>
  <si>
    <t>115G500333</t>
  </si>
  <si>
    <t>2.2 申报海关放行未码放，人工放行</t>
  </si>
  <si>
    <t>230520260056510999</t>
  </si>
  <si>
    <t>SNLGZGJL005694</t>
  </si>
  <si>
    <t>2.3 申报审结，未放行，申请人工放行</t>
  </si>
  <si>
    <t>230520260056510934</t>
  </si>
  <si>
    <t>177ZJAJAJ20189Z</t>
  </si>
  <si>
    <t>2.3 查验</t>
  </si>
  <si>
    <r>
      <t>2.3 提交查验计划</t>
    </r>
    <r>
      <rPr>
        <sz val="11"/>
        <color rgb="FF000000"/>
        <rFont val="微软雅黑"/>
        <charset val="134"/>
      </rPr>
      <t xml:space="preserve">
</t>
    </r>
    <r>
      <rPr>
        <sz val="11"/>
        <color rgb="FF000000"/>
        <rFont val="微软雅黑"/>
        <charset val="134"/>
      </rPr>
      <t>2.4 安排查验，报关单放行</t>
    </r>
  </si>
  <si>
    <t>230820260086529687</t>
  </si>
  <si>
    <t>177UJWJWJ049823S</t>
  </si>
  <si>
    <t>230820260086529941</t>
  </si>
  <si>
    <t>JNG0301215</t>
  </si>
  <si>
    <t>223320260000218453</t>
  </si>
  <si>
    <t>09832230660_NKG77011003</t>
  </si>
  <si>
    <t>2.3 浦东机场空运，去往印度电机，未准卡，需要海关人工审单</t>
  </si>
  <si>
    <t>2.4 情况说明交现场海关，审单后要求补传合同，联系通关代表提供，补传合同后准卡，报关单已放行</t>
  </si>
  <si>
    <t>223120260000528808</t>
  </si>
  <si>
    <t>177FARVKS240545</t>
  </si>
  <si>
    <t>230820260086526931</t>
  </si>
  <si>
    <t>COAU7265937270</t>
  </si>
  <si>
    <r>
      <t>1.30 代理通知推船同时报关单已申报放行</t>
    </r>
    <r>
      <rPr>
        <sz val="11"/>
        <color rgb="FF000000"/>
        <rFont val="微软雅黑"/>
        <charset val="134"/>
      </rPr>
      <t xml:space="preserve">  </t>
    </r>
    <r>
      <rPr>
        <sz val="11"/>
        <color rgb="FF000000"/>
        <rFont val="微软雅黑"/>
        <charset val="134"/>
      </rPr>
      <t>2.4代理通知改配</t>
    </r>
  </si>
  <si>
    <t>2.4 申请改配 海关操作成功</t>
  </si>
  <si>
    <t>230820260086530366</t>
  </si>
  <si>
    <t>COSU6443341080</t>
  </si>
  <si>
    <t>2.4 已申报放行，代理反馈其旧预配未删除完成，报关单核碰旧预配未码放，需改单置空航次，旧预配删除后，改单置回航次。</t>
  </si>
  <si>
    <t>2.4 申请置空船名航次，代理删除旧预配重发，置回正确船名。已码放</t>
  </si>
  <si>
    <t>230520260056511626</t>
  </si>
  <si>
    <t>177FVKJUJ207291AW</t>
  </si>
  <si>
    <t>2.4 申报审结，涉电机，需人工审单</t>
  </si>
  <si>
    <r>
      <t>2.4 申报审结，电机需人工审单</t>
    </r>
    <r>
      <rPr>
        <sz val="11"/>
        <color rgb="FF000000"/>
        <rFont val="微软雅黑"/>
        <charset val="134"/>
      </rPr>
      <t xml:space="preserve">
</t>
    </r>
    <r>
      <rPr>
        <sz val="11"/>
        <color rgb="FF000000"/>
        <rFont val="微软雅黑"/>
        <charset val="134"/>
      </rPr>
      <t>2.5 海关要求提供组件情况说明及组件清单。联系通关代表提供相关资料，现场联系海关审单</t>
    </r>
    <r>
      <rPr>
        <sz val="11"/>
        <color rgb="FF000000"/>
        <rFont val="微软雅黑"/>
        <charset val="134"/>
      </rPr>
      <t xml:space="preserve">
</t>
    </r>
    <r>
      <rPr>
        <sz val="11"/>
        <color rgb="FF000000"/>
        <rFont val="微软雅黑"/>
        <charset val="134"/>
      </rPr>
      <t>2.6 海关审核完成，报关单已放行</t>
    </r>
  </si>
  <si>
    <t>330120260000005564</t>
  </si>
  <si>
    <t>KMTCWHI0020081</t>
  </si>
  <si>
    <t>2.4 申报审结，未放行，申请人工放行</t>
  </si>
  <si>
    <t>2.4 申请人工放行，海关操作成功，报关单已放行</t>
  </si>
  <si>
    <t>230520260056511405</t>
  </si>
  <si>
    <t>177TJWJWJ2006606S</t>
  </si>
  <si>
    <t>2.4 申请人工审单 ，海关操作成功，报关单已放行</t>
  </si>
  <si>
    <t>222920260000501900</t>
  </si>
  <si>
    <t>SHSD4A716600</t>
  </si>
  <si>
    <t>2.3 申报审结，2.4 报关单放行。反查报关状态发现：此委托三拼单均涉钢板许可证，主单和分单的许可证美的提供重复，01和02拼柜，00和02的许可证重复。现需主单柜子落箱，删单补证。</t>
  </si>
  <si>
    <r>
      <t>2.6 待代理提供在港证明、未上船证明</t>
    </r>
    <r>
      <rPr>
        <sz val="11"/>
        <color rgb="FF000000"/>
        <rFont val="微软雅黑"/>
        <charset val="134"/>
      </rPr>
      <t xml:space="preserve">
</t>
    </r>
    <r>
      <rPr>
        <sz val="11"/>
        <color rgb="FF000000"/>
        <rFont val="微软雅黑"/>
        <charset val="134"/>
      </rPr>
      <t>2.9 美的通知由远海通代办在港证明，现场办理。删单完成，等代理修改数据后安排重报</t>
    </r>
  </si>
  <si>
    <t>223320260000228256</t>
  </si>
  <si>
    <t>98813592235_SHAAE2601101</t>
  </si>
  <si>
    <t>2.4 查验</t>
  </si>
  <si>
    <r>
      <t xml:space="preserve">2.4 提交查验计划，安排查验 </t>
    </r>
    <r>
      <rPr>
        <sz val="11"/>
        <color rgb="FF000000"/>
        <rFont val="微软雅黑"/>
        <charset val="134"/>
      </rPr>
      <t xml:space="preserve">
</t>
    </r>
    <r>
      <rPr>
        <sz val="11"/>
        <color rgb="FF000000"/>
        <rFont val="微软雅黑"/>
        <charset val="134"/>
      </rPr>
      <t>2.5查验完成，报关单放行</t>
    </r>
  </si>
  <si>
    <t>310120260519321676</t>
  </si>
  <si>
    <t>177PBPBPN6B544A</t>
  </si>
  <si>
    <t>230520260056511745</t>
  </si>
  <si>
    <t>265600738A</t>
  </si>
  <si>
    <r>
      <t>2.4 申报审结，电机需人工审单</t>
    </r>
    <r>
      <rPr>
        <sz val="11"/>
        <color rgb="FF000000"/>
        <rFont val="微软雅黑"/>
        <charset val="134"/>
      </rPr>
      <t xml:space="preserve">
</t>
    </r>
    <r>
      <rPr>
        <sz val="11"/>
        <color rgb="FF000000"/>
        <rFont val="微软雅黑"/>
        <charset val="134"/>
      </rPr>
      <t>2.5 海关要求提供组件情况说明及组件清单。</t>
    </r>
  </si>
  <si>
    <t>230820260086531002</t>
  </si>
  <si>
    <t>COSU6442522430</t>
  </si>
  <si>
    <r>
      <t>2.4 申报海放未码放</t>
    </r>
    <r>
      <rPr>
        <sz val="11"/>
        <color rgb="FF000000"/>
        <rFont val="微软雅黑"/>
        <charset val="134"/>
      </rPr>
      <t xml:space="preserve">
</t>
    </r>
    <r>
      <rPr>
        <sz val="11"/>
        <color rgb="FF000000"/>
        <rFont val="微软雅黑"/>
        <charset val="134"/>
      </rPr>
      <t>2.5 代理提供预配截图，核对发现 预配船名航次 与 出运表提供船名航次 不符，需改配</t>
    </r>
  </si>
  <si>
    <t>2.5 申请改配，海关操作成功，报关单已码放</t>
  </si>
  <si>
    <t>230820260086531910</t>
  </si>
  <si>
    <t>JNG0300408C</t>
  </si>
  <si>
    <t>2.5 申报审结，涉电机，需人工审单</t>
  </si>
  <si>
    <t>2.5 申请人工审单，海关操作成功，报关单已放行</t>
  </si>
  <si>
    <t>230820260086531909</t>
  </si>
  <si>
    <t>JNG0300408A</t>
  </si>
  <si>
    <t>230820260086532176</t>
  </si>
  <si>
    <t>OOLU2166350250</t>
  </si>
  <si>
    <t>2.5 查验</t>
  </si>
  <si>
    <r>
      <t>2.5 箱子在江北，待代理通知集装箱到龙潭码头安排查验计划</t>
    </r>
    <r>
      <rPr>
        <sz val="11"/>
        <color rgb="FF000000"/>
        <rFont val="微软雅黑"/>
        <charset val="134"/>
      </rPr>
      <t xml:space="preserve">
</t>
    </r>
    <r>
      <rPr>
        <sz val="11"/>
        <color rgb="FF000000"/>
        <rFont val="微软雅黑"/>
        <charset val="134"/>
      </rPr>
      <t>2.9 箱子到龙潭，申请查验计划</t>
    </r>
    <r>
      <rPr>
        <sz val="11"/>
        <color rgb="FF000000"/>
        <rFont val="微软雅黑"/>
        <charset val="134"/>
      </rPr>
      <t xml:space="preserve">
</t>
    </r>
    <r>
      <rPr>
        <sz val="11"/>
        <color rgb="FF000000"/>
        <rFont val="微软雅黑"/>
        <charset val="134"/>
      </rPr>
      <t>2.10 查验无误，报关单已放行</t>
    </r>
  </si>
  <si>
    <t>330120260000005816</t>
  </si>
  <si>
    <t>265358454A</t>
  </si>
  <si>
    <r>
      <t>2.5 提交查验计划</t>
    </r>
    <r>
      <rPr>
        <sz val="11"/>
        <color rgb="FF000000"/>
        <rFont val="微软雅黑"/>
        <charset val="134"/>
      </rPr>
      <t xml:space="preserve">
</t>
    </r>
    <r>
      <rPr>
        <sz val="11"/>
        <color rgb="FF000000"/>
        <rFont val="微软雅黑"/>
        <charset val="134"/>
      </rPr>
      <t>2.6 查验完成，报关单已放行</t>
    </r>
  </si>
  <si>
    <t>230520260056511536</t>
  </si>
  <si>
    <t>177MJCJCJ228800T</t>
  </si>
  <si>
    <t>2.5 代理反馈预配箱号发错，需改单改配，预配重发</t>
  </si>
  <si>
    <r>
      <t>2.5 准备资料</t>
    </r>
    <r>
      <rPr>
        <sz val="11"/>
        <color rgb="FF000000"/>
        <rFont val="微软雅黑"/>
        <charset val="134"/>
      </rPr>
      <t xml:space="preserve">
</t>
    </r>
    <r>
      <rPr>
        <sz val="11"/>
        <color rgb="FF000000"/>
        <rFont val="微软雅黑"/>
        <charset val="134"/>
      </rPr>
      <t>2.6 改单完成，预配核碰正常未放行</t>
    </r>
    <r>
      <rPr>
        <sz val="11"/>
        <color rgb="FF000000"/>
        <rFont val="微软雅黑"/>
        <charset val="134"/>
      </rPr>
      <t xml:space="preserve">
</t>
    </r>
    <r>
      <rPr>
        <sz val="11"/>
        <color rgb="FF000000"/>
        <rFont val="微软雅黑"/>
        <charset val="134"/>
      </rPr>
      <t>2.9 联系码头重发运抵后 申请人工放行，报关单已放行</t>
    </r>
  </si>
  <si>
    <t>江苏航华-张家港</t>
  </si>
  <si>
    <t>232720260276528632</t>
  </si>
  <si>
    <t>TLTCLCJJ26041011</t>
  </si>
  <si>
    <t>2.5 海关挂起</t>
  </si>
  <si>
    <r>
      <t>2.5 海关挂起，需要提供构成组件第2.5项成分含量情况说明，资料已补传，等海关人工审单</t>
    </r>
    <r>
      <rPr>
        <sz val="11"/>
        <color rgb="FF000000"/>
        <rFont val="微软雅黑"/>
        <charset val="134"/>
      </rPr>
      <t xml:space="preserve">
</t>
    </r>
    <r>
      <rPr>
        <sz val="11"/>
        <color rgb="FF000000"/>
        <rFont val="微软雅黑"/>
        <charset val="134"/>
      </rPr>
      <t>2.6 海关人工审单完成，报关单已放行</t>
    </r>
  </si>
  <si>
    <t>232720260276528317</t>
  </si>
  <si>
    <t>TLTCLCJJ26041008</t>
  </si>
  <si>
    <r>
      <t>2.5 海关挂起，依18号公告内容补充资料，资料已补传，等海关人工审单</t>
    </r>
    <r>
      <rPr>
        <sz val="11"/>
        <color rgb="FF000000"/>
        <rFont val="微软雅黑"/>
        <charset val="134"/>
      </rPr>
      <t xml:space="preserve">
</t>
    </r>
    <r>
      <rPr>
        <sz val="11"/>
        <color rgb="FF000000"/>
        <rFont val="微软雅黑"/>
        <charset val="134"/>
      </rPr>
      <t>2.6 海关人工审单完成，报关单已放行</t>
    </r>
  </si>
  <si>
    <t>330120260000006112</t>
  </si>
  <si>
    <t>COSU6443827010</t>
  </si>
  <si>
    <t>2.6 申报审结，运抵核碰异常，重发未放行。需删单重报</t>
  </si>
  <si>
    <r>
      <t>2.6 运抵核碰异常，重发未放行。需删单重报</t>
    </r>
    <r>
      <rPr>
        <sz val="11"/>
        <color rgb="FF000000"/>
        <rFont val="微软雅黑"/>
        <charset val="134"/>
      </rPr>
      <t xml:space="preserve">
</t>
    </r>
    <r>
      <rPr>
        <sz val="11"/>
        <color rgb="FF000000"/>
        <rFont val="微软雅黑"/>
        <charset val="134"/>
      </rPr>
      <t>2.9 删单资料现场申请海关签字，删单完成。删单重报</t>
    </r>
  </si>
  <si>
    <t>230820260086533062</t>
  </si>
  <si>
    <t>COSU6443669090</t>
  </si>
  <si>
    <t>2.6 查验</t>
  </si>
  <si>
    <t>2.6 提交查验计划，查验完成，报关单已放行</t>
  </si>
  <si>
    <t>230820260086533012</t>
  </si>
  <si>
    <t>COSU6443841010</t>
  </si>
  <si>
    <t>2.6 申报放行，海放未码放</t>
  </si>
  <si>
    <t>2.6 申请人工放行，报关单已放行</t>
  </si>
  <si>
    <t>230520260056512308</t>
  </si>
  <si>
    <t>ONEYNKGG01344600</t>
  </si>
  <si>
    <t>2.6 审结未放行，做人工放行</t>
  </si>
  <si>
    <t>2.6 申请人工放行，海关操作成功，报关单已放行</t>
  </si>
  <si>
    <t>230520260056512479</t>
  </si>
  <si>
    <t>JNG0298240</t>
  </si>
  <si>
    <t>232720260276530005</t>
  </si>
  <si>
    <t>TLTCLCJJ26041007</t>
  </si>
  <si>
    <t>2.6 申报审结，涉电机，需人工审单</t>
  </si>
  <si>
    <r>
      <t>2.6 涉及电机情况说明，运抵正常未放行，资料说明已上传，申请海关人工审单</t>
    </r>
    <r>
      <rPr>
        <sz val="11"/>
        <color rgb="FF000000"/>
        <rFont val="微软雅黑"/>
        <charset val="134"/>
      </rPr>
      <t xml:space="preserve">
</t>
    </r>
    <r>
      <rPr>
        <sz val="11"/>
        <color rgb="FF000000"/>
        <rFont val="微软雅黑"/>
        <charset val="134"/>
      </rPr>
      <t>2.7 海关审单挂起，补充佐证材料</t>
    </r>
    <r>
      <rPr>
        <sz val="11"/>
        <color rgb="FF000000"/>
        <rFont val="微软雅黑"/>
        <charset val="134"/>
      </rPr>
      <t xml:space="preserve">
</t>
    </r>
    <r>
      <rPr>
        <sz val="11"/>
        <color rgb="FF000000"/>
        <rFont val="微软雅黑"/>
        <charset val="134"/>
      </rPr>
      <t>2.9 现场联系海关处理，要求提供小天鹅与磁钢供应商横店的关系，联系通关代表提供情况说明，资料已补传，待海关人工审单</t>
    </r>
    <r>
      <rPr>
        <sz val="11"/>
        <color rgb="FF000000"/>
        <rFont val="微软雅黑"/>
        <charset val="134"/>
      </rPr>
      <t xml:space="preserve">
</t>
    </r>
    <r>
      <rPr>
        <sz val="11"/>
        <color rgb="FF000000"/>
        <rFont val="微软雅黑"/>
        <charset val="134"/>
      </rPr>
      <t>2.10 海关操作完成 报关单已放行</t>
    </r>
  </si>
  <si>
    <t>232720260276529969</t>
  </si>
  <si>
    <t>TLTCLCJJ26041005</t>
  </si>
  <si>
    <t>230820260086535548</t>
  </si>
  <si>
    <t>COSU6444146950</t>
  </si>
  <si>
    <t>国内单证：2拼票，2.9 15:18申报海关放行，未码放，拼单的EMF数据件毛重错发成主单的件毛重，拼单的预配舱单错误。需置空船名释放预配舱单，删预配后重发正确预配。10号码放成功可上原驳船</t>
  </si>
  <si>
    <t>2.10 已置空船名航次，代理删预配舱单后按正确数据重发，报关单已码放放行</t>
  </si>
  <si>
    <t>230820260086535546</t>
  </si>
  <si>
    <t>COSU644414695001</t>
  </si>
  <si>
    <t>230520260056512971</t>
  </si>
  <si>
    <t>ONEYNKGG01883700</t>
  </si>
  <si>
    <r>
      <t>2.6 申请人工审单</t>
    </r>
    <r>
      <rPr>
        <sz val="11"/>
        <color rgb="FF000000"/>
        <rFont val="微软雅黑"/>
        <charset val="134"/>
      </rPr>
      <t xml:space="preserve">
</t>
    </r>
    <r>
      <rPr>
        <sz val="11"/>
        <color rgb="FF000000"/>
        <rFont val="微软雅黑"/>
        <charset val="134"/>
      </rPr>
      <t>2.9 海关操作成功，报关单已放行</t>
    </r>
  </si>
  <si>
    <t>230520260056512975</t>
  </si>
  <si>
    <t>ONEYNKGG01883700C</t>
  </si>
  <si>
    <t>230520260056512984</t>
  </si>
  <si>
    <t>HLCUNK2260139386</t>
  </si>
  <si>
    <r>
      <t>2.6 申报审结，涉电机，需人工审单</t>
    </r>
    <r>
      <rPr>
        <sz val="11"/>
        <color rgb="FF000000"/>
        <rFont val="微软雅黑"/>
        <charset val="134"/>
      </rPr>
      <t xml:space="preserve">
</t>
    </r>
    <r>
      <rPr>
        <sz val="11"/>
        <color rgb="FF000000"/>
        <rFont val="微软雅黑"/>
        <charset val="134"/>
      </rPr>
      <t>2.10 接代理通知改配</t>
    </r>
  </si>
  <si>
    <r>
      <t>2.6 申请人工审单</t>
    </r>
    <r>
      <rPr>
        <sz val="11"/>
        <color rgb="FF000000"/>
        <rFont val="微软雅黑"/>
        <charset val="134"/>
      </rPr>
      <t xml:space="preserve">
</t>
    </r>
    <r>
      <rPr>
        <sz val="11"/>
        <color rgb="FF000000"/>
        <rFont val="微软雅黑"/>
        <charset val="134"/>
      </rPr>
      <t>2.9 海关操作成功，报关单已放行</t>
    </r>
    <r>
      <rPr>
        <sz val="11"/>
        <color rgb="FF000000"/>
        <rFont val="微软雅黑"/>
        <charset val="134"/>
      </rPr>
      <t xml:space="preserve">
</t>
    </r>
    <r>
      <rPr>
        <sz val="11"/>
        <color rgb="FF000000"/>
        <rFont val="微软雅黑"/>
        <charset val="134"/>
      </rPr>
      <t>2.10 接代理通知改配，准备资料发起改单，待海关操作</t>
    </r>
    <r>
      <rPr>
        <sz val="11"/>
        <color rgb="FF000000"/>
        <rFont val="微软雅黑"/>
        <charset val="134"/>
      </rPr>
      <t xml:space="preserve">
</t>
    </r>
    <r>
      <rPr>
        <sz val="11"/>
        <color rgb="FF000000"/>
        <rFont val="微软雅黑"/>
        <charset val="134"/>
      </rPr>
      <t>2.11 海关操作完成，代理再次通知改配，准备改单资料，发起改单，海关操作成功</t>
    </r>
  </si>
  <si>
    <t>941520260000023916</t>
  </si>
  <si>
    <t>Y262352518</t>
  </si>
  <si>
    <t>2.7 查验</t>
  </si>
  <si>
    <t>2.8 查验完成，报关单已放行</t>
  </si>
  <si>
    <t>230820260086532563</t>
  </si>
  <si>
    <t>177NJCJCJ028837U</t>
  </si>
  <si>
    <r>
      <t>2.5 已申报放行</t>
    </r>
    <r>
      <rPr>
        <sz val="11"/>
        <color rgb="FF000000"/>
        <rFont val="微软雅黑"/>
        <charset val="134"/>
      </rPr>
      <t xml:space="preserve">
</t>
    </r>
    <r>
      <rPr>
        <sz val="11"/>
        <color rgb="FF000000"/>
        <rFont val="微软雅黑"/>
        <charset val="134"/>
      </rPr>
      <t>2.6 接代理通知仓库漏装，需删单</t>
    </r>
  </si>
  <si>
    <r>
      <t>2.6 和通关代表确认删单</t>
    </r>
    <r>
      <rPr>
        <sz val="11"/>
        <color rgb="FF000000"/>
        <rFont val="微软雅黑"/>
        <charset val="134"/>
      </rPr>
      <t xml:space="preserve">
</t>
    </r>
    <r>
      <rPr>
        <sz val="11"/>
        <color rgb="FF000000"/>
        <rFont val="微软雅黑"/>
        <charset val="134"/>
      </rPr>
      <t>2.9 准备资料 盖章寄出</t>
    </r>
    <r>
      <rPr>
        <sz val="11"/>
        <color rgb="FF000000"/>
        <rFont val="微软雅黑"/>
        <charset val="134"/>
      </rPr>
      <t xml:space="preserve">
</t>
    </r>
    <r>
      <rPr>
        <sz val="11"/>
        <color rgb="FF000000"/>
        <rFont val="微软雅黑"/>
        <charset val="134"/>
      </rPr>
      <t>2.10 海关审核资料后反馈关封未删除，代理核实关封已删除。</t>
    </r>
    <r>
      <rPr>
        <sz val="11"/>
        <color rgb="FF000000"/>
        <rFont val="微软雅黑"/>
        <charset val="134"/>
      </rPr>
      <t xml:space="preserve">
</t>
    </r>
    <r>
      <rPr>
        <sz val="11"/>
        <color rgb="FF000000"/>
        <rFont val="微软雅黑"/>
        <charset val="134"/>
      </rPr>
      <t>2.11现场与海关核实确认关封具体情况，海关要求提供带提单信息的外来邮件，发起删单，海关操作成功。</t>
    </r>
  </si>
  <si>
    <t>310420260549871953</t>
  </si>
  <si>
    <t>177KWMNGN46610A</t>
  </si>
  <si>
    <t>2.8 查验</t>
  </si>
  <si>
    <t>2.9 查验完成，报关单已放行</t>
  </si>
  <si>
    <t>230520260056513984</t>
  </si>
  <si>
    <t>HLCUNK2260115148</t>
  </si>
  <si>
    <t>2.9 申报审结，未放行，申请人工放行</t>
  </si>
  <si>
    <t>2.10 申请人工审单 海关操作成功，报关单已放行</t>
  </si>
  <si>
    <t>230520260056513941</t>
  </si>
  <si>
    <t>CAJ0158426A</t>
  </si>
  <si>
    <t>2.9 申报审结，涉电机，申请人工放行</t>
  </si>
  <si>
    <t>230520260056514013</t>
  </si>
  <si>
    <t>CAJ0158427C</t>
  </si>
  <si>
    <t>230520260056514207</t>
  </si>
  <si>
    <t>EGLV145699027567</t>
  </si>
  <si>
    <t>2.10 申报审结，涉电机，申请人工放行</t>
  </si>
  <si>
    <t>230520260056514214</t>
  </si>
  <si>
    <t>CAJ0158130</t>
  </si>
  <si>
    <t>2.10 申报审结，未放行，申请人工放行</t>
  </si>
  <si>
    <t>230520260056512985</t>
  </si>
  <si>
    <t>HLCUNK2260137570</t>
  </si>
  <si>
    <t>HLCUNK2260139386 拼票有电机海关审单未赶上原船，2.10 接代理通知改配</t>
  </si>
  <si>
    <r>
      <t>2.10 准备资料发起改单，待海关操作</t>
    </r>
    <r>
      <rPr>
        <sz val="11"/>
        <color rgb="FF000000"/>
        <rFont val="微软雅黑"/>
        <charset val="134"/>
      </rPr>
      <t xml:space="preserve">
</t>
    </r>
    <r>
      <rPr>
        <sz val="11"/>
        <color rgb="FF000000"/>
        <rFont val="微软雅黑"/>
        <charset val="134"/>
      </rPr>
      <t>2.11 海关操作完成，代理再次通知改配，准备改单资料，发起改单，海关操作成功</t>
    </r>
  </si>
  <si>
    <t>230520260056512982</t>
  </si>
  <si>
    <t>HLCUNK2260139375</t>
  </si>
  <si>
    <r>
      <t>2.10 准备资料发起改单，待海关操作</t>
    </r>
    <r>
      <rPr>
        <sz val="11"/>
        <color rgb="FF000000"/>
        <rFont val="微软雅黑"/>
        <charset val="134"/>
      </rPr>
      <t xml:space="preserve">
</t>
    </r>
    <r>
      <rPr>
        <sz val="11"/>
        <color rgb="FF000000"/>
        <rFont val="微软雅黑"/>
        <charset val="134"/>
      </rPr>
      <t>2.11 海关操作完成，代理再次通知改配，准备改单资料，发起改单，待海关操作，2.12号驳船</t>
    </r>
    <r>
      <rPr>
        <sz val="11"/>
        <color rgb="FF000000"/>
        <rFont val="微软雅黑"/>
        <charset val="134"/>
      </rPr>
      <t xml:space="preserve">
</t>
    </r>
    <r>
      <rPr>
        <sz val="11"/>
        <color rgb="FF000000"/>
        <rFont val="微软雅黑"/>
        <charset val="134"/>
      </rPr>
      <t>2.12 海关操作成功</t>
    </r>
  </si>
  <si>
    <t>230520260056514467</t>
  </si>
  <si>
    <t>177FJWJWJ2006724S</t>
  </si>
  <si>
    <t>2.10 查验</t>
  </si>
  <si>
    <t>2.11 提交查验计划 查验完成，报关单已放行</t>
  </si>
  <si>
    <t>330120260000006852</t>
  </si>
  <si>
    <t>HLCUNK2251236917</t>
  </si>
  <si>
    <r>
      <t xml:space="preserve">2.10 提交查验计划 </t>
    </r>
    <r>
      <rPr>
        <sz val="11"/>
        <color rgb="FF000000"/>
        <rFont val="微软雅黑"/>
        <charset val="134"/>
      </rPr>
      <t xml:space="preserve">
</t>
    </r>
    <r>
      <rPr>
        <sz val="11"/>
        <color rgb="FF000000"/>
        <rFont val="微软雅黑"/>
        <charset val="134"/>
      </rPr>
      <t>2.11 查验完成，报关单已放行</t>
    </r>
  </si>
  <si>
    <t>230820260086535967</t>
  </si>
  <si>
    <t>TLNJHTJN26041001</t>
  </si>
  <si>
    <t>2.10 接代理通知 此票因CIMU0917505未能及时赶到龙潭卸船，未赶上原船班次，且下一班次大船船期较晚，需删单并调整至太仓重新出运。</t>
  </si>
  <si>
    <r>
      <t>2.10 和通关代表确认删单，准备删单资料 盖章寄出</t>
    </r>
    <r>
      <rPr>
        <sz val="11"/>
        <color rgb="FF000000"/>
        <rFont val="微软雅黑"/>
        <charset val="134"/>
      </rPr>
      <t xml:space="preserve">
</t>
    </r>
    <r>
      <rPr>
        <sz val="11"/>
        <color rgb="FF000000"/>
        <rFont val="微软雅黑"/>
        <charset val="134"/>
      </rPr>
      <t>2.11 海关要求提供外来邮件，发起删单，海关操作成功。重报报关单已放行</t>
    </r>
  </si>
  <si>
    <t>230820260086537974</t>
  </si>
  <si>
    <t>SNLGNJPXSWY1020</t>
  </si>
  <si>
    <r>
      <t>2.10 提交查验计划</t>
    </r>
    <r>
      <rPr>
        <sz val="11"/>
        <color rgb="FF000000"/>
        <rFont val="微软雅黑"/>
        <charset val="134"/>
      </rPr>
      <t xml:space="preserve">
</t>
    </r>
    <r>
      <rPr>
        <sz val="11"/>
        <color rgb="FF000000"/>
        <rFont val="微软雅黑"/>
        <charset val="134"/>
      </rPr>
      <t>2.11 查验完成，报关单已放行</t>
    </r>
  </si>
  <si>
    <t>230520260056514417</t>
  </si>
  <si>
    <t>HDMUNKGA19228300B</t>
  </si>
  <si>
    <r>
      <t>2.10</t>
    </r>
    <r>
      <rPr>
        <sz val="11"/>
        <color rgb="FF000000"/>
        <rFont val="微软雅黑"/>
        <charset val="134"/>
      </rPr>
      <t xml:space="preserve">  </t>
    </r>
    <r>
      <rPr>
        <sz val="11"/>
        <color rgb="FF000000"/>
        <rFont val="微软雅黑"/>
        <charset val="134"/>
      </rPr>
      <t>申报审结，涉电机，需人工审单</t>
    </r>
  </si>
  <si>
    <t>2.11 申请人工审单 海关操作成功，报关单已放行</t>
  </si>
  <si>
    <t>230520260056514508</t>
  </si>
  <si>
    <t>JNG0303526A</t>
  </si>
  <si>
    <t>230520260056514529</t>
  </si>
  <si>
    <t>177FJWJWJ2006759S</t>
  </si>
  <si>
    <t>2.10申报审结，未放行，申请人工放行</t>
  </si>
  <si>
    <t>230520260056514814</t>
  </si>
  <si>
    <t>JNG0301785B</t>
  </si>
  <si>
    <t>2.11 申报审结，涉电机，需人工审单</t>
  </si>
  <si>
    <t>230520260056514979</t>
  </si>
  <si>
    <t>OOLU232006761002</t>
  </si>
  <si>
    <t>230820260086539005</t>
  </si>
  <si>
    <t>COAU7266462740</t>
  </si>
  <si>
    <t>2.11 查验</t>
  </si>
  <si>
    <r>
      <t>2.11 提交查验计划</t>
    </r>
    <r>
      <rPr>
        <sz val="11"/>
        <color rgb="FF000000"/>
        <rFont val="微软雅黑"/>
        <charset val="134"/>
      </rPr>
      <t xml:space="preserve">  </t>
    </r>
    <r>
      <rPr>
        <sz val="11"/>
        <color rgb="FF000000"/>
        <rFont val="微软雅黑"/>
        <charset val="134"/>
      </rPr>
      <t xml:space="preserve">
</t>
    </r>
    <r>
      <rPr>
        <sz val="11"/>
        <color rgb="FF000000"/>
        <rFont val="微软雅黑"/>
        <charset val="134"/>
      </rPr>
      <t>2.12 查验完成，报关单已放行</t>
    </r>
  </si>
  <si>
    <t>230820260086539548</t>
  </si>
  <si>
    <t>JNG0300831A</t>
  </si>
  <si>
    <t>2.11申报审结，涉许可证，需人工审单</t>
  </si>
  <si>
    <r>
      <t>2.11 申请人工审单 待海关操作</t>
    </r>
    <r>
      <rPr>
        <sz val="11"/>
        <color rgb="FF000000"/>
        <rFont val="微软雅黑"/>
        <charset val="134"/>
      </rPr>
      <t xml:space="preserve">
</t>
    </r>
    <r>
      <rPr>
        <sz val="11"/>
        <color rgb="FF000000"/>
        <rFont val="微软雅黑"/>
        <charset val="134"/>
      </rPr>
      <t>2.12 海关操作成功 报关单已放行</t>
    </r>
  </si>
  <si>
    <t>230820260086539547</t>
  </si>
  <si>
    <t>JNG0300831B</t>
  </si>
  <si>
    <t>230820260086539542</t>
  </si>
  <si>
    <t>JNG0300831C</t>
  </si>
  <si>
    <t>230820260086534590</t>
  </si>
  <si>
    <t>CAJ0158375</t>
  </si>
  <si>
    <t>申报：2.9申报放行 2.11 代理反馈关封无法录入，反查原因为靠区报错，正确为外港，错报为洋山。需改单</t>
  </si>
  <si>
    <r>
      <t>2.11 准备资料，提交改单申请</t>
    </r>
    <r>
      <rPr>
        <sz val="11"/>
        <color rgb="FF000000"/>
        <rFont val="微软雅黑"/>
        <charset val="134"/>
      </rPr>
      <t xml:space="preserve">
</t>
    </r>
    <r>
      <rPr>
        <sz val="11"/>
        <color rgb="FF000000"/>
        <rFont val="微软雅黑"/>
        <charset val="134"/>
      </rPr>
      <t>2.12 海关操作完成 靠区改单完成</t>
    </r>
  </si>
  <si>
    <t>223120260000685705</t>
  </si>
  <si>
    <t>177FARVKS241642</t>
  </si>
  <si>
    <r>
      <t>2.11 提交查验计划</t>
    </r>
    <r>
      <rPr>
        <sz val="11"/>
        <color rgb="FF000000"/>
        <rFont val="微软雅黑"/>
        <charset val="134"/>
      </rPr>
      <t xml:space="preserve">
</t>
    </r>
    <r>
      <rPr>
        <sz val="11"/>
        <color rgb="FF000000"/>
        <rFont val="微软雅黑"/>
        <charset val="134"/>
      </rPr>
      <t>2.12 查验完成 报关单已放行</t>
    </r>
  </si>
  <si>
    <t>331020260000008954</t>
  </si>
  <si>
    <t>PELSHVVOHR027280</t>
  </si>
  <si>
    <t>申报：大船误勾选水运中转，需删单重报</t>
  </si>
  <si>
    <t>2.12 开具在港证明后申请删单，删单完成，重报报关单已放行</t>
  </si>
  <si>
    <t>230820260086539665</t>
  </si>
  <si>
    <t>JNG0300993</t>
  </si>
  <si>
    <t>申报：2.11 提单号错申报为：COSU6443917800，正确应申报：JNG0300993，统一编号：E20260001693646643，需改单</t>
  </si>
  <si>
    <r>
      <t>2.11 准备资料，提交改单申请</t>
    </r>
    <r>
      <rPr>
        <sz val="11"/>
        <color rgb="FF000000"/>
        <rFont val="微软雅黑"/>
        <charset val="134"/>
      </rPr>
      <t xml:space="preserve">
</t>
    </r>
    <r>
      <rPr>
        <sz val="11"/>
        <color rgb="FF000000"/>
        <rFont val="微软雅黑"/>
        <charset val="134"/>
      </rPr>
      <t>2.12 海关操作完成 改单完成未放行，人工放行。报关单已放行</t>
    </r>
  </si>
  <si>
    <t>230820260086539583</t>
  </si>
  <si>
    <r>
      <t>177NJCJCJ028837U</t>
    </r>
    <r>
      <rPr>
        <sz val="11"/>
        <color rgb="FF000000"/>
        <rFont val="微软雅黑"/>
        <charset val="134"/>
      </rPr>
      <t xml:space="preserve"> </t>
    </r>
  </si>
  <si>
    <t>2.12 重报未码放，代理旧预配未删除，需置空船名航次 删预配 重发后置回</t>
  </si>
  <si>
    <r>
      <t>2.11 重报报关单已海关放行，未码放</t>
    </r>
    <r>
      <rPr>
        <sz val="11"/>
        <color rgb="FF000000"/>
        <rFont val="微软雅黑"/>
        <charset val="134"/>
      </rPr>
      <t xml:space="preserve">
</t>
    </r>
    <r>
      <rPr>
        <sz val="11"/>
        <color rgb="FF000000"/>
        <rFont val="微软雅黑"/>
        <charset val="134"/>
      </rPr>
      <t>2.12 反查原因 代理旧预配未删除，置空船名航次，代理删除预配重发，人工放行。报关单已放行</t>
    </r>
  </si>
  <si>
    <t>230520260056515014</t>
  </si>
  <si>
    <t>COSU6444235420</t>
  </si>
  <si>
    <t>2.11申报审结，未放行，申请人工放行</t>
  </si>
  <si>
    <r>
      <t xml:space="preserve">2.11 申请人工审单 </t>
    </r>
    <r>
      <rPr>
        <sz val="11"/>
        <color rgb="FF000000"/>
        <rFont val="微软雅黑"/>
        <charset val="134"/>
      </rPr>
      <t xml:space="preserve">
</t>
    </r>
    <r>
      <rPr>
        <sz val="11"/>
        <color rgb="FF000000"/>
        <rFont val="微软雅黑"/>
        <charset val="134"/>
      </rPr>
      <t>2.12 海关操作成功，报关单已放行</t>
    </r>
  </si>
  <si>
    <t>230520260056515051</t>
  </si>
  <si>
    <t>COSU6444148440</t>
  </si>
  <si>
    <t>230520260056515067</t>
  </si>
  <si>
    <t>COAU7266454820</t>
  </si>
  <si>
    <t>230520260056515241</t>
  </si>
  <si>
    <t>277570458A</t>
  </si>
  <si>
    <t>2.12 申报审结，涉电机，需人工审单</t>
  </si>
  <si>
    <t>2.12 申请人工审单 海关操作成功，报关单已放行</t>
  </si>
  <si>
    <t>230520260056515388</t>
  </si>
  <si>
    <t>177UJWJWJ2006729S</t>
  </si>
  <si>
    <t>2.12 申报审结，未放行，申请人工放行</t>
  </si>
  <si>
    <t>230520260056515589</t>
  </si>
  <si>
    <t>177FJWJWJ2006722S</t>
  </si>
  <si>
    <t>2.12 查验</t>
  </si>
  <si>
    <r>
      <t>2.12 提交查验计划</t>
    </r>
    <r>
      <rPr>
        <sz val="11"/>
        <color rgb="FF000000"/>
        <rFont val="微软雅黑"/>
        <charset val="134"/>
      </rPr>
      <t xml:space="preserve">
</t>
    </r>
    <r>
      <rPr>
        <sz val="11"/>
        <color rgb="FF000000"/>
        <rFont val="微软雅黑"/>
        <charset val="134"/>
      </rPr>
      <t>2.13 查验完成，报关单已放行</t>
    </r>
  </si>
  <si>
    <t>230820260086539200</t>
  </si>
  <si>
    <t>JNG0300284</t>
  </si>
  <si>
    <t>2.12提交查验计划，海关操作成功 报关单已放行</t>
  </si>
  <si>
    <t>230820260086541043</t>
  </si>
  <si>
    <t>177FJAJAJ09811Z</t>
  </si>
  <si>
    <r>
      <t xml:space="preserve">2.12 提交查验计划 </t>
    </r>
    <r>
      <rPr>
        <sz val="11"/>
        <color rgb="FF000000"/>
        <rFont val="微软雅黑"/>
        <charset val="134"/>
      </rPr>
      <t xml:space="preserve">
</t>
    </r>
    <r>
      <rPr>
        <sz val="11"/>
        <color rgb="FF000000"/>
        <rFont val="微软雅黑"/>
        <charset val="134"/>
      </rPr>
      <t>2.13 海关操作成功，报关单已放行</t>
    </r>
  </si>
  <si>
    <t>330120260000007687</t>
  </si>
  <si>
    <t>HLCUNK2260145622</t>
  </si>
  <si>
    <t>230820260086539751</t>
  </si>
  <si>
    <t>115G501221</t>
  </si>
  <si>
    <t>申报：2.12 船名申报错误，应申报ZHONG YI ZE TAI，错申报：ZHOHG YI ZE TAI。需改单</t>
  </si>
  <si>
    <r>
      <t>2.12 准备资料，提交改单申请</t>
    </r>
    <r>
      <rPr>
        <sz val="11"/>
        <color rgb="FF000000"/>
        <rFont val="微软雅黑"/>
        <charset val="134"/>
      </rPr>
      <t xml:space="preserve">
</t>
    </r>
    <r>
      <rPr>
        <sz val="11"/>
        <color rgb="FF000000"/>
        <rFont val="微软雅黑"/>
        <charset val="134"/>
      </rPr>
      <t>2.13 海关操作成功，申请人工放行，报关单已放行</t>
    </r>
  </si>
  <si>
    <t>230820260086541559</t>
  </si>
  <si>
    <t>OOLU2166380910</t>
  </si>
  <si>
    <t>223120260000700346</t>
  </si>
  <si>
    <t>177FASASS325298</t>
  </si>
  <si>
    <t>230820260086541749</t>
  </si>
  <si>
    <t>TLNJJKJR26011009</t>
  </si>
  <si>
    <t>2.13 申报审结，涉许可证，需人工审单</t>
  </si>
  <si>
    <t>2.13 申请人工审单，海关操作成功，报关单已放行</t>
  </si>
  <si>
    <t>230820260086541751</t>
  </si>
  <si>
    <t>TLNJJKJR26011009A</t>
  </si>
  <si>
    <t>230820260086541750</t>
  </si>
  <si>
    <t>TLNJJKJR26011009B</t>
  </si>
  <si>
    <t>230820260086541748</t>
  </si>
  <si>
    <t>TLNJJKJR26011009C</t>
  </si>
  <si>
    <t>230820260086541747</t>
  </si>
  <si>
    <t>TLNJJKJR26011009D</t>
  </si>
  <si>
    <t>230820260086541745</t>
  </si>
  <si>
    <t>TLNJJKJR26011009E</t>
  </si>
  <si>
    <t>230820260086541738</t>
  </si>
  <si>
    <t>TLNJJKJR26011009F</t>
  </si>
  <si>
    <t>230820260086541739</t>
  </si>
  <si>
    <t>TLNJJKJR26011009G</t>
  </si>
  <si>
    <t>230820260086541740</t>
  </si>
  <si>
    <t>TLNJJKJR26011009H</t>
  </si>
  <si>
    <t>230820260086541741</t>
  </si>
  <si>
    <t>TLNJJKJR26011009I</t>
  </si>
  <si>
    <t>230820260086541742</t>
  </si>
  <si>
    <t>TLNJJKJR26011009J</t>
  </si>
  <si>
    <t>230820260086541743</t>
  </si>
  <si>
    <t>TLNJJKJR26011009K</t>
  </si>
  <si>
    <t>230820260086541744</t>
  </si>
  <si>
    <t>TLNJJKJR26011009L</t>
  </si>
  <si>
    <t>230820260086541746</t>
  </si>
  <si>
    <t>TLNJJKJR26011009M</t>
  </si>
  <si>
    <t>230520260056515689</t>
  </si>
  <si>
    <t>COSU644443039005</t>
  </si>
  <si>
    <t>2.13 查验</t>
  </si>
  <si>
    <t>230820260086536768</t>
  </si>
  <si>
    <t>SNLGNJPXSWY1040</t>
  </si>
  <si>
    <r>
      <t>2.10 申报审结，报关单成功放行</t>
    </r>
    <r>
      <rPr>
        <sz val="11"/>
        <color rgb="FF000000"/>
        <rFont val="微软雅黑"/>
        <charset val="134"/>
      </rPr>
      <t xml:space="preserve">
</t>
    </r>
    <r>
      <rPr>
        <sz val="11"/>
        <color rgb="FF000000"/>
        <rFont val="微软雅黑"/>
        <charset val="134"/>
      </rPr>
      <t>2.13 代理反馈提前驳船了，需在放行后将船名航次HENGKUNHEXIE</t>
    </r>
    <r>
      <rPr>
        <sz val="11"/>
        <color rgb="FF000000"/>
        <rFont val="微软雅黑"/>
        <charset val="134"/>
      </rPr>
      <t xml:space="preserve">   </t>
    </r>
    <r>
      <rPr>
        <sz val="11"/>
        <color rgb="FF000000"/>
        <rFont val="微软雅黑"/>
        <charset val="134"/>
      </rPr>
      <t>2607E 更改为ZE XIN JUN JIE</t>
    </r>
    <r>
      <rPr>
        <sz val="11"/>
        <color rgb="FF000000"/>
        <rFont val="微软雅黑"/>
        <charset val="134"/>
      </rPr>
      <t xml:space="preserve">   </t>
    </r>
    <r>
      <rPr>
        <sz val="11"/>
        <color rgb="FF000000"/>
        <rFont val="微软雅黑"/>
        <charset val="134"/>
      </rPr>
      <t>2607E</t>
    </r>
  </si>
  <si>
    <t>2.13 更改船名航次完成，报关单已放行</t>
  </si>
  <si>
    <t>230820260086536751</t>
  </si>
  <si>
    <t>SNLGNJPXSWY1050</t>
  </si>
  <si>
    <r>
      <t>2.10 申报审结，报关单成功放行</t>
    </r>
    <r>
      <rPr>
        <sz val="11"/>
        <color rgb="FF000000"/>
        <rFont val="微软雅黑"/>
        <charset val="134"/>
      </rPr>
      <t xml:space="preserve">
</t>
    </r>
    <r>
      <rPr>
        <sz val="11"/>
        <color rgb="FF000000"/>
        <rFont val="微软雅黑"/>
        <charset val="134"/>
      </rPr>
      <t>2.13 代理反馈提前驳船了，需在放行后将船名航次HENGKUNHEXIE</t>
    </r>
    <r>
      <rPr>
        <sz val="11"/>
        <color rgb="FF000000"/>
        <rFont val="微软雅黑"/>
        <charset val="134"/>
      </rPr>
      <t xml:space="preserve">   </t>
    </r>
    <r>
      <rPr>
        <sz val="11"/>
        <color rgb="FF000000"/>
        <rFont val="微软雅黑"/>
        <charset val="134"/>
      </rPr>
      <t>2607E 更改为ZE XIN JUN JIE</t>
    </r>
    <r>
      <rPr>
        <sz val="11"/>
        <color rgb="FF000000"/>
        <rFont val="微软雅黑"/>
        <charset val="134"/>
      </rPr>
      <t xml:space="preserve">   </t>
    </r>
    <r>
      <rPr>
        <sz val="11"/>
        <color rgb="FF000000"/>
        <rFont val="微软雅黑"/>
        <charset val="134"/>
      </rPr>
      <t>2608E</t>
    </r>
  </si>
  <si>
    <t>2.14 更改船名航次完成，报关单已放行</t>
  </si>
  <si>
    <t>230820260086536844</t>
  </si>
  <si>
    <t>SNLGNJPXSWY1039</t>
  </si>
  <si>
    <r>
      <t>2.10 申报审结，报关单成功放行</t>
    </r>
    <r>
      <rPr>
        <sz val="11"/>
        <color rgb="FF000000"/>
        <rFont val="微软雅黑"/>
        <charset val="134"/>
      </rPr>
      <t xml:space="preserve">
</t>
    </r>
    <r>
      <rPr>
        <sz val="11"/>
        <color rgb="FF000000"/>
        <rFont val="微软雅黑"/>
        <charset val="134"/>
      </rPr>
      <t>2.13 代理反馈提前驳船了，需在放行后将船名航次HENGKUNHEXIE</t>
    </r>
    <r>
      <rPr>
        <sz val="11"/>
        <color rgb="FF000000"/>
        <rFont val="微软雅黑"/>
        <charset val="134"/>
      </rPr>
      <t xml:space="preserve">   </t>
    </r>
    <r>
      <rPr>
        <sz val="11"/>
        <color rgb="FF000000"/>
        <rFont val="微软雅黑"/>
        <charset val="134"/>
      </rPr>
      <t>2607E 更改为ZE XIN JUN JIE</t>
    </r>
    <r>
      <rPr>
        <sz val="11"/>
        <color rgb="FF000000"/>
        <rFont val="微软雅黑"/>
        <charset val="134"/>
      </rPr>
      <t xml:space="preserve">   </t>
    </r>
    <r>
      <rPr>
        <sz val="11"/>
        <color rgb="FF000000"/>
        <rFont val="微软雅黑"/>
        <charset val="134"/>
      </rPr>
      <t>2609E</t>
    </r>
  </si>
  <si>
    <t>2.15 更改船名航次完成，报关单已放行</t>
  </si>
  <si>
    <t>230820260086536592</t>
  </si>
  <si>
    <t>SNLGNJPXSWY1041</t>
  </si>
  <si>
    <r>
      <t>2.10 申报审结，报关单成功放行</t>
    </r>
    <r>
      <rPr>
        <sz val="11"/>
        <color rgb="FF000000"/>
        <rFont val="微软雅黑"/>
        <charset val="134"/>
      </rPr>
      <t xml:space="preserve">
</t>
    </r>
    <r>
      <rPr>
        <sz val="11"/>
        <color rgb="FF000000"/>
        <rFont val="微软雅黑"/>
        <charset val="134"/>
      </rPr>
      <t>2.13 代理反馈提前驳船了，需在放行后将船名航次HENGKUNHEXIE</t>
    </r>
    <r>
      <rPr>
        <sz val="11"/>
        <color rgb="FF000000"/>
        <rFont val="微软雅黑"/>
        <charset val="134"/>
      </rPr>
      <t xml:space="preserve">   </t>
    </r>
    <r>
      <rPr>
        <sz val="11"/>
        <color rgb="FF000000"/>
        <rFont val="微软雅黑"/>
        <charset val="134"/>
      </rPr>
      <t>2607E 更改为ZE XIN JUN JIE</t>
    </r>
    <r>
      <rPr>
        <sz val="11"/>
        <color rgb="FF000000"/>
        <rFont val="微软雅黑"/>
        <charset val="134"/>
      </rPr>
      <t xml:space="preserve">   </t>
    </r>
    <r>
      <rPr>
        <sz val="11"/>
        <color rgb="FF000000"/>
        <rFont val="微软雅黑"/>
        <charset val="134"/>
      </rPr>
      <t>2610E</t>
    </r>
  </si>
  <si>
    <t>2.16 更改船名航次完成，报关单已放行</t>
  </si>
  <si>
    <t>230520260056515685</t>
  </si>
  <si>
    <t>COSU644443039001</t>
  </si>
  <si>
    <t>2.13申请人工审单 海关操作成功，报关单已放行</t>
  </si>
  <si>
    <t>230520260056515687</t>
  </si>
  <si>
    <t>COSU644443039003</t>
  </si>
  <si>
    <t>230520260056515430</t>
  </si>
  <si>
    <t>SNLGZGJL005984</t>
  </si>
  <si>
    <t>2.13 申请人工审单 海关操作成功，报关单已放行</t>
  </si>
  <si>
    <t>330120260000007945</t>
  </si>
  <si>
    <t>265273215C</t>
  </si>
  <si>
    <r>
      <t>2.13 提交查验计划</t>
    </r>
    <r>
      <rPr>
        <sz val="11"/>
        <color rgb="FF000000"/>
        <rFont val="微软雅黑"/>
        <charset val="134"/>
      </rPr>
      <t xml:space="preserve">
</t>
    </r>
    <r>
      <rPr>
        <sz val="11"/>
        <color rgb="FF000000"/>
        <rFont val="微软雅黑"/>
        <charset val="134"/>
      </rPr>
      <t>2.14 查验完成 报关单已放行</t>
    </r>
  </si>
  <si>
    <t>222920260000665693</t>
  </si>
  <si>
    <t>COSU6444473170</t>
  </si>
  <si>
    <t>223120260000720720</t>
  </si>
  <si>
    <t>177USNSNS137396</t>
  </si>
  <si>
    <r>
      <t>2.13 提交查验计划</t>
    </r>
    <r>
      <rPr>
        <sz val="11"/>
        <color rgb="FF000000"/>
        <rFont val="微软雅黑"/>
        <charset val="134"/>
      </rPr>
      <t xml:space="preserve">  </t>
    </r>
    <r>
      <rPr>
        <sz val="11"/>
        <color rgb="FF000000"/>
        <rFont val="微软雅黑"/>
        <charset val="134"/>
      </rPr>
      <t>查验完成 报关单已放行</t>
    </r>
  </si>
  <si>
    <t>232720260276535376</t>
  </si>
  <si>
    <t>TLTCLCJU26021003</t>
  </si>
  <si>
    <r>
      <t>2.12 申报审结</t>
    </r>
    <r>
      <rPr>
        <sz val="11"/>
        <color rgb="FF000000"/>
        <rFont val="微软雅黑"/>
        <charset val="134"/>
      </rPr>
      <t xml:space="preserve">
</t>
    </r>
    <r>
      <rPr>
        <sz val="11"/>
        <color rgb="FF000000"/>
        <rFont val="微软雅黑"/>
        <charset val="134"/>
      </rPr>
      <t>2.13许可证申领系统小数点四舍五入，出现0.03KG误差，需改单</t>
    </r>
  </si>
  <si>
    <t>2.13 准备资料，提交改单申请，海关操作成功，申请人工放行，报关单已放行</t>
  </si>
  <si>
    <t>230720260076504411</t>
  </si>
  <si>
    <t>CAJ0159013</t>
  </si>
  <si>
    <t>230520260056516195</t>
  </si>
  <si>
    <t>COSU6444613880</t>
  </si>
  <si>
    <t>2.14 申请人工审单 海关操作成功，报关单已放行</t>
  </si>
  <si>
    <t>222920260000744293</t>
  </si>
  <si>
    <t>JJCSHLCA607508</t>
  </si>
  <si>
    <t>2.18 查验</t>
  </si>
  <si>
    <r>
      <t>2.18 提交查验计划</t>
    </r>
    <r>
      <rPr>
        <sz val="11"/>
        <color rgb="FF000000"/>
        <rFont val="微软雅黑"/>
        <charset val="134"/>
      </rPr>
      <t xml:space="preserve">
</t>
    </r>
    <r>
      <rPr>
        <sz val="11"/>
        <color rgb="FF000000"/>
        <rFont val="微软雅黑"/>
        <charset val="134"/>
      </rPr>
      <t>2.19 查验完成 报关单已放行</t>
    </r>
  </si>
  <si>
    <t>331020260000011179</t>
  </si>
  <si>
    <t>NOSNB26LB31150</t>
  </si>
  <si>
    <t>2.20 申报海关：庐州海关，宁波口岸人工查验，重量不符，北仑海关查验完成，需将信息转交到庐州海关，待庐州海关后续操作</t>
  </si>
  <si>
    <r>
      <t>2.20 人工查验，过磅重量少831.84，需改单，已联系通关代表提供相关资料</t>
    </r>
    <r>
      <rPr>
        <sz val="11"/>
        <color rgb="FF000000"/>
        <rFont val="微软雅黑"/>
        <charset val="134"/>
      </rPr>
      <t xml:space="preserve">
</t>
    </r>
    <r>
      <rPr>
        <sz val="11"/>
        <color rgb="FF000000"/>
        <rFont val="微软雅黑"/>
        <charset val="134"/>
      </rPr>
      <t>2.24 美的提供盖章件后重新提交海关，待海关处理</t>
    </r>
    <r>
      <rPr>
        <sz val="11"/>
        <color rgb="FF000000"/>
        <rFont val="微软雅黑"/>
        <charset val="134"/>
      </rPr>
      <t xml:space="preserve">
</t>
    </r>
    <r>
      <rPr>
        <sz val="11"/>
        <color rgb="FF000000"/>
        <rFont val="微软雅黑"/>
        <charset val="134"/>
      </rPr>
      <t>2.25 北仑查验已完成，待宁波海关完成数据传输至庐州海关后，庐州海关开展后续处置工作</t>
    </r>
    <r>
      <rPr>
        <sz val="11"/>
        <color rgb="FF000000"/>
        <rFont val="微软雅黑"/>
        <charset val="134"/>
      </rPr>
      <t xml:space="preserve">
</t>
    </r>
    <r>
      <rPr>
        <sz val="11"/>
        <color rgb="FF000000"/>
        <rFont val="微软雅黑"/>
        <charset val="134"/>
      </rPr>
      <t>2.26 已按北仑海关要求准备资料，待美的盖章</t>
    </r>
    <r>
      <rPr>
        <sz val="11"/>
        <color rgb="FF000000"/>
        <rFont val="微软雅黑"/>
        <charset val="134"/>
      </rPr>
      <t xml:space="preserve">
</t>
    </r>
    <r>
      <rPr>
        <sz val="11"/>
        <color rgb="FF000000"/>
        <rFont val="微软雅黑"/>
        <charset val="134"/>
      </rPr>
      <t>2.27资料已发送至北仑海关现场邮箱，待海关处理</t>
    </r>
    <r>
      <rPr>
        <sz val="11"/>
        <color rgb="FF000000"/>
        <rFont val="微软雅黑"/>
        <charset val="134"/>
      </rPr>
      <t xml:space="preserve">
</t>
    </r>
    <r>
      <rPr>
        <sz val="11"/>
        <color rgb="FF000000"/>
        <rFont val="微软雅黑"/>
        <charset val="134"/>
      </rPr>
      <t>3.2 海关核归类异常，联系通关代表处理</t>
    </r>
    <r>
      <rPr>
        <sz val="11"/>
        <color rgb="FF000000"/>
        <rFont val="微软雅黑"/>
        <charset val="134"/>
      </rPr>
      <t xml:space="preserve">
</t>
    </r>
    <r>
      <rPr>
        <sz val="11"/>
        <color rgb="FF000000"/>
        <rFont val="微软雅黑"/>
        <charset val="134"/>
      </rPr>
      <t>3.3 等待美的准备商品情况说明的盖章资料</t>
    </r>
    <r>
      <rPr>
        <sz val="11"/>
        <color rgb="FF000000"/>
        <rFont val="微软雅黑"/>
        <charset val="134"/>
      </rPr>
      <t xml:space="preserve">
</t>
    </r>
    <r>
      <rPr>
        <sz val="11"/>
        <color rgb="FF000000"/>
        <rFont val="微软雅黑"/>
        <charset val="134"/>
      </rPr>
      <t>3.4 情况说明交现场海关，海关审核归类错误，反馈通关代表处理</t>
    </r>
    <r>
      <rPr>
        <sz val="11"/>
        <color rgb="FF000000"/>
        <rFont val="微软雅黑"/>
        <charset val="134"/>
      </rPr>
      <t xml:space="preserve">
</t>
    </r>
    <r>
      <rPr>
        <sz val="11"/>
        <color rgb="FF000000"/>
        <rFont val="微软雅黑"/>
        <charset val="134"/>
      </rPr>
      <t>3.5 与现场海关沟通，待海关批复</t>
    </r>
    <r>
      <rPr>
        <sz val="11"/>
        <color rgb="FF000000"/>
        <rFont val="微软雅黑"/>
        <charset val="134"/>
      </rPr>
      <t xml:space="preserve">
</t>
    </r>
    <r>
      <rPr>
        <sz val="11"/>
        <color rgb="FF000000"/>
        <rFont val="微软雅黑"/>
        <charset val="134"/>
      </rPr>
      <t>3.6 海关审核归类错误，认为应归入4807章，接海关处置科通知，已将流程递交至关税处。待关税处完成处理后，将再次移交至后续处置科进行处置。已反馈通关代表处理。</t>
    </r>
    <r>
      <rPr>
        <sz val="11"/>
        <color rgb="FF000000"/>
        <rFont val="微软雅黑"/>
        <charset val="134"/>
      </rPr>
      <t xml:space="preserve">
</t>
    </r>
    <r>
      <rPr>
        <sz val="11"/>
        <color rgb="FF000000"/>
        <rFont val="微软雅黑"/>
        <charset val="134"/>
      </rPr>
      <t>3.10欣海归类意见书交宁波海关，待海关审核意见</t>
    </r>
    <r>
      <rPr>
        <sz val="11"/>
        <color rgb="FF000000"/>
        <rFont val="微软雅黑"/>
        <charset val="134"/>
      </rPr>
      <t xml:space="preserve">
</t>
    </r>
    <r>
      <rPr>
        <sz val="11"/>
        <color rgb="FF000000"/>
        <rFont val="微软雅黑"/>
        <charset val="134"/>
      </rPr>
      <t>3.11宁波海关不认可欣海归类意见书，反馈通关代表，联系现场海关推进解决办法。</t>
    </r>
    <r>
      <rPr>
        <sz val="11"/>
        <color rgb="FF000000"/>
        <rFont val="微软雅黑"/>
        <charset val="134"/>
      </rPr>
      <t xml:space="preserve">
</t>
    </r>
    <r>
      <rPr>
        <sz val="11"/>
        <color rgb="FF000000"/>
        <rFont val="微软雅黑"/>
        <charset val="134"/>
      </rPr>
      <t>3.12提供华茂归类建议书，宁波海关不认可，出具处理意见，反馈通关代表</t>
    </r>
    <r>
      <rPr>
        <sz val="11"/>
        <color rgb="FF000000"/>
        <rFont val="微软雅黑"/>
        <charset val="134"/>
      </rPr>
      <t xml:space="preserve">
</t>
    </r>
    <r>
      <rPr>
        <sz val="11"/>
        <color rgb="FF000000"/>
        <rFont val="微软雅黑"/>
        <charset val="134"/>
      </rPr>
      <t>3.16 准备两简资料，无误后美的安排盖章寄出</t>
    </r>
    <r>
      <rPr>
        <sz val="11"/>
        <color rgb="FF000000"/>
        <rFont val="微软雅黑"/>
        <charset val="134"/>
      </rPr>
      <t xml:space="preserve">
</t>
    </r>
    <r>
      <rPr>
        <sz val="11"/>
        <color rgb="FF000000"/>
        <rFont val="微软雅黑"/>
        <charset val="134"/>
      </rPr>
      <t>3.17 美的资料已盖章寄出，扫描件已同步现场</t>
    </r>
    <r>
      <rPr>
        <sz val="11"/>
        <color rgb="FF000000"/>
        <rFont val="微软雅黑"/>
        <charset val="134"/>
      </rPr>
      <t xml:space="preserve">
</t>
    </r>
    <r>
      <rPr>
        <sz val="11"/>
        <color rgb="FF000000"/>
        <rFont val="微软雅黑"/>
        <charset val="134"/>
      </rPr>
      <t>3.18现场将正本资料递交海关，待海关审批</t>
    </r>
    <r>
      <rPr>
        <sz val="11"/>
        <color rgb="FF000000"/>
        <rFont val="微软雅黑"/>
        <charset val="134"/>
      </rPr>
      <t xml:space="preserve">
</t>
    </r>
    <r>
      <rPr>
        <sz val="11"/>
        <color rgb="FF000000"/>
        <rFont val="微软雅黑"/>
        <charset val="134"/>
      </rPr>
      <t>3.19 待海关法制科审批处理</t>
    </r>
    <r>
      <rPr>
        <sz val="11"/>
        <color rgb="FF000000"/>
        <rFont val="微软雅黑"/>
        <charset val="134"/>
      </rPr>
      <t xml:space="preserve">
</t>
    </r>
    <r>
      <rPr>
        <sz val="11"/>
        <color rgb="FF000000"/>
        <rFont val="微软雅黑"/>
        <charset val="134"/>
      </rPr>
      <t>3.20宁波海关要求提供承诺书，待美的盖章寄出</t>
    </r>
    <r>
      <rPr>
        <sz val="11"/>
        <color rgb="FF000000"/>
        <rFont val="微软雅黑"/>
        <charset val="134"/>
      </rPr>
      <t xml:space="preserve">
</t>
    </r>
    <r>
      <rPr>
        <sz val="11"/>
        <color rgb="FF000000"/>
        <rFont val="微软雅黑"/>
        <charset val="134"/>
      </rPr>
      <t>3.23承诺书递交宁波海关，法制科审批已返单到后续处置科</t>
    </r>
    <r>
      <rPr>
        <sz val="11"/>
        <color rgb="FF000000"/>
        <rFont val="微软雅黑"/>
        <charset val="134"/>
      </rPr>
      <t xml:space="preserve">
</t>
    </r>
    <r>
      <rPr>
        <sz val="11"/>
        <color rgb="FF000000"/>
        <rFont val="微软雅黑"/>
        <charset val="134"/>
      </rPr>
      <t>3.24宁波海关处置科发送联系单到属地庐州海关，报关单已放行，需在3.27日前将正确税号报关单提交宁波海关，联系庐州海关准备删单资料，接庐州海关通知：因系统原因需次日再提交删单申请</t>
    </r>
    <r>
      <rPr>
        <sz val="11"/>
        <color rgb="FF000000"/>
        <rFont val="微软雅黑"/>
        <charset val="134"/>
      </rPr>
      <t xml:space="preserve">
</t>
    </r>
    <r>
      <rPr>
        <sz val="11"/>
        <color rgb="FF000000"/>
        <rFont val="微软雅黑"/>
        <charset val="134"/>
      </rPr>
      <t>3.25 发起删单申请，庐州海关受理，删单已完成。</t>
    </r>
    <r>
      <rPr>
        <sz val="11"/>
        <color rgb="FF000000"/>
        <rFont val="微软雅黑"/>
        <charset val="134"/>
      </rPr>
      <t xml:space="preserve">
</t>
    </r>
    <r>
      <rPr>
        <sz val="11"/>
        <color rgb="FF000000"/>
        <rFont val="微软雅黑"/>
        <charset val="134"/>
      </rPr>
      <t>3.26 宁波现场联系海关后续处置科解锁集装箱，箱子已解锁。代理重发运抵，待运抵正确后重新申报，重报已海放码放，报关单已通知美的盖章寄出，盖章扫描件已转发宁波现场，待正本盖章报放单寄到宁波现场后 ，递交海关法制科核销</t>
    </r>
    <r>
      <rPr>
        <sz val="11"/>
        <color rgb="FF000000"/>
        <rFont val="微软雅黑"/>
        <charset val="134"/>
      </rPr>
      <t xml:space="preserve">
</t>
    </r>
    <r>
      <rPr>
        <sz val="11"/>
        <color rgb="FF000000"/>
        <rFont val="微软雅黑"/>
        <charset val="134"/>
      </rPr>
      <t>3.27 报关单已核销</t>
    </r>
  </si>
  <si>
    <t>230520250055587099</t>
  </si>
  <si>
    <t>COSU6432706460</t>
  </si>
  <si>
    <r>
      <t>2025.11.7 申报放行</t>
    </r>
    <r>
      <rPr>
        <sz val="11"/>
        <color rgb="FF000000"/>
        <rFont val="微软雅黑"/>
        <charset val="134"/>
      </rPr>
      <t xml:space="preserve">
</t>
    </r>
    <r>
      <rPr>
        <sz val="11"/>
        <color rgb="FF000000"/>
        <rFont val="微软雅黑"/>
        <charset val="134"/>
      </rPr>
      <t>2026.2.24接代理邮件通知此票因船代换船手续未完成未结关需要办强行结关</t>
    </r>
  </si>
  <si>
    <r>
      <t>2025.11.7 申报放行</t>
    </r>
    <r>
      <rPr>
        <sz val="11"/>
        <color rgb="FF000000"/>
        <rFont val="微软雅黑"/>
        <charset val="134"/>
      </rPr>
      <t xml:space="preserve">
</t>
    </r>
    <r>
      <rPr>
        <sz val="11"/>
        <color rgb="FF000000"/>
        <rFont val="微软雅黑"/>
        <charset val="134"/>
      </rPr>
      <t>2026.2.24接代理邮件通知此票因船代换船手续未完成未结关需要办强行结关，邮件问询核实具体原因，未收到答复。</t>
    </r>
    <r>
      <rPr>
        <sz val="11"/>
        <color rgb="FF000000"/>
        <rFont val="微软雅黑"/>
        <charset val="134"/>
      </rPr>
      <t xml:space="preserve">
</t>
    </r>
    <r>
      <rPr>
        <sz val="11"/>
        <color rgb="FF000000"/>
        <rFont val="微软雅黑"/>
        <charset val="134"/>
      </rPr>
      <t>2.26 准备正本资料盖章寄出，申请强行结关</t>
    </r>
    <r>
      <rPr>
        <sz val="11"/>
        <color rgb="FF000000"/>
        <rFont val="微软雅黑"/>
        <charset val="134"/>
      </rPr>
      <t xml:space="preserve">
</t>
    </r>
    <r>
      <rPr>
        <sz val="11"/>
        <color rgb="FF000000"/>
        <rFont val="微软雅黑"/>
        <charset val="134"/>
      </rPr>
      <t>2.28 海关操作成功，报关单已结关</t>
    </r>
  </si>
  <si>
    <t>230520250055587084</t>
  </si>
  <si>
    <t>COSU6432706510</t>
  </si>
  <si>
    <t>223120260000673622</t>
  </si>
  <si>
    <t>CHN3039731P1</t>
  </si>
  <si>
    <t>2.12 申报放行 2.24 代理反馈该票拼箱货，因主单查验导致柜子未上船，由于后续船期相隔时间较久，无法申请自费漏装，需删单</t>
  </si>
  <si>
    <r>
      <t>2.24 联系通关代表确认删单，需代理提供在港证明、未上船证明，删单费用待代理确认</t>
    </r>
    <r>
      <rPr>
        <sz val="11"/>
        <color rgb="FF000000"/>
        <rFont val="微软雅黑"/>
        <charset val="134"/>
      </rPr>
      <t xml:space="preserve">
</t>
    </r>
    <r>
      <rPr>
        <sz val="11"/>
        <color rgb="FF000000"/>
        <rFont val="微软雅黑"/>
        <charset val="134"/>
      </rPr>
      <t>2.25 删单费用和在港证明费用等通关代表邮件回复，已同步通关代表，暂未收到邮件回复</t>
    </r>
    <r>
      <rPr>
        <sz val="11"/>
        <color rgb="FF000000"/>
        <rFont val="微软雅黑"/>
        <charset val="134"/>
      </rPr>
      <t xml:space="preserve">
</t>
    </r>
    <r>
      <rPr>
        <sz val="11"/>
        <color rgb="FF000000"/>
        <rFont val="微软雅黑"/>
        <charset val="134"/>
      </rPr>
      <t>2.26 通关代表邮件要求减免，申请删单，删单已完成。</t>
    </r>
  </si>
  <si>
    <t>230520260056516725</t>
  </si>
  <si>
    <t>JNG0299581A</t>
  </si>
  <si>
    <t>2.24 申报审结，涉及电机，需人工审单</t>
  </si>
  <si>
    <t>2.24 申请人工审单 海关操作成功，报关单已放行</t>
  </si>
  <si>
    <t>230520260056516700</t>
  </si>
  <si>
    <t>JNG0303214A</t>
  </si>
  <si>
    <t>720720260000036934</t>
  </si>
  <si>
    <t>7207KY2026022505001</t>
  </si>
  <si>
    <t>2.25 申报审结 涉许可证，需人工审单。申请审单后海关挂起</t>
  </si>
  <si>
    <r>
      <t>2.25 联系海关人工审单，海关挂起 要求补传合同。联系通关代表提供资料，首次补传后再次挂起，反馈单证提供买卖双方盖章合同，补传后海关再次要求补传发票，现已补传 待海关审核</t>
    </r>
    <r>
      <rPr>
        <sz val="11"/>
        <color rgb="FF000000"/>
        <rFont val="微软雅黑"/>
        <charset val="134"/>
      </rPr>
      <t xml:space="preserve">
</t>
    </r>
    <r>
      <rPr>
        <sz val="11"/>
        <color rgb="FF000000"/>
        <rFont val="微软雅黑"/>
        <charset val="134"/>
      </rPr>
      <t>2.26 海关继续要求补传含贸易双方清晰签章的外贸合同原件，已补传，待海关审核</t>
    </r>
    <r>
      <rPr>
        <sz val="11"/>
        <color rgb="FF000000"/>
        <rFont val="微软雅黑"/>
        <charset val="134"/>
      </rPr>
      <t xml:space="preserve">
</t>
    </r>
    <r>
      <rPr>
        <sz val="11"/>
        <color rgb="FF000000"/>
        <rFont val="微软雅黑"/>
        <charset val="134"/>
      </rPr>
      <t>2.27 海关审核完成，报关单已放行</t>
    </r>
  </si>
  <si>
    <t>232820260286528128</t>
  </si>
  <si>
    <t>177ZZEZES808212</t>
  </si>
  <si>
    <t>2.25 申报审结，舱单船名航次错，代理更新出运表未通知。错误船名：MSC BERYL FK607A，正确船名：MSC SOPHIE VII FN608A。需删单</t>
  </si>
  <si>
    <r>
      <t>2.25 联系通关代表，准备删单资料</t>
    </r>
    <r>
      <rPr>
        <sz val="11"/>
        <color rgb="FF000000"/>
        <rFont val="微软雅黑"/>
        <charset val="134"/>
      </rPr>
      <t xml:space="preserve">
</t>
    </r>
    <r>
      <rPr>
        <sz val="11"/>
        <color rgb="FF000000"/>
        <rFont val="微软雅黑"/>
        <charset val="134"/>
      </rPr>
      <t>2.26 发起删单申请，海关驳回，提供码头信息后重新发起，待海关受理</t>
    </r>
    <r>
      <rPr>
        <sz val="11"/>
        <color rgb="FF000000"/>
        <rFont val="微软雅黑"/>
        <charset val="134"/>
      </rPr>
      <t xml:space="preserve">
</t>
    </r>
    <r>
      <rPr>
        <sz val="11"/>
        <color rgb="FF000000"/>
        <rFont val="微软雅黑"/>
        <charset val="134"/>
      </rPr>
      <t>2.27 删单已完成，重报报关单已放行</t>
    </r>
  </si>
  <si>
    <t>330120260000008409</t>
  </si>
  <si>
    <t>177PJWJWJ506850S</t>
  </si>
  <si>
    <t>2.25 审结未放行 需人工放行</t>
  </si>
  <si>
    <t>2.25 申请人工放行 海关操作成功，报关单已放行</t>
  </si>
  <si>
    <t>330120260000008808</t>
  </si>
  <si>
    <t>177MJCJCJ528953X</t>
  </si>
  <si>
    <t>2.27 审结未放行 需人工放行</t>
  </si>
  <si>
    <t>2.27 申请人工放行 海关操作成功，报关单已放行</t>
  </si>
  <si>
    <t>230520260056517028</t>
  </si>
  <si>
    <t>177FVKJUJ207351BW</t>
  </si>
  <si>
    <t>2.25 申报审结，涉许可证，需人工审单</t>
  </si>
  <si>
    <t>2.25 申请人工审单 海关操作成功，报关单已放行</t>
  </si>
  <si>
    <t>230520260056516991</t>
  </si>
  <si>
    <t>265854498A</t>
  </si>
  <si>
    <t>2.25 申报审结，涉及电机，需人工审单</t>
  </si>
  <si>
    <t>230520260056516973</t>
  </si>
  <si>
    <t>COAU7266558730</t>
  </si>
  <si>
    <t>230520260056516930</t>
  </si>
  <si>
    <t>HLCUNK2260151204A</t>
  </si>
  <si>
    <t>223120260000842868</t>
  </si>
  <si>
    <t>OOLU4125300370</t>
  </si>
  <si>
    <t>2.25 查验</t>
  </si>
  <si>
    <r>
      <t>2.25机检查验</t>
    </r>
    <r>
      <rPr>
        <sz val="11"/>
        <color rgb="FF000000"/>
        <rFont val="微软雅黑"/>
        <charset val="134"/>
      </rPr>
      <t xml:space="preserve">
</t>
    </r>
    <r>
      <rPr>
        <sz val="11"/>
        <color rgb="FF000000"/>
        <rFont val="微软雅黑"/>
        <charset val="134"/>
      </rPr>
      <t>2.26查验完成，报关单已放行</t>
    </r>
  </si>
  <si>
    <t>230820260086543957</t>
  </si>
  <si>
    <t>COSU6445183490</t>
  </si>
  <si>
    <r>
      <t>2.25 申报审结</t>
    </r>
    <r>
      <rPr>
        <sz val="11"/>
        <color rgb="FF000000"/>
        <rFont val="微软雅黑"/>
        <charset val="134"/>
      </rPr>
      <t xml:space="preserve">  </t>
    </r>
    <r>
      <rPr>
        <sz val="11"/>
        <color rgb="FF000000"/>
        <rFont val="微软雅黑"/>
        <charset val="134"/>
      </rPr>
      <t>2.26 代理通知更改船名航次</t>
    </r>
  </si>
  <si>
    <t>2.26 申请更换船名航次 海关操作成功，报关单已放行</t>
  </si>
  <si>
    <t>230820260086544119</t>
  </si>
  <si>
    <t>COSU6445183480</t>
  </si>
  <si>
    <t>230820260086543971</t>
  </si>
  <si>
    <t>COSU6445183460</t>
  </si>
  <si>
    <r>
      <t>2.25 申报放行</t>
    </r>
    <r>
      <rPr>
        <sz val="11"/>
        <color rgb="FF000000"/>
        <rFont val="微软雅黑"/>
        <charset val="134"/>
      </rPr>
      <t xml:space="preserve">  </t>
    </r>
    <r>
      <rPr>
        <sz val="11"/>
        <color rgb="FF000000"/>
        <rFont val="微软雅黑"/>
        <charset val="134"/>
      </rPr>
      <t>2.26代理通知更改船名航次</t>
    </r>
  </si>
  <si>
    <t>230820260086544208</t>
  </si>
  <si>
    <t>COSU6444771180</t>
  </si>
  <si>
    <t>2.26 申报海放未码放，代理提供预配截图，核对发现 预配船名航次 与 出运表提供船名航次 不符，需改配</t>
  </si>
  <si>
    <t>2.26 申请更改船名航次，报关单已放行</t>
  </si>
  <si>
    <t>230820260086545232</t>
  </si>
  <si>
    <t>CAJ0159098B</t>
  </si>
  <si>
    <t>2.26 查验</t>
  </si>
  <si>
    <r>
      <t>2.26 提交查验计划</t>
    </r>
    <r>
      <rPr>
        <sz val="11"/>
        <color rgb="FF000000"/>
        <rFont val="微软雅黑"/>
        <charset val="134"/>
      </rPr>
      <t xml:space="preserve">
</t>
    </r>
    <r>
      <rPr>
        <sz val="11"/>
        <color rgb="FF000000"/>
        <rFont val="微软雅黑"/>
        <charset val="134"/>
      </rPr>
      <t>2.27 海关查验完成，报关单已放行</t>
    </r>
  </si>
  <si>
    <t>230820260086545714</t>
  </si>
  <si>
    <t>177TJWJWJ050278S</t>
  </si>
  <si>
    <t>2.27 查验</t>
  </si>
  <si>
    <r>
      <t>2.27 提交查验计划</t>
    </r>
    <r>
      <rPr>
        <sz val="11"/>
        <color rgb="FF000000"/>
        <rFont val="微软雅黑"/>
        <charset val="134"/>
      </rPr>
      <t xml:space="preserve">
</t>
    </r>
    <r>
      <rPr>
        <sz val="11"/>
        <color rgb="FF000000"/>
        <rFont val="微软雅黑"/>
        <charset val="134"/>
      </rPr>
      <t>2.28 查验完成，报关单已放行</t>
    </r>
  </si>
  <si>
    <t>230520260056517729</t>
  </si>
  <si>
    <t>JNG0302649</t>
  </si>
  <si>
    <t>2.27 申报审结，涉许可证，需人工审单</t>
  </si>
  <si>
    <t>2.27 申请人工审单 海关操作成功，报关单已放行</t>
  </si>
  <si>
    <t>230520260056518271</t>
  </si>
  <si>
    <t>177MJCJCJ228967T</t>
  </si>
  <si>
    <t>2.28 申报审结，涉许可证，需人工审单</t>
  </si>
  <si>
    <t>2.28 申请人工审单 海关操作成功，报关单已放行</t>
  </si>
  <si>
    <t>230820260086546864</t>
  </si>
  <si>
    <t>JNG0305714B</t>
  </si>
  <si>
    <t>3.2 申请人工审单 海关操作成功，报关单已放行</t>
  </si>
  <si>
    <t>230820260086546941</t>
  </si>
  <si>
    <t>YMJAN241127065</t>
  </si>
  <si>
    <t>3.1 查验</t>
  </si>
  <si>
    <t>3.2 提交查验计划，报关单已放行</t>
  </si>
  <si>
    <t>230820260086547249</t>
  </si>
  <si>
    <t>177NJTJTJ056753X</t>
  </si>
  <si>
    <t>3.2 查验 3.5 改配</t>
  </si>
  <si>
    <r>
      <t>3.2 提交查验计划</t>
    </r>
    <r>
      <rPr>
        <sz val="11"/>
        <color rgb="FF000000"/>
        <rFont val="微软雅黑"/>
        <charset val="134"/>
      </rPr>
      <t xml:space="preserve">
</t>
    </r>
    <r>
      <rPr>
        <sz val="11"/>
        <color rgb="FF000000"/>
        <rFont val="微软雅黑"/>
        <charset val="134"/>
      </rPr>
      <t>3.3 查验完成，报关单已放行</t>
    </r>
    <r>
      <rPr>
        <sz val="11"/>
        <color rgb="FF000000"/>
        <rFont val="微软雅黑"/>
        <charset val="134"/>
      </rPr>
      <t xml:space="preserve">
</t>
    </r>
    <r>
      <rPr>
        <sz val="11"/>
        <color rgb="FF000000"/>
        <rFont val="微软雅黑"/>
        <charset val="134"/>
      </rPr>
      <t>3.5 申请改配 海关操作成功</t>
    </r>
  </si>
  <si>
    <t>230820260086546191</t>
  </si>
  <si>
    <t>COSU6444701610</t>
  </si>
  <si>
    <r>
      <t>2.27 申报放行</t>
    </r>
    <r>
      <rPr>
        <sz val="11"/>
        <color rgb="FF000000"/>
        <rFont val="微软雅黑"/>
        <charset val="134"/>
      </rPr>
      <t xml:space="preserve">
</t>
    </r>
    <r>
      <rPr>
        <sz val="11"/>
        <color rgb="FF000000"/>
        <rFont val="微软雅黑"/>
        <charset val="134"/>
      </rPr>
      <t>3.2 代理反馈需在放行后将船名航次 HENGKUNHEXIE</t>
    </r>
    <r>
      <rPr>
        <sz val="11"/>
        <color rgb="FF000000"/>
        <rFont val="微软雅黑"/>
        <charset val="134"/>
      </rPr>
      <t xml:space="preserve">   </t>
    </r>
    <r>
      <rPr>
        <sz val="11"/>
        <color rgb="FF000000"/>
        <rFont val="微软雅黑"/>
        <charset val="134"/>
      </rPr>
      <t>2607E 更改为ZHONG YUAN HAI YUN LV SHUI 01 /067E</t>
    </r>
  </si>
  <si>
    <t>3.2 申请更改船名航次，海关操作成功，改配完成</t>
  </si>
  <si>
    <t>230820260086547845</t>
  </si>
  <si>
    <t>3.2 查验</t>
  </si>
  <si>
    <r>
      <t>3.2 提交查验计划</t>
    </r>
    <r>
      <rPr>
        <sz val="11"/>
        <color rgb="FF000000"/>
        <rFont val="微软雅黑"/>
        <charset val="134"/>
      </rPr>
      <t xml:space="preserve">
</t>
    </r>
    <r>
      <rPr>
        <sz val="11"/>
        <color rgb="FF000000"/>
        <rFont val="微软雅黑"/>
        <charset val="134"/>
      </rPr>
      <t>3.3 查验完成，报关单已放行</t>
    </r>
  </si>
  <si>
    <r>
      <t xml:space="preserve">    </t>
    </r>
    <r>
      <rPr>
        <sz val="11"/>
        <color rgb="FF000000"/>
        <rFont val="微软雅黑"/>
        <charset val="134"/>
      </rPr>
      <t>未申报</t>
    </r>
    <r>
      <rPr>
        <sz val="11"/>
        <color rgb="FF000000"/>
        <rFont val="微软雅黑"/>
        <charset val="134"/>
      </rPr>
      <t xml:space="preserve">  </t>
    </r>
  </si>
  <si>
    <t>177NJTJTJ056755X</t>
  </si>
  <si>
    <t>3.2 因货物中有“焊条”，美的通知箱号：MSBU7674471办理倒箱</t>
  </si>
  <si>
    <r>
      <t>3.2 准备倒箱掏空的情况说明资料，通关代表盖章寄出</t>
    </r>
    <r>
      <rPr>
        <sz val="11"/>
        <color rgb="FF000000"/>
        <rFont val="微软雅黑"/>
        <charset val="134"/>
      </rPr>
      <t xml:space="preserve">
</t>
    </r>
    <r>
      <rPr>
        <sz val="11"/>
        <color rgb="FF000000"/>
        <rFont val="微软雅黑"/>
        <charset val="134"/>
      </rPr>
      <t>3.3 资料海关已备案，正本已交代理</t>
    </r>
  </si>
  <si>
    <t>232820260286529190</t>
  </si>
  <si>
    <t>JJCSHTHA607511</t>
  </si>
  <si>
    <t>3.2 此票已安排为退关，代理错通知报关，需删单</t>
  </si>
  <si>
    <t>3.2 准备删单资料，海关操作成功，删单完成</t>
  </si>
  <si>
    <t>230520260056518838</t>
  </si>
  <si>
    <t>CAJ0159446A</t>
  </si>
  <si>
    <t>3.2 申报审结，涉许可证，需人工审单</t>
  </si>
  <si>
    <t>3.3 申请人工审单 海关操作成功，报关单已放行</t>
  </si>
  <si>
    <t>230520260056518837</t>
  </si>
  <si>
    <t>CAJ0159446</t>
  </si>
  <si>
    <t>230820260086548803</t>
  </si>
  <si>
    <t>NJGCW26000340</t>
  </si>
  <si>
    <t>3.3 查验 3.4 申报放行，代理反馈需在放行后将船名航次LINGZHENG16/26610S 更改为 ANYANG66/ 26610S</t>
  </si>
  <si>
    <r>
      <t>3.3 提交查验计划</t>
    </r>
    <r>
      <rPr>
        <sz val="11"/>
        <color rgb="FF000000"/>
        <rFont val="微软雅黑"/>
        <charset val="134"/>
      </rPr>
      <t xml:space="preserve">
</t>
    </r>
    <r>
      <rPr>
        <sz val="11"/>
        <color rgb="FF000000"/>
        <rFont val="微软雅黑"/>
        <charset val="134"/>
      </rPr>
      <t>3.4 查验完成，报关单已放行 申请更改船名航次</t>
    </r>
    <r>
      <rPr>
        <sz val="11"/>
        <color rgb="FF000000"/>
        <rFont val="微软雅黑"/>
        <charset val="134"/>
      </rPr>
      <t xml:space="preserve">
</t>
    </r>
    <r>
      <rPr>
        <sz val="11"/>
        <color rgb="FF000000"/>
        <rFont val="微软雅黑"/>
        <charset val="134"/>
      </rPr>
      <t>3.5 海关操作成功</t>
    </r>
  </si>
  <si>
    <t>230820260086545887</t>
  </si>
  <si>
    <t>COSU6444570480</t>
  </si>
  <si>
    <r>
      <t>2.27 申报放行</t>
    </r>
    <r>
      <rPr>
        <sz val="11"/>
        <color rgb="FF000000"/>
        <rFont val="微软雅黑"/>
        <charset val="134"/>
      </rPr>
      <t xml:space="preserve">
</t>
    </r>
    <r>
      <rPr>
        <sz val="11"/>
        <color rgb="FF000000"/>
        <rFont val="微软雅黑"/>
        <charset val="134"/>
      </rPr>
      <t>3.4 代理反馈需在放行后将船名航次 HUAI AN HAI JI/B553E 更改为</t>
    </r>
    <r>
      <rPr>
        <sz val="11"/>
        <color rgb="FF000000"/>
        <rFont val="微软雅黑"/>
        <charset val="134"/>
      </rPr>
      <t xml:space="preserve">  </t>
    </r>
    <r>
      <rPr>
        <sz val="11"/>
        <color rgb="FF000000"/>
        <rFont val="微软雅黑"/>
        <charset val="134"/>
      </rPr>
      <t>ZHONGXINGTUNAN / B112E</t>
    </r>
  </si>
  <si>
    <t>3.4 申请更改船名航次，海关操作成功，改配完成</t>
  </si>
  <si>
    <t>222520261000047563</t>
  </si>
  <si>
    <t>SNKO073260200609*04</t>
  </si>
  <si>
    <t>3.2 申报审结</t>
  </si>
  <si>
    <r>
      <t xml:space="preserve">3.4 已交税卡审结，需人工递单审单，已通知美的讲正本资料寄出 </t>
    </r>
    <r>
      <rPr>
        <sz val="11"/>
        <color rgb="FF000000"/>
        <rFont val="微软雅黑"/>
        <charset val="134"/>
      </rPr>
      <t xml:space="preserve">
</t>
    </r>
    <r>
      <rPr>
        <sz val="11"/>
        <color rgb="FF000000"/>
        <rFont val="微软雅黑"/>
        <charset val="134"/>
      </rPr>
      <t>3.5已通知美的将正本资料再次寄出</t>
    </r>
    <r>
      <rPr>
        <sz val="11"/>
        <color rgb="FF000000"/>
        <rFont val="微软雅黑"/>
        <charset val="134"/>
      </rPr>
      <t xml:space="preserve">
</t>
    </r>
    <r>
      <rPr>
        <sz val="11"/>
        <color rgb="FF000000"/>
        <rFont val="微软雅黑"/>
        <charset val="134"/>
      </rPr>
      <t>3.6改单，改征免性质，已结关放行</t>
    </r>
  </si>
  <si>
    <t>232720260276543899</t>
  </si>
  <si>
    <t>TLTCHTJB26061006</t>
  </si>
  <si>
    <t>3.4 查验</t>
  </si>
  <si>
    <r>
      <t>3.4 提交查验计划</t>
    </r>
    <r>
      <rPr>
        <sz val="11"/>
        <color rgb="FF000000"/>
        <rFont val="微软雅黑"/>
        <charset val="134"/>
      </rPr>
      <t xml:space="preserve">
</t>
    </r>
    <r>
      <rPr>
        <sz val="11"/>
        <color rgb="FF000000"/>
        <rFont val="微软雅黑"/>
        <charset val="134"/>
      </rPr>
      <t>3.5 查验完成，报关单已放行</t>
    </r>
  </si>
  <si>
    <t>230520260056519431</t>
  </si>
  <si>
    <t>266428812A</t>
  </si>
  <si>
    <r>
      <t>3.4 提交查验计划</t>
    </r>
    <r>
      <rPr>
        <sz val="11"/>
        <color rgb="FF000000"/>
        <rFont val="微软雅黑"/>
        <charset val="134"/>
      </rPr>
      <t xml:space="preserve">
</t>
    </r>
    <r>
      <rPr>
        <sz val="11"/>
        <color rgb="FF000000"/>
        <rFont val="微软雅黑"/>
        <charset val="134"/>
      </rPr>
      <t>3.5 追加人工查验，海关操作成功，报关单已放行</t>
    </r>
  </si>
  <si>
    <t>230820260086544761</t>
  </si>
  <si>
    <t>177ZJTJTJ056488X</t>
  </si>
  <si>
    <t>2.26申报放行 3.4 代理通知因中东战争原因需办理退关</t>
  </si>
  <si>
    <r>
      <t>3.5 货物已到上海，需代理先安排转关单申报</t>
    </r>
    <r>
      <rPr>
        <sz val="11"/>
        <color rgb="FF000000"/>
        <rFont val="微软雅黑"/>
        <charset val="134"/>
      </rPr>
      <t xml:space="preserve">
</t>
    </r>
    <r>
      <rPr>
        <sz val="11"/>
        <color rgb="FF000000"/>
        <rFont val="微软雅黑"/>
        <charset val="134"/>
      </rPr>
      <t xml:space="preserve">3.6 确认还箱地址，准备退关资料 </t>
    </r>
    <r>
      <rPr>
        <sz val="11"/>
        <color rgb="FF000000"/>
        <rFont val="微软雅黑"/>
        <charset val="134"/>
      </rPr>
      <t xml:space="preserve">
</t>
    </r>
    <r>
      <rPr>
        <sz val="11"/>
        <color rgb="FF000000"/>
        <rFont val="微软雅黑"/>
        <charset val="134"/>
      </rPr>
      <t>3.9 和通关代表确认后续手续，准备全套转关退关、删单、返空资料，通关代表盖章寄出</t>
    </r>
    <r>
      <rPr>
        <sz val="11"/>
        <color rgb="FF000000"/>
        <rFont val="微软雅黑"/>
        <charset val="134"/>
      </rPr>
      <t xml:space="preserve">
</t>
    </r>
    <r>
      <rPr>
        <sz val="11"/>
        <color rgb="FF000000"/>
        <rFont val="微软雅黑"/>
        <charset val="134"/>
      </rPr>
      <t>3.10 转关退关手续已完成，待集装箱托运回南京后安排删单</t>
    </r>
    <r>
      <rPr>
        <sz val="11"/>
        <color rgb="FF000000"/>
        <rFont val="微软雅黑"/>
        <charset val="134"/>
      </rPr>
      <t xml:space="preserve">
</t>
    </r>
    <r>
      <rPr>
        <sz val="11"/>
        <color rgb="FF000000"/>
        <rFont val="微软雅黑"/>
        <charset val="134"/>
      </rPr>
      <t>3.23 集装箱已到南京龙潭港，提交删单，待海关操作</t>
    </r>
    <r>
      <rPr>
        <sz val="11"/>
        <color rgb="FF000000"/>
        <rFont val="微软雅黑"/>
        <charset val="134"/>
      </rPr>
      <t xml:space="preserve">
</t>
    </r>
    <r>
      <rPr>
        <sz val="11"/>
        <color rgb="FF000000"/>
        <rFont val="微软雅黑"/>
        <charset val="134"/>
      </rPr>
      <t>3.24 删单完成，代理预配已删。安排重出，重出已好</t>
    </r>
  </si>
  <si>
    <t>230820260086546593</t>
  </si>
  <si>
    <t>EGLV156600097920</t>
  </si>
  <si>
    <r>
      <t>3.5 准备退关资料</t>
    </r>
    <r>
      <rPr>
        <sz val="11"/>
        <color rgb="FF000000"/>
        <rFont val="微软雅黑"/>
        <charset val="134"/>
      </rPr>
      <t xml:space="preserve">
</t>
    </r>
    <r>
      <rPr>
        <sz val="11"/>
        <color rgb="FF000000"/>
        <rFont val="微软雅黑"/>
        <charset val="134"/>
      </rPr>
      <t>3.6 资料申请海关签字盖章，删单成功，准备重出空回资料，通关代表盖章寄出</t>
    </r>
    <r>
      <rPr>
        <sz val="11"/>
        <color rgb="FF000000"/>
        <rFont val="微软雅黑"/>
        <charset val="134"/>
      </rPr>
      <t xml:space="preserve">
</t>
    </r>
    <r>
      <rPr>
        <sz val="11"/>
        <color rgb="FF000000"/>
        <rFont val="微软雅黑"/>
        <charset val="134"/>
      </rPr>
      <t>3.9 重出已办</t>
    </r>
  </si>
  <si>
    <t>232720260276544568</t>
  </si>
  <si>
    <t>TLTCLCJA26041010</t>
  </si>
  <si>
    <t>3.5 查验</t>
  </si>
  <si>
    <r>
      <t>3.5</t>
    </r>
    <r>
      <rPr>
        <sz val="11"/>
        <color rgb="FF000000"/>
        <rFont val="微软雅黑"/>
        <charset val="134"/>
      </rPr>
      <t xml:space="preserve">  </t>
    </r>
    <r>
      <rPr>
        <sz val="11"/>
        <color rgb="FF000000"/>
        <rFont val="微软雅黑"/>
        <charset val="134"/>
      </rPr>
      <t>提交查验计划，追加机检查验</t>
    </r>
    <r>
      <rPr>
        <sz val="11"/>
        <color rgb="FF000000"/>
        <rFont val="微软雅黑"/>
        <charset val="134"/>
      </rPr>
      <t xml:space="preserve">
</t>
    </r>
    <r>
      <rPr>
        <sz val="11"/>
        <color rgb="FF000000"/>
        <rFont val="微软雅黑"/>
        <charset val="134"/>
      </rPr>
      <t>3.6 申请海关8点查验，查验完成 报关单已放行</t>
    </r>
  </si>
  <si>
    <r>
      <t>未申报</t>
    </r>
    <r>
      <rPr>
        <sz val="11"/>
        <color rgb="FF000000"/>
        <rFont val="微软雅黑"/>
        <charset val="134"/>
      </rPr>
      <t xml:space="preserve">   </t>
    </r>
  </si>
  <si>
    <t>177ZJAJAJ50232Z</t>
  </si>
  <si>
    <t>3.4 代理通知因中东战争原因需办理退关</t>
  </si>
  <si>
    <t>3.5 通关代表已安排处理</t>
  </si>
  <si>
    <t>330120260000009214</t>
  </si>
  <si>
    <t>COSU6445386530</t>
  </si>
  <si>
    <t>3.2 申报放行 3.4 通关代表通知因中东战争原因需办理退关</t>
  </si>
  <si>
    <r>
      <t>3.5 准备退关资料</t>
    </r>
    <r>
      <rPr>
        <sz val="11"/>
        <color rgb="FF000000"/>
        <rFont val="微软雅黑"/>
        <charset val="134"/>
      </rPr>
      <t xml:space="preserve">
</t>
    </r>
    <r>
      <rPr>
        <sz val="11"/>
        <color rgb="FF000000"/>
        <rFont val="微软雅黑"/>
        <charset val="134"/>
      </rPr>
      <t xml:space="preserve">3.6 代理提供在港证明，资料申请提交海关审批签字 </t>
    </r>
    <r>
      <rPr>
        <sz val="11"/>
        <color rgb="FF000000"/>
        <rFont val="微软雅黑"/>
        <charset val="134"/>
      </rPr>
      <t xml:space="preserve">
</t>
    </r>
    <r>
      <rPr>
        <sz val="11"/>
        <color rgb="FF000000"/>
        <rFont val="微软雅黑"/>
        <charset val="134"/>
      </rPr>
      <t xml:space="preserve">3.9 报关资料待美的盖章 </t>
    </r>
    <r>
      <rPr>
        <sz val="11"/>
        <color rgb="FF000000"/>
        <rFont val="微软雅黑"/>
        <charset val="134"/>
      </rPr>
      <t xml:space="preserve">
</t>
    </r>
    <r>
      <rPr>
        <sz val="11"/>
        <color rgb="FF000000"/>
        <rFont val="微软雅黑"/>
        <charset val="134"/>
      </rPr>
      <t>3.10 提交查验计划，查验已完成</t>
    </r>
    <r>
      <rPr>
        <sz val="11"/>
        <color rgb="FF000000"/>
        <rFont val="微软雅黑"/>
        <charset val="134"/>
      </rPr>
      <t xml:space="preserve">
</t>
    </r>
    <r>
      <rPr>
        <sz val="11"/>
        <color rgb="FF000000"/>
        <rFont val="微软雅黑"/>
        <charset val="134"/>
      </rPr>
      <t>3.11退关申请关长签字，发起删单，删单已完成</t>
    </r>
  </si>
  <si>
    <t>230520260056520147</t>
  </si>
  <si>
    <t>COSU6446054800</t>
  </si>
  <si>
    <r>
      <t>3.6</t>
    </r>
    <r>
      <rPr>
        <sz val="11"/>
        <color rgb="FF000000"/>
        <rFont val="微软雅黑"/>
        <charset val="134"/>
      </rPr>
      <t xml:space="preserve">  </t>
    </r>
    <r>
      <rPr>
        <sz val="11"/>
        <color rgb="FF000000"/>
        <rFont val="微软雅黑"/>
        <charset val="134"/>
      </rPr>
      <t>提交查验计划，查验完成，报关单已放行</t>
    </r>
  </si>
  <si>
    <t>230820260086549838</t>
  </si>
  <si>
    <t>TLNJJKJC26061011</t>
  </si>
  <si>
    <r>
      <t>3.5</t>
    </r>
    <r>
      <rPr>
        <sz val="11"/>
        <color rgb="FF000000"/>
        <rFont val="微软雅黑"/>
        <charset val="134"/>
      </rPr>
      <t xml:space="preserve">  </t>
    </r>
    <r>
      <rPr>
        <sz val="11"/>
        <color rgb="FF000000"/>
        <rFont val="微软雅黑"/>
        <charset val="134"/>
      </rPr>
      <t>提交查验计划，追加人工查验</t>
    </r>
    <r>
      <rPr>
        <sz val="11"/>
        <color rgb="FF000000"/>
        <rFont val="微软雅黑"/>
        <charset val="134"/>
      </rPr>
      <t xml:space="preserve">
</t>
    </r>
    <r>
      <rPr>
        <sz val="11"/>
        <color rgb="FF000000"/>
        <rFont val="微软雅黑"/>
        <charset val="134"/>
      </rPr>
      <t>3.6 查验完成，报关单已放行</t>
    </r>
  </si>
  <si>
    <t>230520260056519664</t>
  </si>
  <si>
    <t>COSU6445333010</t>
  </si>
  <si>
    <r>
      <t>3.5</t>
    </r>
    <r>
      <rPr>
        <sz val="11"/>
        <color rgb="FF000000"/>
        <rFont val="微软雅黑"/>
        <charset val="134"/>
      </rPr>
      <t xml:space="preserve">  </t>
    </r>
    <r>
      <rPr>
        <sz val="11"/>
        <color rgb="FF000000"/>
        <rFont val="微软雅黑"/>
        <charset val="134"/>
      </rPr>
      <t>提交查验计划，查验完成，报关单已放行</t>
    </r>
  </si>
  <si>
    <t>230520260056519651</t>
  </si>
  <si>
    <t>COSU6445274210</t>
  </si>
  <si>
    <t>3.5 申报审结，未放行，申请人工放行</t>
  </si>
  <si>
    <t>3.5 申请人工放行 海关操作成功，报关单已放行</t>
  </si>
  <si>
    <t>查验/删改单</t>
  </si>
  <si>
    <t>230520260056520275</t>
  </si>
  <si>
    <t>COSU6445332470</t>
  </si>
  <si>
    <t>3.6 查验 3.9 查验完成，报关单已放行。代理通知货物改配，需改单</t>
  </si>
  <si>
    <r>
      <t>3.6</t>
    </r>
    <r>
      <rPr>
        <sz val="11"/>
        <color rgb="FF000000"/>
        <rFont val="微软雅黑"/>
        <charset val="134"/>
      </rPr>
      <t xml:space="preserve">  </t>
    </r>
    <r>
      <rPr>
        <sz val="11"/>
        <color rgb="FF000000"/>
        <rFont val="微软雅黑"/>
        <charset val="134"/>
      </rPr>
      <t>提交查验计划，待海关操作</t>
    </r>
    <r>
      <rPr>
        <sz val="11"/>
        <color rgb="FF000000"/>
        <rFont val="微软雅黑"/>
        <charset val="134"/>
      </rPr>
      <t xml:space="preserve">
</t>
    </r>
    <r>
      <rPr>
        <sz val="11"/>
        <color rgb="FF000000"/>
        <rFont val="微软雅黑"/>
        <charset val="134"/>
      </rPr>
      <t>3.9 查验完成，报关单已放行。货物改配，改单已完成</t>
    </r>
  </si>
  <si>
    <t>330120260000009955</t>
  </si>
  <si>
    <t>COSU9506168350</t>
  </si>
  <si>
    <t>3.6 审结未放行，做人工放行</t>
  </si>
  <si>
    <t>3.6 申请人工审单 海关操作成功，报关单已放行</t>
  </si>
  <si>
    <t>330120260000009995</t>
  </si>
  <si>
    <t>COSU6445432730</t>
  </si>
  <si>
    <t>3.6 查验</t>
  </si>
  <si>
    <t>3.9 提交查验计划， 查验完成，报关单已放行。</t>
  </si>
  <si>
    <t>230820260086550602</t>
  </si>
  <si>
    <r>
      <t>3.5 申报放行，未码放，反查为代理航次提供错误，需改配。</t>
    </r>
    <r>
      <rPr>
        <sz val="11"/>
        <color rgb="FF000000"/>
        <rFont val="微软雅黑"/>
        <charset val="134"/>
      </rPr>
      <t xml:space="preserve">
</t>
    </r>
    <r>
      <rPr>
        <sz val="11"/>
        <color rgb="FF000000"/>
        <rFont val="微软雅黑"/>
        <charset val="134"/>
      </rPr>
      <t>3.9 接通关代表 通知因中东战争原因需办理删单、重出空回</t>
    </r>
  </si>
  <si>
    <t>代理/美的</t>
  </si>
  <si>
    <r>
      <t>3.6</t>
    </r>
    <r>
      <rPr>
        <sz val="11"/>
        <color rgb="FF000000"/>
        <rFont val="微软雅黑"/>
        <charset val="134"/>
      </rPr>
      <t xml:space="preserve">  </t>
    </r>
    <r>
      <rPr>
        <sz val="11"/>
        <color rgb="FF000000"/>
        <rFont val="微软雅黑"/>
        <charset val="134"/>
      </rPr>
      <t>申请更改船名航次，海关操作成功</t>
    </r>
    <r>
      <rPr>
        <sz val="11"/>
        <color rgb="FF000000"/>
        <rFont val="微软雅黑"/>
        <charset val="134"/>
      </rPr>
      <t xml:space="preserve">
</t>
    </r>
    <r>
      <rPr>
        <sz val="11"/>
        <color rgb="FF000000"/>
        <rFont val="微软雅黑"/>
        <charset val="134"/>
      </rPr>
      <t>3.10 准备删单资料，待美的盖章</t>
    </r>
    <r>
      <rPr>
        <sz val="11"/>
        <color rgb="FF000000"/>
        <rFont val="微软雅黑"/>
        <charset val="134"/>
      </rPr>
      <t xml:space="preserve">
</t>
    </r>
    <r>
      <rPr>
        <sz val="11"/>
        <color rgb="FF000000"/>
        <rFont val="微软雅黑"/>
        <charset val="134"/>
      </rPr>
      <t>3.11 美的盖章寄出，待退关申请海关签字后安排删单</t>
    </r>
    <r>
      <rPr>
        <sz val="11"/>
        <color rgb="FF000000"/>
        <rFont val="微软雅黑"/>
        <charset val="134"/>
      </rPr>
      <t xml:space="preserve">
</t>
    </r>
    <r>
      <rPr>
        <sz val="11"/>
        <color rgb="FF000000"/>
        <rFont val="微软雅黑"/>
        <charset val="134"/>
      </rPr>
      <t>3.12 删单已完成 代理删预配理货</t>
    </r>
    <r>
      <rPr>
        <sz val="11"/>
        <color rgb="FF000000"/>
        <rFont val="微软雅黑"/>
        <charset val="134"/>
      </rPr>
      <t xml:space="preserve">
</t>
    </r>
    <r>
      <rPr>
        <sz val="11"/>
        <color rgb="FF000000"/>
        <rFont val="微软雅黑"/>
        <charset val="134"/>
      </rPr>
      <t>3.13 重出已办理</t>
    </r>
  </si>
  <si>
    <t>230820260086551177</t>
  </si>
  <si>
    <t>COSU6445937300</t>
  </si>
  <si>
    <t>3.6 查验 3.9 查验完成，报关单已放行。代理通知货物改配，需改配</t>
  </si>
  <si>
    <r>
      <t>3.6</t>
    </r>
    <r>
      <rPr>
        <sz val="11"/>
        <color rgb="FF000000"/>
        <rFont val="微软雅黑"/>
        <charset val="134"/>
      </rPr>
      <t xml:space="preserve">  </t>
    </r>
    <r>
      <rPr>
        <sz val="11"/>
        <color rgb="FF000000"/>
        <rFont val="微软雅黑"/>
        <charset val="134"/>
      </rPr>
      <t>提交查验计划，待海关操作</t>
    </r>
    <r>
      <rPr>
        <sz val="11"/>
        <color rgb="FF000000"/>
        <rFont val="微软雅黑"/>
        <charset val="134"/>
      </rPr>
      <t xml:space="preserve">
</t>
    </r>
    <r>
      <rPr>
        <sz val="11"/>
        <color rgb="FF000000"/>
        <rFont val="微软雅黑"/>
        <charset val="134"/>
      </rPr>
      <t>3.9 查验完成，报关单已放行。提交改配申请，海关操作成功</t>
    </r>
  </si>
  <si>
    <t>230820260086547999</t>
  </si>
  <si>
    <t>COSU6444812800</t>
  </si>
  <si>
    <t>3.2 申报放行，3.6代理通知报关报关船名和关封船名不符，换船未同步</t>
  </si>
  <si>
    <r>
      <t>3.6</t>
    </r>
    <r>
      <rPr>
        <sz val="11"/>
        <color rgb="FF000000"/>
        <rFont val="微软雅黑"/>
        <charset val="134"/>
      </rPr>
      <t xml:space="preserve">  </t>
    </r>
    <r>
      <rPr>
        <sz val="11"/>
        <color rgb="FF000000"/>
        <rFont val="微软雅黑"/>
        <charset val="134"/>
      </rPr>
      <t>申请更改船名航次，海关操作成功</t>
    </r>
  </si>
  <si>
    <t>230820260086551709</t>
  </si>
  <si>
    <t>NOSNJ26LB46039</t>
  </si>
  <si>
    <t>3.5 申报审结，涉许可证，需人工审单 3.9 查验完成，报关单已放行。代理通知货物改配，需改配</t>
  </si>
  <si>
    <r>
      <t>3.6 申请人工审单 ，待海关操作</t>
    </r>
    <r>
      <rPr>
        <sz val="11"/>
        <color rgb="FF000000"/>
        <rFont val="微软雅黑"/>
        <charset val="134"/>
      </rPr>
      <t xml:space="preserve">
</t>
    </r>
    <r>
      <rPr>
        <sz val="11"/>
        <color rgb="FF000000"/>
        <rFont val="微软雅黑"/>
        <charset val="134"/>
      </rPr>
      <t>3.9 海关操作完成，报关单已放行。提交改配申请，海关操作成功</t>
    </r>
  </si>
  <si>
    <t>230820260086551480</t>
  </si>
  <si>
    <t>177FJAJAJ09890Z</t>
  </si>
  <si>
    <r>
      <t>3.6</t>
    </r>
    <r>
      <rPr>
        <sz val="11"/>
        <color rgb="FF000000"/>
        <rFont val="微软雅黑"/>
        <charset val="134"/>
      </rPr>
      <t xml:space="preserve">  </t>
    </r>
    <r>
      <rPr>
        <sz val="11"/>
        <color rgb="FF000000"/>
        <rFont val="微软雅黑"/>
        <charset val="134"/>
      </rPr>
      <t>提交查验计划，待海关操作</t>
    </r>
    <r>
      <rPr>
        <sz val="11"/>
        <color rgb="FF000000"/>
        <rFont val="微软雅黑"/>
        <charset val="134"/>
      </rPr>
      <t xml:space="preserve">
</t>
    </r>
    <r>
      <rPr>
        <sz val="11"/>
        <color rgb="FF000000"/>
        <rFont val="微软雅黑"/>
        <charset val="134"/>
      </rPr>
      <t>3.9 查验完成，报关单已放行</t>
    </r>
  </si>
  <si>
    <t>222920260000846273</t>
  </si>
  <si>
    <t>JJCSHJKA607456</t>
  </si>
  <si>
    <t>3.5 申报审结，3.6 反查报关单未海放原因：车队舱单、运抵、资料箱号均发错，无法正常运抵放行，需删单重报</t>
  </si>
  <si>
    <r>
      <t>3.8 待车队提供未上船证明和在港证明，</t>
    </r>
    <r>
      <rPr>
        <sz val="11"/>
        <color rgb="FF000000"/>
        <rFont val="微软雅黑"/>
        <charset val="134"/>
      </rPr>
      <t xml:space="preserve">
</t>
    </r>
    <r>
      <rPr>
        <sz val="11"/>
        <color rgb="FF000000"/>
        <rFont val="微软雅黑"/>
        <charset val="134"/>
      </rPr>
      <t>3.9 发起删单，待海关受理</t>
    </r>
    <r>
      <rPr>
        <sz val="11"/>
        <color rgb="FF000000"/>
        <rFont val="微软雅黑"/>
        <charset val="134"/>
      </rPr>
      <t xml:space="preserve">
</t>
    </r>
    <r>
      <rPr>
        <sz val="11"/>
        <color rgb="FF000000"/>
        <rFont val="微软雅黑"/>
        <charset val="134"/>
      </rPr>
      <t>3.10 海关驳回删单，要求提交情况说明申请查验，待查验完成后再申请删单</t>
    </r>
    <r>
      <rPr>
        <sz val="11"/>
        <color rgb="FF000000"/>
        <rFont val="微软雅黑"/>
        <charset val="134"/>
      </rPr>
      <t xml:space="preserve">
</t>
    </r>
    <r>
      <rPr>
        <sz val="11"/>
        <color rgb="FF000000"/>
        <rFont val="微软雅黑"/>
        <charset val="134"/>
      </rPr>
      <t>3.11申请查验，待海关审批</t>
    </r>
    <r>
      <rPr>
        <sz val="11"/>
        <color rgb="FF000000"/>
        <rFont val="微软雅黑"/>
        <charset val="134"/>
      </rPr>
      <t xml:space="preserve">
</t>
    </r>
    <r>
      <rPr>
        <sz val="11"/>
        <color rgb="FF000000"/>
        <rFont val="微软雅黑"/>
        <charset val="134"/>
      </rPr>
      <t>3.12航交办海关现场回复，港区信息与舱单信息不一致，查验布控指令无法下达</t>
    </r>
    <r>
      <rPr>
        <sz val="11"/>
        <color rgb="FF000000"/>
        <rFont val="微软雅黑"/>
        <charset val="134"/>
      </rPr>
      <t xml:space="preserve">
</t>
    </r>
    <r>
      <rPr>
        <sz val="11"/>
        <color rgb="FF000000"/>
        <rFont val="微软雅黑"/>
        <charset val="134"/>
      </rPr>
      <t>3.13联系航交办海关处理，布控查验已触发</t>
    </r>
    <r>
      <rPr>
        <sz val="11"/>
        <color rgb="FF000000"/>
        <rFont val="微软雅黑"/>
        <charset val="134"/>
      </rPr>
      <t xml:space="preserve">
</t>
    </r>
    <r>
      <rPr>
        <sz val="11"/>
        <color rgb="FF000000"/>
        <rFont val="微软雅黑"/>
        <charset val="134"/>
      </rPr>
      <t>3.16 查验指令中一个正确箱号一个错误箱号， 无法申请查验计划，现场外港海关协助处理，已排计划，等待码头调箱</t>
    </r>
    <r>
      <rPr>
        <sz val="11"/>
        <color rgb="FF000000"/>
        <rFont val="微软雅黑"/>
        <charset val="134"/>
      </rPr>
      <t xml:space="preserve">
</t>
    </r>
    <r>
      <rPr>
        <sz val="11"/>
        <color rgb="FF000000"/>
        <rFont val="微软雅黑"/>
        <charset val="134"/>
      </rPr>
      <t>3.17 查验完成，删单正本资料寄出</t>
    </r>
    <r>
      <rPr>
        <sz val="11"/>
        <color rgb="FF000000"/>
        <rFont val="微软雅黑"/>
        <charset val="134"/>
      </rPr>
      <t xml:space="preserve">
</t>
    </r>
    <r>
      <rPr>
        <sz val="11"/>
        <color rgb="FF000000"/>
        <rFont val="微软雅黑"/>
        <charset val="134"/>
      </rPr>
      <t>3.18删单成功</t>
    </r>
  </si>
  <si>
    <t>飞远</t>
  </si>
  <si>
    <t>222920260000879669</t>
  </si>
  <si>
    <t>SHACB2600741801</t>
  </si>
  <si>
    <t>3.8 查验</t>
  </si>
  <si>
    <t>3.9 提交查验计划，查验完成，报关单已放行</t>
  </si>
  <si>
    <t>223320260000390675</t>
  </si>
  <si>
    <r>
      <t>未申报</t>
    </r>
    <r>
      <rPr>
        <sz val="11"/>
        <color rgb="FF000000"/>
        <rFont val="微软雅黑"/>
        <charset val="134"/>
      </rPr>
      <t xml:space="preserve">    </t>
    </r>
  </si>
  <si>
    <t>EGLV145699204337</t>
  </si>
  <si>
    <t>3.9 接通关代表 通知因中东战争原因需办理 倒箱换货</t>
  </si>
  <si>
    <r>
      <t>3.10 准备倒箱资料，美的盖章寄出</t>
    </r>
    <r>
      <rPr>
        <sz val="11"/>
        <color rgb="FF000000"/>
        <rFont val="微软雅黑"/>
        <charset val="134"/>
      </rPr>
      <t xml:space="preserve">
</t>
    </r>
    <r>
      <rPr>
        <sz val="11"/>
        <color rgb="FF000000"/>
        <rFont val="微软雅黑"/>
        <charset val="134"/>
      </rPr>
      <t>3.11 倒箱手续已完成</t>
    </r>
  </si>
  <si>
    <t>230520260056520996</t>
  </si>
  <si>
    <t>EGLV145699806663</t>
  </si>
  <si>
    <t>3.9 查验</t>
  </si>
  <si>
    <t>3.9 申请人工放行 海关操作成功，报关单已放行</t>
  </si>
  <si>
    <t>230820260086541305</t>
  </si>
  <si>
    <t>EGLV145699302720</t>
  </si>
  <si>
    <t>3.9 接通关代表 通知因中东战争原因需办理 重出空回</t>
  </si>
  <si>
    <r>
      <t>3.10 准备删单资料</t>
    </r>
    <r>
      <rPr>
        <sz val="11"/>
        <color rgb="FF000000"/>
        <rFont val="微软雅黑"/>
        <charset val="134"/>
      </rPr>
      <t xml:space="preserve">
</t>
    </r>
    <r>
      <rPr>
        <sz val="11"/>
        <color rgb="FF000000"/>
        <rFont val="微软雅黑"/>
        <charset val="134"/>
      </rPr>
      <t>3.11 美的盖章寄出</t>
    </r>
    <r>
      <rPr>
        <sz val="11"/>
        <color rgb="FF000000"/>
        <rFont val="微软雅黑"/>
        <charset val="134"/>
      </rPr>
      <t xml:space="preserve">
</t>
    </r>
    <r>
      <rPr>
        <sz val="11"/>
        <color rgb="FF000000"/>
        <rFont val="微软雅黑"/>
        <charset val="134"/>
      </rPr>
      <t>3.12 转关退关手续已完成，待集装箱托运回南京后安排删单</t>
    </r>
    <r>
      <rPr>
        <sz val="11"/>
        <color rgb="FF000000"/>
        <rFont val="微软雅黑"/>
        <charset val="134"/>
      </rPr>
      <t xml:space="preserve">
</t>
    </r>
    <r>
      <rPr>
        <sz val="11"/>
        <color rgb="FF000000"/>
        <rFont val="微软雅黑"/>
        <charset val="134"/>
      </rPr>
      <t>3.23 确认集装箱落箱地点，准备删单资料</t>
    </r>
    <r>
      <rPr>
        <sz val="11"/>
        <color rgb="FF000000"/>
        <rFont val="微软雅黑"/>
        <charset val="134"/>
      </rPr>
      <t xml:space="preserve">
</t>
    </r>
    <r>
      <rPr>
        <sz val="11"/>
        <color rgb="FF000000"/>
        <rFont val="微软雅黑"/>
        <charset val="134"/>
      </rPr>
      <t>3.24 资料篇幅过大，海关要求重新提供。已更新资料待海关审批</t>
    </r>
    <r>
      <rPr>
        <sz val="11"/>
        <color rgb="FF000000"/>
        <rFont val="微软雅黑"/>
        <charset val="134"/>
      </rPr>
      <t xml:space="preserve">
</t>
    </r>
    <r>
      <rPr>
        <sz val="11"/>
        <color rgb="FF000000"/>
        <rFont val="微软雅黑"/>
        <charset val="134"/>
      </rPr>
      <t>3.25 重新提供资料，海关审批盖章，提交删单，海关操作成功。删单已完成。</t>
    </r>
    <r>
      <rPr>
        <sz val="11"/>
        <color rgb="FF000000"/>
        <rFont val="微软雅黑"/>
        <charset val="134"/>
      </rPr>
      <t xml:space="preserve">
</t>
    </r>
    <r>
      <rPr>
        <sz val="11"/>
        <color rgb="FF000000"/>
        <rFont val="微软雅黑"/>
        <charset val="134"/>
      </rPr>
      <t>3.26 美的确认后续操作，办理码头倒箱。倒箱已办理</t>
    </r>
  </si>
  <si>
    <t>230820260086546990</t>
  </si>
  <si>
    <t>OOLU2321578720</t>
  </si>
  <si>
    <r>
      <t>3.10 业务确认退场仓库</t>
    </r>
    <r>
      <rPr>
        <sz val="11"/>
        <color rgb="FF000000"/>
        <rFont val="微软雅黑"/>
        <charset val="134"/>
      </rPr>
      <t xml:space="preserve">
</t>
    </r>
    <r>
      <rPr>
        <sz val="11"/>
        <color rgb="FF000000"/>
        <rFont val="微软雅黑"/>
        <charset val="134"/>
      </rPr>
      <t>3.11 准备删单资料 美的盖章寄出</t>
    </r>
    <r>
      <rPr>
        <sz val="11"/>
        <color rgb="FF000000"/>
        <rFont val="微软雅黑"/>
        <charset val="134"/>
      </rPr>
      <t xml:space="preserve">
</t>
    </r>
    <r>
      <rPr>
        <sz val="11"/>
        <color rgb="FF000000"/>
        <rFont val="微软雅黑"/>
        <charset val="134"/>
      </rPr>
      <t>3.12 删单已完成 代理删预配理货</t>
    </r>
    <r>
      <rPr>
        <sz val="11"/>
        <color rgb="FF000000"/>
        <rFont val="微软雅黑"/>
        <charset val="134"/>
      </rPr>
      <t xml:space="preserve">
</t>
    </r>
    <r>
      <rPr>
        <sz val="11"/>
        <color rgb="FF000000"/>
        <rFont val="微软雅黑"/>
        <charset val="134"/>
      </rPr>
      <t>3.13 重出已办理</t>
    </r>
  </si>
  <si>
    <t>230520260056521071</t>
  </si>
  <si>
    <t>CAJ0160328A</t>
  </si>
  <si>
    <t>3.9 申报审结，涉及电机 需要人工审单</t>
  </si>
  <si>
    <t>230520260056520947</t>
  </si>
  <si>
    <t>230520260056521123</t>
  </si>
  <si>
    <t>CAJ0160327</t>
  </si>
  <si>
    <r>
      <t>3.9 申请查验计划</t>
    </r>
    <r>
      <rPr>
        <sz val="11"/>
        <color rgb="FF000000"/>
        <rFont val="微软雅黑"/>
        <charset val="134"/>
      </rPr>
      <t xml:space="preserve">
</t>
    </r>
    <r>
      <rPr>
        <sz val="11"/>
        <color rgb="FF000000"/>
        <rFont val="微软雅黑"/>
        <charset val="134"/>
      </rPr>
      <t>3.10 查验完成，报关单已放行</t>
    </r>
  </si>
  <si>
    <t>230520260056521125</t>
  </si>
  <si>
    <t>CAJ0160327A</t>
  </si>
  <si>
    <t>230520260056521150</t>
  </si>
  <si>
    <t>CAJ0160323A</t>
  </si>
  <si>
    <t>230520260056521165</t>
  </si>
  <si>
    <t>CAJ0160325A</t>
  </si>
  <si>
    <t>230520260056520293</t>
  </si>
  <si>
    <t>3.9 运抵核碰正常未放行，反查原因：代理出运表错误，船名内空格字符有误</t>
  </si>
  <si>
    <t>3.10 改单费用确认，准备资料。发起改单，海关操作成功，申请人工放行，报关单已放行</t>
  </si>
  <si>
    <t>230520260056521326</t>
  </si>
  <si>
    <t>177MJCJCJ229104T</t>
  </si>
  <si>
    <t>230820260086553679</t>
  </si>
  <si>
    <t>TLNJNGJB26061008</t>
  </si>
  <si>
    <t>330120260000010152</t>
  </si>
  <si>
    <t>KMTCWHI0022107</t>
  </si>
  <si>
    <t>3.9 审结未放行，做人工放行</t>
  </si>
  <si>
    <r>
      <t>3.9 申请人工放行</t>
    </r>
    <r>
      <rPr>
        <sz val="11"/>
        <color rgb="FF000000"/>
        <rFont val="微软雅黑"/>
        <charset val="134"/>
      </rPr>
      <t xml:space="preserve">
</t>
    </r>
    <r>
      <rPr>
        <sz val="11"/>
        <color rgb="FF000000"/>
        <rFont val="微软雅黑"/>
        <charset val="134"/>
      </rPr>
      <t>3.10 海关操作完成，报关单已放行</t>
    </r>
  </si>
  <si>
    <t>230820260086545276</t>
  </si>
  <si>
    <t>ESKT00399</t>
  </si>
  <si>
    <t>2.26申报放行 3.10 美的通知因中东战争原因 需办理退关</t>
  </si>
  <si>
    <r>
      <t>3.10 准备全套转关退关、删单、返空资料，通关代表盖章寄出</t>
    </r>
    <r>
      <rPr>
        <sz val="11"/>
        <color rgb="FF000000"/>
        <rFont val="微软雅黑"/>
        <charset val="134"/>
      </rPr>
      <t xml:space="preserve">
</t>
    </r>
    <r>
      <rPr>
        <sz val="11"/>
        <color rgb="FF000000"/>
        <rFont val="微软雅黑"/>
        <charset val="134"/>
      </rPr>
      <t>3.11 转关退关手续已完成，待集装箱托运回南京后安排删单</t>
    </r>
    <r>
      <rPr>
        <sz val="11"/>
        <color rgb="FF000000"/>
        <rFont val="微软雅黑"/>
        <charset val="134"/>
      </rPr>
      <t xml:space="preserve">
</t>
    </r>
    <r>
      <rPr>
        <sz val="11"/>
        <color rgb="FF000000"/>
        <rFont val="微软雅黑"/>
        <charset val="134"/>
      </rPr>
      <t>3.12 接代理通知 此票取消退运</t>
    </r>
  </si>
  <si>
    <t>230520260056518593</t>
  </si>
  <si>
    <t>177ZJAJAJ20193Z</t>
  </si>
  <si>
    <t>3.2 申报放行 3.10 美的通知因中东战争原因 需删单</t>
  </si>
  <si>
    <t>3.10 准备删单资料，代理提供在港证明，发起删单，海关操作成功</t>
  </si>
  <si>
    <t>230520260056518958</t>
  </si>
  <si>
    <t>HLCUNK2250933782</t>
  </si>
  <si>
    <t>3.3 申报放行 3.10 美的通知因中东战争原因 需删单</t>
  </si>
  <si>
    <r>
      <t>3.10 准备删单资料，代理提供在港证明，发起删单，待海关操作</t>
    </r>
    <r>
      <rPr>
        <sz val="11"/>
        <color rgb="FF000000"/>
        <rFont val="微软雅黑"/>
        <charset val="134"/>
      </rPr>
      <t xml:space="preserve">
</t>
    </r>
    <r>
      <rPr>
        <sz val="11"/>
        <color rgb="FF000000"/>
        <rFont val="微软雅黑"/>
        <charset val="134"/>
      </rPr>
      <t>3.11 海关操作成功 删单完成</t>
    </r>
  </si>
  <si>
    <t>230520260056518633</t>
  </si>
  <si>
    <t>177ZJAJAJ20194Z</t>
  </si>
  <si>
    <t>230520260056518628</t>
  </si>
  <si>
    <t>YMJAZ241087923</t>
  </si>
  <si>
    <t>330120260000010184</t>
  </si>
  <si>
    <t>3.10 查验</t>
  </si>
  <si>
    <t>3.10 提交查验计划，查验完成，报关单已放行</t>
  </si>
  <si>
    <t>230820260086547250</t>
  </si>
  <si>
    <t>177FJWJWJ050705S</t>
  </si>
  <si>
    <t>3.2 申报放行 3.10 代理通知改配</t>
  </si>
  <si>
    <t>3.10 提交改配申请，海关操作成功</t>
  </si>
  <si>
    <t>230820260086547260</t>
  </si>
  <si>
    <t>177FJWJWJ050709S</t>
  </si>
  <si>
    <t>230520260056521357</t>
  </si>
  <si>
    <t>CAJ0160326A</t>
  </si>
  <si>
    <t>3.10 申请人工放行 海关操作成功，报关单已放行</t>
  </si>
  <si>
    <t>230520260056521441</t>
  </si>
  <si>
    <t>COSU6445762080</t>
  </si>
  <si>
    <t>230820260086550996</t>
  </si>
  <si>
    <t>HLCUNK2251109242</t>
  </si>
  <si>
    <t>3.6 申报放行 3.10代理通知改配</t>
  </si>
  <si>
    <r>
      <t>3.10 待代理确认改配费用</t>
    </r>
    <r>
      <rPr>
        <sz val="11"/>
        <color rgb="FF000000"/>
        <rFont val="微软雅黑"/>
        <charset val="134"/>
      </rPr>
      <t xml:space="preserve">
</t>
    </r>
    <r>
      <rPr>
        <sz val="11"/>
        <color rgb="FF000000"/>
        <rFont val="微软雅黑"/>
        <charset val="134"/>
      </rPr>
      <t>3.11 申请更改船名航次，海关操作成功</t>
    </r>
  </si>
  <si>
    <t>223120260000840109</t>
  </si>
  <si>
    <r>
      <t>3.10 待代理提供未上船证明，远海通开具在港证明</t>
    </r>
    <r>
      <rPr>
        <sz val="11"/>
        <color rgb="FF000000"/>
        <rFont val="微软雅黑"/>
        <charset val="134"/>
      </rPr>
      <t xml:space="preserve">
</t>
    </r>
    <r>
      <rPr>
        <sz val="11"/>
        <color rgb="FF000000"/>
        <rFont val="微软雅黑"/>
        <charset val="134"/>
      </rPr>
      <t>3.11 删单已完成，等待舱单删除后办理提离</t>
    </r>
    <r>
      <rPr>
        <sz val="11"/>
        <color rgb="FF000000"/>
        <rFont val="微软雅黑"/>
        <charset val="134"/>
      </rPr>
      <t xml:space="preserve">
</t>
    </r>
    <r>
      <rPr>
        <sz val="11"/>
        <color rgb="FF000000"/>
        <rFont val="微软雅黑"/>
        <charset val="134"/>
      </rPr>
      <t>3.13 提离均完成</t>
    </r>
  </si>
  <si>
    <t>230520260056521856</t>
  </si>
  <si>
    <t>177SJWJWJ2006888AS</t>
  </si>
  <si>
    <t>3.11 申报审结，涉及电机 需要人工审单</t>
  </si>
  <si>
    <t>3.11 申请人工放行 海关操作成功，报关单已放行</t>
  </si>
  <si>
    <t>232720260276548479</t>
  </si>
  <si>
    <t>TLTCOSJA26061004</t>
  </si>
  <si>
    <t>3.11 运抵正常未放行，人工放行</t>
  </si>
  <si>
    <r>
      <t>3.11 申请人工放行 待海关操作</t>
    </r>
    <r>
      <rPr>
        <sz val="11"/>
        <color rgb="FF000000"/>
        <rFont val="微软雅黑"/>
        <charset val="134"/>
      </rPr>
      <t xml:space="preserve">
</t>
    </r>
    <r>
      <rPr>
        <sz val="11"/>
        <color rgb="FF000000"/>
        <rFont val="微软雅黑"/>
        <charset val="134"/>
      </rPr>
      <t>3.12 海关操作成功 报关单已放行</t>
    </r>
    <r>
      <rPr>
        <sz val="11"/>
        <color rgb="FF000000"/>
        <rFont val="微软雅黑"/>
        <charset val="134"/>
      </rPr>
      <t xml:space="preserve"> </t>
    </r>
  </si>
  <si>
    <t>230520260056522406</t>
  </si>
  <si>
    <t>177TJWJWJ2006861AS</t>
  </si>
  <si>
    <t>3.12 申报审结，涉及电机 需要人工审单</t>
  </si>
  <si>
    <t>3.12 申请人工放行 海关操作成功，报关单已放行</t>
  </si>
  <si>
    <t>230520260056522502</t>
  </si>
  <si>
    <t>264478888B</t>
  </si>
  <si>
    <t>330120260000010805</t>
  </si>
  <si>
    <t>JNG0305673</t>
  </si>
  <si>
    <r>
      <t>3.12</t>
    </r>
    <r>
      <rPr>
        <sz val="11"/>
        <color rgb="FF000000"/>
        <rFont val="微软雅黑"/>
        <charset val="134"/>
      </rPr>
      <t xml:space="preserve">  </t>
    </r>
    <r>
      <rPr>
        <sz val="11"/>
        <color rgb="FF000000"/>
        <rFont val="微软雅黑"/>
        <charset val="134"/>
      </rPr>
      <t>查验</t>
    </r>
  </si>
  <si>
    <r>
      <t>3.12</t>
    </r>
    <r>
      <rPr>
        <sz val="11"/>
        <color rgb="FF000000"/>
        <rFont val="微软雅黑"/>
        <charset val="134"/>
      </rPr>
      <t xml:space="preserve">  </t>
    </r>
    <r>
      <rPr>
        <sz val="11"/>
        <color rgb="FF000000"/>
        <rFont val="微软雅黑"/>
        <charset val="134"/>
      </rPr>
      <t>提交查验计划，查验完成，报关单已放行</t>
    </r>
  </si>
  <si>
    <t>230820260086555837</t>
  </si>
  <si>
    <t>JNG0304996</t>
  </si>
  <si>
    <t>230820260086545821</t>
  </si>
  <si>
    <t>OOLU2321866480</t>
  </si>
  <si>
    <r>
      <t>2.27 申报放行</t>
    </r>
    <r>
      <rPr>
        <sz val="11"/>
        <color rgb="FF000000"/>
        <rFont val="微软雅黑"/>
        <charset val="134"/>
      </rPr>
      <t xml:space="preserve">  </t>
    </r>
    <r>
      <rPr>
        <sz val="11"/>
        <color rgb="FF000000"/>
        <rFont val="微软雅黑"/>
        <charset val="134"/>
      </rPr>
      <t>3.13美的通知因中东战争原因 需删单</t>
    </r>
  </si>
  <si>
    <r>
      <t>3.13 准备删单资料</t>
    </r>
    <r>
      <rPr>
        <sz val="11"/>
        <color rgb="FF000000"/>
        <rFont val="微软雅黑"/>
        <charset val="134"/>
      </rPr>
      <t xml:space="preserve">
</t>
    </r>
    <r>
      <rPr>
        <sz val="11"/>
        <color rgb="FF000000"/>
        <rFont val="微软雅黑"/>
        <charset val="134"/>
      </rPr>
      <t xml:space="preserve">3.16 美的盖章寄出 </t>
    </r>
    <r>
      <rPr>
        <sz val="11"/>
        <color rgb="FF000000"/>
        <rFont val="微软雅黑"/>
        <charset val="134"/>
      </rPr>
      <t xml:space="preserve">
</t>
    </r>
    <r>
      <rPr>
        <sz val="11"/>
        <color rgb="FF000000"/>
        <rFont val="微软雅黑"/>
        <charset val="134"/>
      </rPr>
      <t>3.17 退运申请单待海关审批</t>
    </r>
    <r>
      <rPr>
        <sz val="11"/>
        <color rgb="FF000000"/>
        <rFont val="微软雅黑"/>
        <charset val="134"/>
      </rPr>
      <t xml:space="preserve">
</t>
    </r>
    <r>
      <rPr>
        <sz val="11"/>
        <color rgb="FF000000"/>
        <rFont val="微软雅黑"/>
        <charset val="134"/>
      </rPr>
      <t>3.18 转关退关手续已完成，待集装箱托运回南京后安排删单</t>
    </r>
    <r>
      <rPr>
        <sz val="11"/>
        <color rgb="FF000000"/>
        <rFont val="微软雅黑"/>
        <charset val="134"/>
      </rPr>
      <t xml:space="preserve">
</t>
    </r>
    <r>
      <rPr>
        <sz val="11"/>
        <color rgb="FF000000"/>
        <rFont val="微软雅黑"/>
        <charset val="134"/>
      </rPr>
      <t>4.8 准备删单资料 删单成功</t>
    </r>
    <r>
      <rPr>
        <sz val="11"/>
        <color rgb="FF000000"/>
        <rFont val="微软雅黑"/>
        <charset val="134"/>
      </rPr>
      <t xml:space="preserve">
</t>
    </r>
    <r>
      <rPr>
        <sz val="11"/>
        <color rgb="FF000000"/>
        <rFont val="微软雅黑"/>
        <charset val="134"/>
      </rPr>
      <t>4.9 重出单已好</t>
    </r>
  </si>
  <si>
    <t>230820260086546701</t>
  </si>
  <si>
    <t>177ZJAJAJ02199Z</t>
  </si>
  <si>
    <r>
      <t>2.28 申报放行</t>
    </r>
    <r>
      <rPr>
        <sz val="11"/>
        <color rgb="FF000000"/>
        <rFont val="微软雅黑"/>
        <charset val="134"/>
      </rPr>
      <t xml:space="preserve">  </t>
    </r>
    <r>
      <rPr>
        <sz val="11"/>
        <color rgb="FF000000"/>
        <rFont val="微软雅黑"/>
        <charset val="134"/>
      </rPr>
      <t>3.13美的通知因中东战争原因 需删单</t>
    </r>
  </si>
  <si>
    <r>
      <t>3.13 准备删单资料</t>
    </r>
    <r>
      <rPr>
        <sz val="11"/>
        <color rgb="FF000000"/>
        <rFont val="微软雅黑"/>
        <charset val="134"/>
      </rPr>
      <t xml:space="preserve">
</t>
    </r>
    <r>
      <rPr>
        <sz val="11"/>
        <color rgb="FF000000"/>
        <rFont val="微软雅黑"/>
        <charset val="134"/>
      </rPr>
      <t xml:space="preserve">3.16 美的盖章寄出 </t>
    </r>
    <r>
      <rPr>
        <sz val="11"/>
        <color rgb="FF000000"/>
        <rFont val="微软雅黑"/>
        <charset val="134"/>
      </rPr>
      <t xml:space="preserve">
</t>
    </r>
    <r>
      <rPr>
        <sz val="11"/>
        <color rgb="FF000000"/>
        <rFont val="微软雅黑"/>
        <charset val="134"/>
      </rPr>
      <t>3.17 退运申请单待海关审批</t>
    </r>
    <r>
      <rPr>
        <sz val="11"/>
        <color rgb="FF000000"/>
        <rFont val="微软雅黑"/>
        <charset val="134"/>
      </rPr>
      <t xml:space="preserve">
</t>
    </r>
    <r>
      <rPr>
        <sz val="11"/>
        <color rgb="FF000000"/>
        <rFont val="微软雅黑"/>
        <charset val="134"/>
      </rPr>
      <t>3.18 转关退关手续已完成，待集装箱托运回南京后安排删单</t>
    </r>
    <r>
      <rPr>
        <sz val="11"/>
        <color rgb="FF000000"/>
        <rFont val="微软雅黑"/>
        <charset val="134"/>
      </rPr>
      <t xml:space="preserve">
</t>
    </r>
    <r>
      <rPr>
        <sz val="11"/>
        <color rgb="FF000000"/>
        <rFont val="微软雅黑"/>
        <charset val="134"/>
      </rPr>
      <t>3.24 因船公司系统原因需重新出具情况说明，已提供 待美的盖章寄出</t>
    </r>
    <r>
      <rPr>
        <sz val="11"/>
        <color rgb="FF000000"/>
        <rFont val="微软雅黑"/>
        <charset val="134"/>
      </rPr>
      <t xml:space="preserve">
</t>
    </r>
    <r>
      <rPr>
        <sz val="11"/>
        <color rgb="FF000000"/>
        <rFont val="微软雅黑"/>
        <charset val="134"/>
      </rPr>
      <t>3.25 和代理核实相关手续 咨询海关流程及所需材料</t>
    </r>
    <r>
      <rPr>
        <sz val="11"/>
        <color rgb="FF000000"/>
        <rFont val="微软雅黑"/>
        <charset val="134"/>
      </rPr>
      <t xml:space="preserve">  </t>
    </r>
    <r>
      <rPr>
        <sz val="11"/>
        <color rgb="FF000000"/>
        <rFont val="微软雅黑"/>
        <charset val="134"/>
      </rPr>
      <t xml:space="preserve">
</t>
    </r>
    <r>
      <rPr>
        <sz val="11"/>
        <color rgb="FF000000"/>
        <rFont val="微软雅黑"/>
        <charset val="134"/>
      </rPr>
      <t>3.26 重新整理相关资料 美的盖章寄出</t>
    </r>
    <r>
      <rPr>
        <sz val="11"/>
        <color rgb="FF000000"/>
        <rFont val="微软雅黑"/>
        <charset val="134"/>
      </rPr>
      <t xml:space="preserve">
</t>
    </r>
    <r>
      <rPr>
        <sz val="11"/>
        <color rgb="FF000000"/>
        <rFont val="微软雅黑"/>
        <charset val="134"/>
      </rPr>
      <t xml:space="preserve">3.30 准备删单资料，删单、提离资料 待海关审批签字 </t>
    </r>
    <r>
      <rPr>
        <sz val="11"/>
        <color rgb="FF000000"/>
        <rFont val="微软雅黑"/>
        <charset val="134"/>
      </rPr>
      <t xml:space="preserve">
</t>
    </r>
    <r>
      <rPr>
        <sz val="11"/>
        <color rgb="FF000000"/>
        <rFont val="微软雅黑"/>
        <charset val="134"/>
      </rPr>
      <t>3.31 情况说明不符合实况 海关要求重新提供，已重出 美的盖章寄出</t>
    </r>
    <r>
      <rPr>
        <sz val="11"/>
        <color rgb="FF000000"/>
        <rFont val="微软雅黑"/>
        <charset val="134"/>
      </rPr>
      <t xml:space="preserve">
</t>
    </r>
    <r>
      <rPr>
        <sz val="11"/>
        <color rgb="FF000000"/>
        <rFont val="微软雅黑"/>
        <charset val="134"/>
      </rPr>
      <t>4.2 删单成功，提离申请美的重新盖章寄出</t>
    </r>
    <r>
      <rPr>
        <sz val="11"/>
        <color rgb="FF000000"/>
        <rFont val="微软雅黑"/>
        <charset val="134"/>
      </rPr>
      <t xml:space="preserve">
</t>
    </r>
    <r>
      <rPr>
        <sz val="11"/>
        <color rgb="FF000000"/>
        <rFont val="微软雅黑"/>
        <charset val="134"/>
      </rPr>
      <t>4.3 提离已好</t>
    </r>
  </si>
  <si>
    <t>230820260086546700</t>
  </si>
  <si>
    <t>177ZJAJAJ02199AZ</t>
  </si>
  <si>
    <t>230520260056522806</t>
  </si>
  <si>
    <t>CAJ0160496</t>
  </si>
  <si>
    <t>3.13 申报审结，涉及许可证 需要人工审单</t>
  </si>
  <si>
    <t>3.13 申请人工放行 海关操作成功，报关单已放行</t>
  </si>
  <si>
    <t>230520260056522803</t>
  </si>
  <si>
    <t>CAJ0160496B</t>
  </si>
  <si>
    <t>230520260056522805</t>
  </si>
  <si>
    <t>CAJ0160496A</t>
  </si>
  <si>
    <t>230520260056522802</t>
  </si>
  <si>
    <t>CAJ0160496C</t>
  </si>
  <si>
    <t>230520260056522818</t>
  </si>
  <si>
    <t>177TJWJWJ2006916AS</t>
  </si>
  <si>
    <t>3.13 申报审结，涉及电机 需要人工审单</t>
  </si>
  <si>
    <t>230520260056523012</t>
  </si>
  <si>
    <t>COSU644699591001</t>
  </si>
  <si>
    <t>230820260086557292</t>
  </si>
  <si>
    <t>EGLV145699808585</t>
  </si>
  <si>
    <r>
      <t>3.13</t>
    </r>
    <r>
      <rPr>
        <sz val="11"/>
        <color rgb="FF000000"/>
        <rFont val="微软雅黑"/>
        <charset val="134"/>
      </rPr>
      <t xml:space="preserve">  </t>
    </r>
    <r>
      <rPr>
        <sz val="11"/>
        <color rgb="FF000000"/>
        <rFont val="微软雅黑"/>
        <charset val="134"/>
      </rPr>
      <t>查验</t>
    </r>
  </si>
  <si>
    <r>
      <t>3.13</t>
    </r>
    <r>
      <rPr>
        <sz val="11"/>
        <color rgb="FF000000"/>
        <rFont val="微软雅黑"/>
        <charset val="134"/>
      </rPr>
      <t xml:space="preserve">   </t>
    </r>
    <r>
      <rPr>
        <sz val="11"/>
        <color rgb="FF000000"/>
        <rFont val="微软雅黑"/>
        <charset val="134"/>
      </rPr>
      <t>提交查验计划，查验完成，报关单已放行</t>
    </r>
  </si>
  <si>
    <t>330120260000011212</t>
  </si>
  <si>
    <t>177BJCJCJ529002X</t>
  </si>
  <si>
    <t>3.16 提交查验计划 ，查验完成，报关单已放行</t>
  </si>
  <si>
    <t>223120260000988005</t>
  </si>
  <si>
    <t>ONEYSHAG66622500</t>
  </si>
  <si>
    <r>
      <t>3.13 提交查验计划</t>
    </r>
    <r>
      <rPr>
        <sz val="11"/>
        <color rgb="FF000000"/>
        <rFont val="微软雅黑"/>
        <charset val="134"/>
      </rPr>
      <t xml:space="preserve">
</t>
    </r>
    <r>
      <rPr>
        <sz val="11"/>
        <color rgb="FF000000"/>
        <rFont val="微软雅黑"/>
        <charset val="134"/>
      </rPr>
      <t>3.14 查验完成，报关单已放行</t>
    </r>
  </si>
  <si>
    <t>230520260056515757</t>
  </si>
  <si>
    <t>EGLV145699410395</t>
  </si>
  <si>
    <t>2.13 申报放行，3.16 美的和代理通知因中东战争原因 需删单</t>
  </si>
  <si>
    <r>
      <t xml:space="preserve">3.16 准备退关资料 </t>
    </r>
    <r>
      <rPr>
        <sz val="11"/>
        <color rgb="FF000000"/>
        <rFont val="微软雅黑"/>
        <charset val="134"/>
      </rPr>
      <t xml:space="preserve">
</t>
    </r>
    <r>
      <rPr>
        <sz val="11"/>
        <color rgb="FF000000"/>
        <rFont val="微软雅黑"/>
        <charset val="134"/>
      </rPr>
      <t>3.17 美的盖章寄出</t>
    </r>
    <r>
      <rPr>
        <sz val="11"/>
        <color rgb="FF000000"/>
        <rFont val="微软雅黑"/>
        <charset val="134"/>
      </rPr>
      <t xml:space="preserve">
</t>
    </r>
    <r>
      <rPr>
        <sz val="11"/>
        <color rgb="FF000000"/>
        <rFont val="微软雅黑"/>
        <charset val="134"/>
      </rPr>
      <t>3.18 接现场反馈需船代自行联系海关处理，正本已移交</t>
    </r>
  </si>
  <si>
    <t>223120260000987144</t>
  </si>
  <si>
    <t>177FJPJPS810420</t>
  </si>
  <si>
    <t>3.12 申报审结，3.16 接车队通知此票来不及进港，要删单重报</t>
  </si>
  <si>
    <r>
      <t>3.16 准备资料</t>
    </r>
    <r>
      <rPr>
        <sz val="11"/>
        <color rgb="FF000000"/>
        <rFont val="微软雅黑"/>
        <charset val="134"/>
      </rPr>
      <t xml:space="preserve">
</t>
    </r>
    <r>
      <rPr>
        <sz val="11"/>
        <color rgb="FF000000"/>
        <rFont val="微软雅黑"/>
        <charset val="134"/>
      </rPr>
      <t>3.17 提交删单，删单已完成</t>
    </r>
  </si>
  <si>
    <t>张家港世联达</t>
  </si>
  <si>
    <t>223120260000987162</t>
  </si>
  <si>
    <t>177FJPJPS810420A</t>
  </si>
  <si>
    <t>232820260286529823</t>
  </si>
  <si>
    <t>SNKO020260220105</t>
  </si>
  <si>
    <t>3.3 申报放行，3.16 接代理通知此票因涨海运费 客户取消订单，需要删单</t>
  </si>
  <si>
    <r>
      <t>3.16 代理无法提供未上船证明，已咨询现场 待回复后准备资料</t>
    </r>
    <r>
      <rPr>
        <sz val="11"/>
        <color rgb="FF000000"/>
        <rFont val="微软雅黑"/>
        <charset val="134"/>
      </rPr>
      <t xml:space="preserve">
</t>
    </r>
    <r>
      <rPr>
        <sz val="11"/>
        <color rgb="FF000000"/>
        <rFont val="微软雅黑"/>
        <charset val="134"/>
      </rPr>
      <t>3.17 代理回复可以提供未上船证明，待代理提供未上船证明+在港证明后申请删单</t>
    </r>
    <r>
      <rPr>
        <sz val="11"/>
        <color rgb="FF000000"/>
        <rFont val="微软雅黑"/>
        <charset val="134"/>
      </rPr>
      <t xml:space="preserve">
</t>
    </r>
    <r>
      <rPr>
        <sz val="11"/>
        <color rgb="FF000000"/>
        <rFont val="微软雅黑"/>
        <charset val="134"/>
      </rPr>
      <t>3.18 删单已发起，待海关操作</t>
    </r>
    <r>
      <rPr>
        <sz val="11"/>
        <color rgb="FF000000"/>
        <rFont val="微软雅黑"/>
        <charset val="134"/>
      </rPr>
      <t xml:space="preserve">
</t>
    </r>
    <r>
      <rPr>
        <sz val="11"/>
        <color rgb="FF000000"/>
        <rFont val="微软雅黑"/>
        <charset val="134"/>
      </rPr>
      <t xml:space="preserve">3.19 删单成功 </t>
    </r>
    <r>
      <rPr>
        <sz val="11"/>
        <color rgb="FF000000"/>
        <rFont val="微软雅黑"/>
        <charset val="134"/>
      </rPr>
      <t xml:space="preserve">
</t>
    </r>
    <r>
      <rPr>
        <sz val="11"/>
        <color rgb="FF000000"/>
        <rFont val="微软雅黑"/>
        <charset val="134"/>
      </rPr>
      <t>3.23舱单已删好</t>
    </r>
    <r>
      <rPr>
        <sz val="11"/>
        <color rgb="FF000000"/>
        <rFont val="微软雅黑"/>
        <charset val="134"/>
      </rPr>
      <t xml:space="preserve">
</t>
    </r>
    <r>
      <rPr>
        <sz val="11"/>
        <color rgb="FF000000"/>
        <rFont val="微软雅黑"/>
        <charset val="134"/>
      </rPr>
      <t>3.24提离已完成，提离证明已寄出</t>
    </r>
  </si>
  <si>
    <t>232820260286529855</t>
  </si>
  <si>
    <t>SNKO020260220104</t>
  </si>
  <si>
    <t>232820260286529824</t>
  </si>
  <si>
    <t>SNKO020260220120</t>
  </si>
  <si>
    <t>232820260286529822</t>
  </si>
  <si>
    <t>SNKO020260220106</t>
  </si>
  <si>
    <t>330120260000011373</t>
  </si>
  <si>
    <t>JNG0309678</t>
  </si>
  <si>
    <t>3.16 申报审结 运抵正常未放行，人工放行</t>
  </si>
  <si>
    <t>3.16 申请人工审单，海关操作成功 报关单已放行</t>
  </si>
  <si>
    <t>330120260000011278</t>
  </si>
  <si>
    <t>177MJCJCJ529162X</t>
  </si>
  <si>
    <t>230820260086558512</t>
  </si>
  <si>
    <t>JNG0306702</t>
  </si>
  <si>
    <t>3.16 查验</t>
  </si>
  <si>
    <t>230820260086558635</t>
  </si>
  <si>
    <t>COSU6446173310</t>
  </si>
  <si>
    <t>230820260086558718</t>
  </si>
  <si>
    <t>CAJ0158803</t>
  </si>
  <si>
    <t>申报：3.16 提单号错申报为：COSU6446173280，正确应申报：CAJ0158803，统一编号：E20260001709308981，需改单</t>
  </si>
  <si>
    <t>3.16 准备资料，提交改单申请，海关操作完成。 改单完成未放行，申请人工放行。报关单已放行</t>
  </si>
  <si>
    <t>230820260086559342</t>
  </si>
  <si>
    <t>COSU6447425260</t>
  </si>
  <si>
    <t>3.17 提交查验计划，查验完成 报关单已放行</t>
  </si>
  <si>
    <t>330120260000011507</t>
  </si>
  <si>
    <t>177TJWJWJ506897S</t>
  </si>
  <si>
    <t>3.17 申报审结 运抵正常未放行，人工放行</t>
  </si>
  <si>
    <t>3.17 申请人工放行 海关操作成功，报关单已放行</t>
  </si>
  <si>
    <t>230820260086560528</t>
  </si>
  <si>
    <t>TLNJLCJA26071041</t>
  </si>
  <si>
    <r>
      <t>3.17</t>
    </r>
    <r>
      <rPr>
        <sz val="11"/>
        <color rgb="FF000000"/>
        <rFont val="微软雅黑"/>
        <charset val="134"/>
      </rPr>
      <t xml:space="preserve">  </t>
    </r>
    <r>
      <rPr>
        <sz val="11"/>
        <color rgb="FF000000"/>
        <rFont val="微软雅黑"/>
        <charset val="134"/>
      </rPr>
      <t>申报审结，涉及许可证 需要人工审单</t>
    </r>
  </si>
  <si>
    <t>230820260086560520</t>
  </si>
  <si>
    <t>TLNJLCJA26071041A</t>
  </si>
  <si>
    <t>230820260086560497</t>
  </si>
  <si>
    <t>TLNJLCJA26071041C</t>
  </si>
  <si>
    <t>230820260086560489</t>
  </si>
  <si>
    <t>TLNJLCJA26071041B</t>
  </si>
  <si>
    <t>331020260000014404</t>
  </si>
  <si>
    <t>AKKNBO26021438</t>
  </si>
  <si>
    <t>3.12 申报审结，3.17 接车队通知未赶上原船，需删单</t>
  </si>
  <si>
    <r>
      <t>3.17 待车队提供未上船证明和在港证明</t>
    </r>
    <r>
      <rPr>
        <sz val="11"/>
        <color rgb="FF000000"/>
        <rFont val="微软雅黑"/>
        <charset val="134"/>
      </rPr>
      <t xml:space="preserve">
</t>
    </r>
    <r>
      <rPr>
        <sz val="11"/>
        <color rgb="FF000000"/>
        <rFont val="微软雅黑"/>
        <charset val="134"/>
      </rPr>
      <t>3.18咨询庐州海关和宁波现场，</t>
    </r>
    <r>
      <rPr>
        <sz val="11"/>
        <color rgb="FF000000"/>
        <rFont val="微软雅黑"/>
        <charset val="134"/>
      </rPr>
      <t xml:space="preserve">
</t>
    </r>
    <r>
      <rPr>
        <sz val="11"/>
        <color rgb="FF000000"/>
        <rFont val="微软雅黑"/>
        <charset val="134"/>
      </rPr>
      <t>3.19待代理提供换船证明后发起删单， 预计3.20提供</t>
    </r>
    <r>
      <rPr>
        <sz val="11"/>
        <color rgb="FF000000"/>
        <rFont val="微软雅黑"/>
        <charset val="134"/>
      </rPr>
      <t xml:space="preserve">
</t>
    </r>
    <r>
      <rPr>
        <sz val="11"/>
        <color rgb="FF000000"/>
        <rFont val="微软雅黑"/>
        <charset val="134"/>
      </rPr>
      <t>3.20 删单完成</t>
    </r>
  </si>
  <si>
    <t>港东南</t>
  </si>
  <si>
    <t>331020260000014406</t>
  </si>
  <si>
    <t>AKKNBO26021444</t>
  </si>
  <si>
    <t>230820260086554039</t>
  </si>
  <si>
    <t>COSU6446707590</t>
  </si>
  <si>
    <t>3.10 申报放行 3.18 接代理通知改配</t>
  </si>
  <si>
    <t>3.18 申请改配，海关操作成功</t>
  </si>
  <si>
    <t>230820260086561338</t>
  </si>
  <si>
    <t>JNG0308252</t>
  </si>
  <si>
    <t>3.18查验</t>
  </si>
  <si>
    <t>3.18 提交查验计划，查验完成 报关单已放行</t>
  </si>
  <si>
    <r>
      <t>未申报</t>
    </r>
    <r>
      <rPr>
        <sz val="11"/>
        <color rgb="FF000000"/>
        <rFont val="微软雅黑"/>
        <charset val="134"/>
      </rPr>
      <t xml:space="preserve">         </t>
    </r>
  </si>
  <si>
    <t>COAU7267419740</t>
  </si>
  <si>
    <t>代理未通知申报，3.14船期 未上船，需改配，新提单号COAU7267581240</t>
  </si>
  <si>
    <t>代理/船务</t>
  </si>
  <si>
    <t>3.19删旧舱单，更改港区数据，新提单号COAU7267581240申报放行，待确定责任方后确认费</t>
  </si>
  <si>
    <t>230820260086562103</t>
  </si>
  <si>
    <t>TLNJLCJA26071034</t>
  </si>
  <si>
    <r>
      <t>3.18</t>
    </r>
    <r>
      <rPr>
        <sz val="11"/>
        <color rgb="FF000000"/>
        <rFont val="微软雅黑"/>
        <charset val="134"/>
      </rPr>
      <t xml:space="preserve">  </t>
    </r>
    <r>
      <rPr>
        <sz val="11"/>
        <color rgb="FF000000"/>
        <rFont val="微软雅黑"/>
        <charset val="134"/>
      </rPr>
      <t>申报审结，涉及许可证 需要人工审单，海关挂起，要求补传外贸合同。说明申报数量小于许可证原因。</t>
    </r>
  </si>
  <si>
    <t>3.19 申请人工放行，海关挂起。补传相关资料，报关单已放行</t>
  </si>
  <si>
    <t>230820260086562100</t>
  </si>
  <si>
    <t>TLNJLCJA26071034E</t>
  </si>
  <si>
    <r>
      <t>3.18</t>
    </r>
    <r>
      <rPr>
        <sz val="11"/>
        <color rgb="FF000000"/>
        <rFont val="微软雅黑"/>
        <charset val="134"/>
      </rPr>
      <t xml:space="preserve">  </t>
    </r>
    <r>
      <rPr>
        <sz val="11"/>
        <color rgb="FF000000"/>
        <rFont val="微软雅黑"/>
        <charset val="134"/>
      </rPr>
      <t>申报审结，涉及许可证 需要人工审单</t>
    </r>
  </si>
  <si>
    <t>3.19 申请人工放行 海关操作成功，报关单已放行</t>
  </si>
  <si>
    <t>230820260086562097</t>
  </si>
  <si>
    <t>TLNJLCJA26071034C</t>
  </si>
  <si>
    <t>230820260086562096</t>
  </si>
  <si>
    <t>TLNJLCJA26071034B</t>
  </si>
  <si>
    <t>230820260086562093</t>
  </si>
  <si>
    <t>TLNJLCJA26071034D</t>
  </si>
  <si>
    <t>230820260086562094</t>
  </si>
  <si>
    <t>TLNJLCJA26071034A</t>
  </si>
  <si>
    <t>230520260056524660</t>
  </si>
  <si>
    <t>HLCUNK2260151946</t>
  </si>
  <si>
    <t>3.19 运抵正常未放行，人工放行</t>
  </si>
  <si>
    <t>230820260086558647</t>
  </si>
  <si>
    <t>ZIMUNNJ2172234</t>
  </si>
  <si>
    <t>3.16 申报放行 3.18 接代理通知改配</t>
  </si>
  <si>
    <t>3.19 申请改配，海关操作成功</t>
  </si>
  <si>
    <t>230520260056525205</t>
  </si>
  <si>
    <t>JNG0308212A</t>
  </si>
  <si>
    <t>3.19 申报审结，涉及电机 需要人工审单</t>
  </si>
  <si>
    <r>
      <t xml:space="preserve">3.19 申请人工放行 </t>
    </r>
    <r>
      <rPr>
        <sz val="11"/>
        <color rgb="FF000000"/>
        <rFont val="微软雅黑"/>
        <charset val="134"/>
      </rPr>
      <t xml:space="preserve">
</t>
    </r>
    <r>
      <rPr>
        <sz val="11"/>
        <color rgb="FF000000"/>
        <rFont val="微软雅黑"/>
        <charset val="134"/>
      </rPr>
      <t>3.20 海关操作成功，报关单已放行</t>
    </r>
  </si>
  <si>
    <t>230520260056524836</t>
  </si>
  <si>
    <t>HLCUNK2260210790</t>
  </si>
  <si>
    <r>
      <t>未申报</t>
    </r>
    <r>
      <rPr>
        <sz val="11"/>
        <color rgb="FF000000"/>
        <rFont val="微软雅黑"/>
        <charset val="134"/>
      </rPr>
      <t xml:space="preserve">     </t>
    </r>
  </si>
  <si>
    <t>JNG0308153（未申报）</t>
  </si>
  <si>
    <t>未申报，箱号：SEGU1863999 退柜</t>
  </si>
  <si>
    <r>
      <t>3.19 准备资料，美的盖章寄出</t>
    </r>
    <r>
      <rPr>
        <sz val="11"/>
        <color rgb="FF000000"/>
        <rFont val="微软雅黑"/>
        <charset val="134"/>
      </rPr>
      <t xml:space="preserve">
</t>
    </r>
    <r>
      <rPr>
        <sz val="11"/>
        <color rgb="FF000000"/>
        <rFont val="微软雅黑"/>
        <charset val="134"/>
      </rPr>
      <t>3.20 重出已办</t>
    </r>
  </si>
  <si>
    <r>
      <t>未申报</t>
    </r>
    <r>
      <rPr>
        <sz val="11"/>
        <color rgb="FF000000"/>
        <rFont val="微软雅黑"/>
        <charset val="134"/>
      </rPr>
      <t xml:space="preserve">      </t>
    </r>
  </si>
  <si>
    <t>TLTCOSJN26071001</t>
  </si>
  <si>
    <r>
      <t>因美的货物品质问题需要退回工厂 未申报提离，箱号：RXTU4565928</t>
    </r>
    <r>
      <rPr>
        <sz val="11"/>
        <color rgb="FF000000"/>
        <rFont val="微软雅黑"/>
        <charset val="134"/>
      </rPr>
      <t xml:space="preserve"> </t>
    </r>
  </si>
  <si>
    <r>
      <t>3.19 准备提离资料</t>
    </r>
    <r>
      <rPr>
        <sz val="11"/>
        <color rgb="FF000000"/>
        <rFont val="微软雅黑"/>
        <charset val="134"/>
      </rPr>
      <t xml:space="preserve">
</t>
    </r>
    <r>
      <rPr>
        <sz val="11"/>
        <color rgb="FF000000"/>
        <rFont val="微软雅黑"/>
        <charset val="134"/>
      </rPr>
      <t>3.20 手续办好，已通知车队去现场拿正本提箱</t>
    </r>
  </si>
  <si>
    <r>
      <t>未申报</t>
    </r>
    <r>
      <rPr>
        <sz val="11"/>
        <color rgb="FF000000"/>
        <rFont val="微软雅黑"/>
        <charset val="134"/>
      </rPr>
      <t xml:space="preserve">       </t>
    </r>
  </si>
  <si>
    <t>TLTCTKJE26091008</t>
  </si>
  <si>
    <r>
      <t>因美的货物品质问题需要退回工厂未申报提离，箱号：CIMU0443828</t>
    </r>
    <r>
      <rPr>
        <sz val="11"/>
        <color rgb="FF000000"/>
        <rFont val="微软雅黑"/>
        <charset val="134"/>
      </rPr>
      <t xml:space="preserve"> </t>
    </r>
  </si>
  <si>
    <r>
      <t>未申报</t>
    </r>
    <r>
      <rPr>
        <sz val="11"/>
        <color rgb="FF000000"/>
        <rFont val="微软雅黑"/>
        <charset val="134"/>
      </rPr>
      <t xml:space="preserve">        </t>
    </r>
  </si>
  <si>
    <t>TLTCYKJE26091002</t>
  </si>
  <si>
    <r>
      <t>因美的货物品质问题需要退回工厂 未申报提离，箱号：CIMU0444573</t>
    </r>
    <r>
      <rPr>
        <sz val="11"/>
        <color rgb="FF000000"/>
        <rFont val="微软雅黑"/>
        <charset val="134"/>
      </rPr>
      <t xml:space="preserve"> </t>
    </r>
  </si>
  <si>
    <t>222920260001021750</t>
  </si>
  <si>
    <t>CPL0430295</t>
  </si>
  <si>
    <t>3.19 查验</t>
  </si>
  <si>
    <r>
      <t>3.19 提交查验计划</t>
    </r>
    <r>
      <rPr>
        <sz val="11"/>
        <color rgb="FF000000"/>
        <rFont val="微软雅黑"/>
        <charset val="134"/>
      </rPr>
      <t xml:space="preserve">
</t>
    </r>
    <r>
      <rPr>
        <sz val="11"/>
        <color rgb="FF000000"/>
        <rFont val="微软雅黑"/>
        <charset val="134"/>
      </rPr>
      <t>3.20 查验完成，报关单已放行</t>
    </r>
  </si>
  <si>
    <t>230820260086563294</t>
  </si>
  <si>
    <t>EGLV145699002483</t>
  </si>
  <si>
    <r>
      <t>3.19 申请人工放行</t>
    </r>
    <r>
      <rPr>
        <sz val="11"/>
        <color rgb="FF000000"/>
        <rFont val="微软雅黑"/>
        <charset val="134"/>
      </rPr>
      <t xml:space="preserve">
</t>
    </r>
    <r>
      <rPr>
        <sz val="11"/>
        <color rgb="FF000000"/>
        <rFont val="微软雅黑"/>
        <charset val="134"/>
      </rPr>
      <t>3.20 海关操作成功 ，报关单已放行</t>
    </r>
  </si>
  <si>
    <t>330120260000012191</t>
  </si>
  <si>
    <t>COSU6445995970</t>
  </si>
  <si>
    <t>230520260056525484</t>
  </si>
  <si>
    <t>CAJ0161458B</t>
  </si>
  <si>
    <t>3.20 申报审结，涉及电机 需要人工审单</t>
  </si>
  <si>
    <t>3.20 申请人工放行 海关操作成功 ，报关单已放行</t>
  </si>
  <si>
    <t>230520260056525466</t>
  </si>
  <si>
    <t>CAJ0161458A</t>
  </si>
  <si>
    <t>230520260056525454</t>
  </si>
  <si>
    <t>CAJ0161458</t>
  </si>
  <si>
    <t>230820260086563698</t>
  </si>
  <si>
    <t>ONEYNKGG03006300</t>
  </si>
  <si>
    <t>3.20 申报放行，海放未码放</t>
  </si>
  <si>
    <t>3.20 申请人工放行，报关单已放行</t>
  </si>
  <si>
    <t>230820260086535807</t>
  </si>
  <si>
    <t>NKAI60011400</t>
  </si>
  <si>
    <t>2.9 申报放行。3.20 接代理通知，因中东局势问题 原大船无法出运，换新船更新靠区，需改单</t>
  </si>
  <si>
    <t>3.20 准备改单资料，提交改单，海关操作成功，靠区已改</t>
  </si>
  <si>
    <t>230820260086536253</t>
  </si>
  <si>
    <t>NKAI60011500</t>
  </si>
  <si>
    <t>2.9 申报放行。3。20 接代理通知，因中东局势问题 原大船无法出运，换新船更新靠区，需改单</t>
  </si>
  <si>
    <t>330120260000012283</t>
  </si>
  <si>
    <t>SITGWHHKJ10008</t>
  </si>
  <si>
    <t>3.20 运抵正常未放行，人工放行</t>
  </si>
  <si>
    <t>3.20 申请人工放行 海关操作成功，报关单已放行</t>
  </si>
  <si>
    <t>230820260086564486</t>
  </si>
  <si>
    <t>COSU6447787200</t>
  </si>
  <si>
    <t>3.20 申报审结 未预配，3.23 接代理通知换船名航次。</t>
  </si>
  <si>
    <r>
      <t>3.23 代理改预配报关单放行。</t>
    </r>
    <r>
      <rPr>
        <sz val="11"/>
        <color rgb="FF000000"/>
        <rFont val="微软雅黑"/>
        <charset val="134"/>
      </rPr>
      <t xml:space="preserve">
</t>
    </r>
    <r>
      <rPr>
        <sz val="11"/>
        <color rgb="FF000000"/>
        <rFont val="微软雅黑"/>
        <charset val="134"/>
      </rPr>
      <t>3.24 确认费用 安排改配，海关操作成功</t>
    </r>
  </si>
  <si>
    <t>230820260086563532</t>
  </si>
  <si>
    <t>GOSUNNJ1032056</t>
  </si>
  <si>
    <t>3.20 申报审结，未放行。反查原因：代理提供出运表箱号与码头不符，系出运表箱号提供错误。因赶周一船期 需删单</t>
  </si>
  <si>
    <r>
      <t>3.20 准备情况说明，美的盖章寄出</t>
    </r>
    <r>
      <rPr>
        <sz val="11"/>
        <color rgb="FF000000"/>
        <rFont val="微软雅黑"/>
        <charset val="134"/>
      </rPr>
      <t xml:space="preserve">
</t>
    </r>
    <r>
      <rPr>
        <sz val="11"/>
        <color rgb="FF000000"/>
        <rFont val="微软雅黑"/>
        <charset val="134"/>
      </rPr>
      <t>3.23 代理联系江北港盖章退关申请单，发起删单，待海关操作</t>
    </r>
    <r>
      <rPr>
        <sz val="11"/>
        <color rgb="FF000000"/>
        <rFont val="微软雅黑"/>
        <charset val="134"/>
      </rPr>
      <t xml:space="preserve">
</t>
    </r>
    <r>
      <rPr>
        <sz val="11"/>
        <color rgb="FF000000"/>
        <rFont val="微软雅黑"/>
        <charset val="134"/>
      </rPr>
      <t>3.24 删单完成。</t>
    </r>
  </si>
  <si>
    <t>230520260056525867</t>
  </si>
  <si>
    <t>COSU6446303570</t>
  </si>
  <si>
    <t>3.23 运抵正常未放行，人工放行</t>
  </si>
  <si>
    <t>3.23 申请人工放行 海关操作成功 ，报关单已放行</t>
  </si>
  <si>
    <t>230520260056525839</t>
  </si>
  <si>
    <t>COSU6446303800</t>
  </si>
  <si>
    <t>230820260086564781</t>
  </si>
  <si>
    <t>EGLV142600673131</t>
  </si>
  <si>
    <t>3.21 查验</t>
  </si>
  <si>
    <t>3.23 提交查验计划，查验完成 报关单已放行</t>
  </si>
  <si>
    <t>230820260086565998</t>
  </si>
  <si>
    <t>EGLV143600110291</t>
  </si>
  <si>
    <t>3.23 查验</t>
  </si>
  <si>
    <r>
      <t>3.23 提交查验计划，待海关操作</t>
    </r>
    <r>
      <rPr>
        <sz val="11"/>
        <color rgb="FF000000"/>
        <rFont val="微软雅黑"/>
        <charset val="134"/>
      </rPr>
      <t xml:space="preserve">
</t>
    </r>
    <r>
      <rPr>
        <sz val="11"/>
        <color rgb="FF000000"/>
        <rFont val="微软雅黑"/>
        <charset val="134"/>
      </rPr>
      <t>3.24 查验完成，报关单已放行</t>
    </r>
  </si>
  <si>
    <t>230820260086566056</t>
  </si>
  <si>
    <t>JNG0305460</t>
  </si>
  <si>
    <t>230820260086566193</t>
  </si>
  <si>
    <t>JNG0307707A</t>
  </si>
  <si>
    <t>3.23 申报审结，涉及许可证 需要人工审单</t>
  </si>
  <si>
    <t>230820260086566182</t>
  </si>
  <si>
    <t>JNG0307707C</t>
  </si>
  <si>
    <t>230520260056526381</t>
  </si>
  <si>
    <t>COSU644714008001</t>
  </si>
  <si>
    <t>3.24 运抵正常未放行，人工放行</t>
  </si>
  <si>
    <t>3.24 申请人工放行 海关操作成功 ，报关单已放行</t>
  </si>
  <si>
    <t>330120260000013005</t>
  </si>
  <si>
    <t>HLCUNK22603APBG3</t>
  </si>
  <si>
    <r>
      <t>3.24</t>
    </r>
    <r>
      <rPr>
        <sz val="11"/>
        <color rgb="FF000000"/>
        <rFont val="微软雅黑"/>
        <charset val="134"/>
      </rPr>
      <t xml:space="preserve">  </t>
    </r>
    <r>
      <rPr>
        <sz val="11"/>
        <color rgb="FF000000"/>
        <rFont val="微软雅黑"/>
        <charset val="134"/>
      </rPr>
      <t>查验</t>
    </r>
  </si>
  <si>
    <t>3.25 提交查验计划，查验完成 报关单已放行</t>
  </si>
  <si>
    <t>330120260000012811</t>
  </si>
  <si>
    <t>JNG0309618</t>
  </si>
  <si>
    <t>3. 24 提交查验计划，查验完成 ，报关单已放行</t>
  </si>
  <si>
    <t>330120260000012753</t>
  </si>
  <si>
    <t>JNG0307591</t>
  </si>
  <si>
    <t>330120260000012755</t>
  </si>
  <si>
    <t>177FJWJWJ506974S</t>
  </si>
  <si>
    <t>230820260086564603</t>
  </si>
  <si>
    <t>COSU6447721490</t>
  </si>
  <si>
    <t>3.20 申报审结，未预配 3.23 报关单放行，3.24 接代理通知改配</t>
  </si>
  <si>
    <t>3.24 申请改配，海关操作成功</t>
  </si>
  <si>
    <t>230820260086566538</t>
  </si>
  <si>
    <t>TLNJLCJR26031025</t>
  </si>
  <si>
    <r>
      <t>3.24</t>
    </r>
    <r>
      <rPr>
        <sz val="11"/>
        <color rgb="FF000000"/>
        <rFont val="微软雅黑"/>
        <charset val="134"/>
      </rPr>
      <t xml:space="preserve">  </t>
    </r>
    <r>
      <rPr>
        <sz val="11"/>
        <color rgb="FF000000"/>
        <rFont val="微软雅黑"/>
        <charset val="134"/>
      </rPr>
      <t>申报审结，涉及许可证 需要人工审单</t>
    </r>
  </si>
  <si>
    <t>230820260086562342</t>
  </si>
  <si>
    <t>EGLV142600673033</t>
  </si>
  <si>
    <t>3.19 申报审结，未卸船 3.22 报关单放行，3.24 接代理通知改配</t>
  </si>
  <si>
    <r>
      <t>3.24 申请改配，待海关操作</t>
    </r>
    <r>
      <rPr>
        <sz val="11"/>
        <color rgb="FF000000"/>
        <rFont val="微软雅黑"/>
        <charset val="134"/>
      </rPr>
      <t xml:space="preserve">
</t>
    </r>
    <r>
      <rPr>
        <sz val="11"/>
        <color rgb="FF000000"/>
        <rFont val="微软雅黑"/>
        <charset val="134"/>
      </rPr>
      <t>3.25 海关操作成功 改配已完成</t>
    </r>
  </si>
  <si>
    <t>230820260086546093</t>
  </si>
  <si>
    <t>177ZJMJMJ009273X</t>
  </si>
  <si>
    <r>
      <t>2.26 申报放行，3.24</t>
    </r>
    <r>
      <rPr>
        <sz val="11"/>
        <color rgb="FF000000"/>
        <rFont val="微软雅黑"/>
        <charset val="134"/>
      </rPr>
      <t xml:space="preserve">  </t>
    </r>
    <r>
      <rPr>
        <sz val="11"/>
        <color rgb="FF000000"/>
        <rFont val="微软雅黑"/>
        <charset val="134"/>
      </rPr>
      <t>接通关代表 通知因中东战争原因需删单 办理 重出空回</t>
    </r>
  </si>
  <si>
    <r>
      <t>3.24 准备资料 美的盖章寄出</t>
    </r>
    <r>
      <rPr>
        <sz val="11"/>
        <color rgb="FF000000"/>
        <rFont val="微软雅黑"/>
        <charset val="134"/>
      </rPr>
      <t xml:space="preserve">
</t>
    </r>
    <r>
      <rPr>
        <sz val="11"/>
        <color rgb="FF000000"/>
        <rFont val="微软雅黑"/>
        <charset val="134"/>
      </rPr>
      <t>3.26 提交资料 海关审批盖章 转关退关手续已完成，待集装箱托运回南京后安排删单</t>
    </r>
    <r>
      <rPr>
        <sz val="11"/>
        <color rgb="FF000000"/>
        <rFont val="微软雅黑"/>
        <charset val="134"/>
      </rPr>
      <t xml:space="preserve">
</t>
    </r>
    <r>
      <rPr>
        <sz val="11"/>
        <color rgb="FF000000"/>
        <rFont val="微软雅黑"/>
        <charset val="134"/>
      </rPr>
      <t>3.27 代理通知按提离退运，重新准备资料。美的盖章寄出</t>
    </r>
    <r>
      <rPr>
        <sz val="11"/>
        <color rgb="FF000000"/>
        <rFont val="微软雅黑"/>
        <charset val="134"/>
      </rPr>
      <t xml:space="preserve">
</t>
    </r>
    <r>
      <rPr>
        <sz val="11"/>
        <color rgb="FF000000"/>
        <rFont val="微软雅黑"/>
        <charset val="134"/>
      </rPr>
      <t xml:space="preserve">3.30 准备删单资料，删单、提离资料 待海关审批签字 </t>
    </r>
    <r>
      <rPr>
        <sz val="11"/>
        <color rgb="FF000000"/>
        <rFont val="微软雅黑"/>
        <charset val="134"/>
      </rPr>
      <t xml:space="preserve">
</t>
    </r>
    <r>
      <rPr>
        <sz val="11"/>
        <color rgb="FF000000"/>
        <rFont val="微软雅黑"/>
        <charset val="134"/>
      </rPr>
      <t>3.31 发起删单 删单已好，提离海关盖章 已好，已寄出</t>
    </r>
    <r>
      <rPr>
        <sz val="11"/>
        <color rgb="FF000000"/>
        <rFont val="微软雅黑"/>
        <charset val="134"/>
      </rPr>
      <t xml:space="preserve">
</t>
    </r>
    <r>
      <rPr>
        <sz val="11"/>
        <color rgb="FF000000"/>
        <rFont val="微软雅黑"/>
        <charset val="134"/>
      </rPr>
      <t>4.7 集装箱回龙潭 准备重出资料</t>
    </r>
    <r>
      <rPr>
        <sz val="11"/>
        <color rgb="FF000000"/>
        <rFont val="微软雅黑"/>
        <charset val="134"/>
      </rPr>
      <t xml:space="preserve">
</t>
    </r>
    <r>
      <rPr>
        <sz val="11"/>
        <color rgb="FF000000"/>
        <rFont val="微软雅黑"/>
        <charset val="134"/>
      </rPr>
      <t>4.8 准备重出资料 美的盖章寄出</t>
    </r>
    <r>
      <rPr>
        <sz val="11"/>
        <color rgb="FF000000"/>
        <rFont val="微软雅黑"/>
        <charset val="134"/>
      </rPr>
      <t xml:space="preserve">
</t>
    </r>
    <r>
      <rPr>
        <sz val="11"/>
        <color rgb="FF000000"/>
        <rFont val="微软雅黑"/>
        <charset val="134"/>
      </rPr>
      <t>4.9 重出单已好</t>
    </r>
  </si>
  <si>
    <t>NJGCW26000276</t>
  </si>
  <si>
    <r>
      <t>2.27 申报放行，3.24</t>
    </r>
    <r>
      <rPr>
        <sz val="11"/>
        <color rgb="FF000000"/>
        <rFont val="微软雅黑"/>
        <charset val="134"/>
      </rPr>
      <t xml:space="preserve">  </t>
    </r>
    <r>
      <rPr>
        <sz val="11"/>
        <color rgb="FF000000"/>
        <rFont val="微软雅黑"/>
        <charset val="134"/>
      </rPr>
      <t>接通关代表 通知因中东战争原因需删单 办理 重出空回</t>
    </r>
  </si>
  <si>
    <t>230820260086545777</t>
  </si>
  <si>
    <t>NJGCW26000277</t>
  </si>
  <si>
    <t>230820260086545786</t>
  </si>
  <si>
    <t>NJGCW26000278</t>
  </si>
  <si>
    <r>
      <t>原报关单号：230820260086566374</t>
    </r>
    <r>
      <rPr>
        <sz val="11"/>
        <color rgb="FF000000"/>
        <rFont val="微软雅黑"/>
        <charset val="134"/>
      </rPr>
      <t xml:space="preserve">
</t>
    </r>
    <r>
      <rPr>
        <sz val="11"/>
        <color rgb="FF000000"/>
        <rFont val="微软雅黑"/>
        <charset val="134"/>
      </rPr>
      <t>现报关单号：230820260086602874</t>
    </r>
  </si>
  <si>
    <t>JNG0308153</t>
  </si>
  <si>
    <r>
      <t>3.23</t>
    </r>
    <r>
      <rPr>
        <sz val="11"/>
        <color rgb="FF000000"/>
        <rFont val="微软雅黑"/>
        <charset val="134"/>
      </rPr>
      <t xml:space="preserve">  </t>
    </r>
    <r>
      <rPr>
        <sz val="11"/>
        <color rgb="FF000000"/>
        <rFont val="微软雅黑"/>
        <charset val="134"/>
      </rPr>
      <t>查验</t>
    </r>
    <r>
      <rPr>
        <sz val="11"/>
        <color rgb="FF000000"/>
        <rFont val="微软雅黑"/>
        <charset val="134"/>
      </rPr>
      <t xml:space="preserve">
</t>
    </r>
    <r>
      <rPr>
        <sz val="11"/>
        <color rgb="FF000000"/>
        <rFont val="微软雅黑"/>
        <charset val="134"/>
      </rPr>
      <t>业务提供散件清单仅显示整票通知书总价，无参考价格区间，另有账外物资货物，远海通收到另外提供的价格后单独向业务询问是否为所有焊条价格（价格及币值），制单后也发现焊条价格与过往出现较大差异并问询是否正确，问询及回复均比较模糊，沟通环节出现偏差，现反馈报关单第六焊条单价有误，需要删单重报</t>
    </r>
    <r>
      <rPr>
        <sz val="11"/>
        <color rgb="FF000000"/>
        <rFont val="微软雅黑"/>
        <charset val="134"/>
      </rPr>
      <t xml:space="preserve">
</t>
    </r>
    <r>
      <rPr>
        <sz val="11"/>
        <color rgb="FF000000"/>
        <rFont val="微软雅黑"/>
        <charset val="134"/>
      </rPr>
      <t>4.30 查验</t>
    </r>
  </si>
  <si>
    <r>
      <t>3.24 提交查验计划，人工查验需追加机检</t>
    </r>
    <r>
      <rPr>
        <sz val="11"/>
        <color rgb="FF000000"/>
        <rFont val="微软雅黑"/>
        <charset val="134"/>
      </rPr>
      <t xml:space="preserve">
</t>
    </r>
    <r>
      <rPr>
        <sz val="11"/>
        <color rgb="FF000000"/>
        <rFont val="微软雅黑"/>
        <charset val="134"/>
      </rPr>
      <t>3.25 追加机检查验完成，海关再次追加机检和人工查验，海关要求取样化验。情况说明美的盖章提交海关</t>
    </r>
    <r>
      <rPr>
        <sz val="11"/>
        <color rgb="FF000000"/>
        <rFont val="微软雅黑"/>
        <charset val="134"/>
      </rPr>
      <t xml:space="preserve">
</t>
    </r>
    <r>
      <rPr>
        <sz val="11"/>
        <color rgb="FF000000"/>
        <rFont val="微软雅黑"/>
        <charset val="134"/>
      </rPr>
      <t>3.26 海关安排取样送检，预计半个月出检测结果</t>
    </r>
    <r>
      <rPr>
        <sz val="11"/>
        <color rgb="FF000000"/>
        <rFont val="微软雅黑"/>
        <charset val="134"/>
      </rPr>
      <t xml:space="preserve">
</t>
    </r>
    <r>
      <rPr>
        <sz val="11"/>
        <color rgb="FF000000"/>
        <rFont val="微软雅黑"/>
        <charset val="134"/>
      </rPr>
      <t>4.16 联系现场海关，预计下周出检测结果</t>
    </r>
    <r>
      <rPr>
        <sz val="11"/>
        <color rgb="FF000000"/>
        <rFont val="微软雅黑"/>
        <charset val="134"/>
      </rPr>
      <t xml:space="preserve">
</t>
    </r>
    <r>
      <rPr>
        <sz val="11"/>
        <color rgb="FF000000"/>
        <rFont val="微软雅黑"/>
        <charset val="134"/>
      </rPr>
      <t>4.24 检测结果已出，周一单据转前台，海关、综合业务科科长核归类处理</t>
    </r>
    <r>
      <rPr>
        <sz val="11"/>
        <color rgb="FF000000"/>
        <rFont val="微软雅黑"/>
        <charset val="134"/>
      </rPr>
      <t xml:space="preserve">
</t>
    </r>
    <r>
      <rPr>
        <sz val="11"/>
        <color rgb="FF000000"/>
        <rFont val="微软雅黑"/>
        <charset val="134"/>
      </rPr>
      <t>4.27 海关要求出具该票具体申报要素的情况说明，美的已提供，待海关审核</t>
    </r>
    <r>
      <rPr>
        <sz val="11"/>
        <color rgb="FF000000"/>
        <rFont val="微软雅黑"/>
        <charset val="134"/>
      </rPr>
      <t xml:space="preserve">
</t>
    </r>
    <r>
      <rPr>
        <sz val="11"/>
        <color rgb="FF000000"/>
        <rFont val="微软雅黑"/>
        <charset val="134"/>
      </rPr>
      <t>4.28 申请已受理 待海关审核税号</t>
    </r>
    <r>
      <rPr>
        <sz val="11"/>
        <color rgb="FF000000"/>
        <rFont val="微软雅黑"/>
        <charset val="134"/>
      </rPr>
      <t xml:space="preserve">
</t>
    </r>
    <r>
      <rPr>
        <sz val="11"/>
        <color rgb="FF000000"/>
        <rFont val="微软雅黑"/>
        <charset val="134"/>
      </rPr>
      <t>4.29 海关审核已通过，但报关单暂未放行。初步判断原因为运抵超期</t>
    </r>
    <r>
      <rPr>
        <sz val="11"/>
        <color rgb="FF000000"/>
        <rFont val="微软雅黑"/>
        <charset val="134"/>
      </rPr>
      <t xml:space="preserve">
</t>
    </r>
    <r>
      <rPr>
        <sz val="11"/>
        <color rgb="FF000000"/>
        <rFont val="微软雅黑"/>
        <charset val="134"/>
      </rPr>
      <t>4.30 报关单已放行，准备删单资料 提交海关审核，删单完成。重报查验</t>
    </r>
    <r>
      <rPr>
        <sz val="11"/>
        <color rgb="FF000000"/>
        <rFont val="微软雅黑"/>
        <charset val="134"/>
      </rPr>
      <t xml:space="preserve">
</t>
    </r>
    <r>
      <rPr>
        <sz val="11"/>
        <color rgb="FF000000"/>
        <rFont val="微软雅黑"/>
        <charset val="134"/>
      </rPr>
      <t>5.6 提交查验计划，待追加机检回执，下午14:24追加机检查验，提交查验计划。</t>
    </r>
    <r>
      <rPr>
        <sz val="11"/>
        <color rgb="FF000000"/>
        <rFont val="微软雅黑"/>
        <charset val="134"/>
      </rPr>
      <t xml:space="preserve">
</t>
    </r>
    <r>
      <rPr>
        <sz val="11"/>
        <color rgb="FF000000"/>
        <rFont val="微软雅黑"/>
        <charset val="134"/>
      </rPr>
      <t>5.7 机检无误，海关和物流科申请解除取样，准备相关资料 递交海关审批。</t>
    </r>
    <r>
      <rPr>
        <sz val="11"/>
        <color rgb="FF000000"/>
        <rFont val="微软雅黑"/>
        <charset val="134"/>
      </rPr>
      <t xml:space="preserve">
</t>
    </r>
    <r>
      <rPr>
        <sz val="11"/>
        <color rgb="FF000000"/>
        <rFont val="微软雅黑"/>
        <charset val="134"/>
      </rPr>
      <t>5.8 海关对原现报关单货值差 提出质疑 ，提供情况说明、发票待海关审核</t>
    </r>
    <r>
      <rPr>
        <sz val="11"/>
        <color rgb="FF000000"/>
        <rFont val="微软雅黑"/>
        <charset val="134"/>
      </rPr>
      <t xml:space="preserve">
</t>
    </r>
    <r>
      <rPr>
        <sz val="11"/>
        <color rgb="FF000000"/>
        <rFont val="微软雅黑"/>
        <charset val="134"/>
      </rPr>
      <t>5.9 资料待海关审核，同步安排开箱查验，提供取样情况说明</t>
    </r>
    <r>
      <rPr>
        <sz val="11"/>
        <color rgb="FF000000"/>
        <rFont val="微软雅黑"/>
        <charset val="134"/>
      </rPr>
      <t xml:space="preserve">
</t>
    </r>
    <r>
      <rPr>
        <sz val="11"/>
        <color rgb="FF000000"/>
        <rFont val="微软雅黑"/>
        <charset val="134"/>
      </rPr>
      <t>5.11 提交情况说明，海关取样送检</t>
    </r>
    <r>
      <rPr>
        <sz val="11"/>
        <color rgb="FF000000"/>
        <rFont val="微软雅黑"/>
        <charset val="134"/>
      </rPr>
      <t xml:space="preserve">
</t>
    </r>
    <r>
      <rPr>
        <sz val="11"/>
        <color rgb="FF000000"/>
        <rFont val="微软雅黑"/>
        <charset val="134"/>
      </rPr>
      <t>5.13 送检样品已送达实验室，目前正在检测中。物理检测周期偏长，本周暂无法出具检测结果。</t>
    </r>
    <r>
      <rPr>
        <sz val="11"/>
        <color rgb="FF000000"/>
        <rFont val="微软雅黑"/>
        <charset val="134"/>
      </rPr>
      <t xml:space="preserve">
</t>
    </r>
    <r>
      <rPr>
        <sz val="11"/>
        <color rgb="FF000000"/>
        <rFont val="微软雅黑"/>
        <charset val="134"/>
      </rPr>
      <t>5.15 现场跟进检测结果未出</t>
    </r>
    <r>
      <rPr>
        <sz val="11"/>
        <color rgb="FF000000"/>
        <rFont val="微软雅黑"/>
        <charset val="134"/>
      </rPr>
      <t xml:space="preserve">
</t>
    </r>
    <r>
      <rPr>
        <sz val="11"/>
        <color rgb="FF000000"/>
        <rFont val="微软雅黑"/>
        <charset val="134"/>
      </rPr>
      <t>5.18 现场跟进预计周四出结果</t>
    </r>
    <r>
      <rPr>
        <sz val="11"/>
        <color rgb="FF000000"/>
        <rFont val="微软雅黑"/>
        <charset val="134"/>
      </rPr>
      <t xml:space="preserve">
</t>
    </r>
    <r>
      <rPr>
        <sz val="11"/>
        <color rgb="FF000000"/>
        <rFont val="微软雅黑"/>
        <charset val="134"/>
      </rPr>
      <t>5.20 跟进化验进度，暂无结果。提前准备归类情况说明寄出，预约代理订舱</t>
    </r>
    <r>
      <rPr>
        <sz val="11"/>
        <color rgb="FF000000"/>
        <rFont val="微软雅黑"/>
        <charset val="134"/>
      </rPr>
      <t xml:space="preserve">
</t>
    </r>
    <r>
      <rPr>
        <sz val="11"/>
        <color rgb="FF000000"/>
        <rFont val="微软雅黑"/>
        <charset val="134"/>
      </rPr>
      <t>5.21 接实验室反馈还有两项结果未出 预计要下周一到周二出结果</t>
    </r>
    <r>
      <rPr>
        <sz val="11"/>
        <color rgb="FF000000"/>
        <rFont val="微软雅黑"/>
        <charset val="134"/>
      </rPr>
      <t xml:space="preserve">
</t>
    </r>
    <r>
      <rPr>
        <sz val="11"/>
        <color rgb="FF000000"/>
        <rFont val="微软雅黑"/>
        <charset val="134"/>
      </rPr>
      <t xml:space="preserve">5.26 联系实验室，检测报告27日出具，27号一早联系实验室跟进 </t>
    </r>
    <r>
      <rPr>
        <sz val="11"/>
        <color rgb="FF000000"/>
        <rFont val="微软雅黑"/>
        <charset val="134"/>
      </rPr>
      <t xml:space="preserve">
</t>
    </r>
    <r>
      <rPr>
        <sz val="11"/>
        <color rgb="FF000000"/>
        <rFont val="微软雅黑"/>
        <charset val="134"/>
      </rPr>
      <t xml:space="preserve">5.27 化验结果已出，现场海关审批化验结果。 </t>
    </r>
    <r>
      <rPr>
        <sz val="11"/>
        <color rgb="FF000000"/>
        <rFont val="微软雅黑"/>
        <charset val="134"/>
      </rPr>
      <t xml:space="preserve">
</t>
    </r>
    <r>
      <rPr>
        <sz val="11"/>
        <color rgb="FF000000"/>
        <rFont val="微软雅黑"/>
        <charset val="134"/>
      </rPr>
      <t>5.28 提交物流科审核税号，已放行</t>
    </r>
  </si>
  <si>
    <t>230820260086565962</t>
  </si>
  <si>
    <t>COSU6448237700</t>
  </si>
  <si>
    <t>3.23 申报审结，未预配。3.25 核对预配，船名航次不符。代理换船未同步</t>
  </si>
  <si>
    <t>3.25 申请人工放行，海关操作成功报关单已放行。申请改船名航次。海关操作成功</t>
  </si>
  <si>
    <t>330120260000013139</t>
  </si>
  <si>
    <t>KMTCWHI0024119</t>
  </si>
  <si>
    <t>3.25 运抵正常未放行，人工放行</t>
  </si>
  <si>
    <t>3.25 申请人工放行 海关操作成功 ，报关单已放行</t>
  </si>
  <si>
    <t>222920260001112357</t>
  </si>
  <si>
    <t>SXSNC26030227</t>
  </si>
  <si>
    <t>3.25 提交查验计划， 查验完成，报关单已放行</t>
  </si>
  <si>
    <t>230820260086568204</t>
  </si>
  <si>
    <t>COSU6446609310</t>
  </si>
  <si>
    <t>申报：南京七坝驳船应申报龙潭船名，报关员误操作申报七坝船名，报关单已放行，需改配</t>
  </si>
  <si>
    <t>3.26 申请改配 海关操作成功</t>
  </si>
  <si>
    <t>330120260000013243</t>
  </si>
  <si>
    <t>177MJTJTJ500280X</t>
  </si>
  <si>
    <t>3.26 查验</t>
  </si>
  <si>
    <r>
      <t>3.26</t>
    </r>
    <r>
      <rPr>
        <sz val="11"/>
        <color rgb="FF000000"/>
        <rFont val="微软雅黑"/>
        <charset val="134"/>
      </rPr>
      <t xml:space="preserve">  </t>
    </r>
    <r>
      <rPr>
        <sz val="11"/>
        <color rgb="FF000000"/>
        <rFont val="微软雅黑"/>
        <charset val="134"/>
      </rPr>
      <t>提交查验计划，查验完成 报关单已放行</t>
    </r>
  </si>
  <si>
    <t>230820260086568322</t>
  </si>
  <si>
    <t>ONEYNK5GL6135300</t>
  </si>
  <si>
    <r>
      <t>3.25</t>
    </r>
    <r>
      <rPr>
        <sz val="11"/>
        <color rgb="FF000000"/>
        <rFont val="微软雅黑"/>
        <charset val="134"/>
      </rPr>
      <t xml:space="preserve">  </t>
    </r>
    <r>
      <rPr>
        <sz val="11"/>
        <color rgb="FF000000"/>
        <rFont val="微软雅黑"/>
        <charset val="134"/>
      </rPr>
      <t>查验</t>
    </r>
  </si>
  <si>
    <r>
      <t>3.26</t>
    </r>
    <r>
      <rPr>
        <sz val="11"/>
        <color rgb="FF000000"/>
        <rFont val="微软雅黑"/>
        <charset val="134"/>
      </rPr>
      <t xml:space="preserve">  </t>
    </r>
    <r>
      <rPr>
        <sz val="11"/>
        <color rgb="FF000000"/>
        <rFont val="微软雅黑"/>
        <charset val="134"/>
      </rPr>
      <t>提交查验计划</t>
    </r>
    <r>
      <rPr>
        <sz val="11"/>
        <color rgb="FF000000"/>
        <rFont val="微软雅黑"/>
        <charset val="134"/>
      </rPr>
      <t xml:space="preserve">  </t>
    </r>
    <r>
      <rPr>
        <sz val="11"/>
        <color rgb="FF000000"/>
        <rFont val="微软雅黑"/>
        <charset val="134"/>
      </rPr>
      <t>现场反馈 品名全部命中，海关安排明天查验</t>
    </r>
    <r>
      <rPr>
        <sz val="11"/>
        <color rgb="FF000000"/>
        <rFont val="微软雅黑"/>
        <charset val="134"/>
      </rPr>
      <t xml:space="preserve">
</t>
    </r>
    <r>
      <rPr>
        <sz val="11"/>
        <color rgb="FF000000"/>
        <rFont val="微软雅黑"/>
        <charset val="134"/>
      </rPr>
      <t>3.27 江北，待集装箱到龙潭安排查验</t>
    </r>
    <r>
      <rPr>
        <sz val="11"/>
        <color rgb="FF000000"/>
        <rFont val="微软雅黑"/>
        <charset val="134"/>
      </rPr>
      <t xml:space="preserve">
</t>
    </r>
    <r>
      <rPr>
        <sz val="11"/>
        <color rgb="FF000000"/>
        <rFont val="微软雅黑"/>
        <charset val="134"/>
      </rPr>
      <t>3.30 集装箱到龙潭码头 提交查验计划，待海关操作</t>
    </r>
    <r>
      <rPr>
        <sz val="11"/>
        <color rgb="FF000000"/>
        <rFont val="微软雅黑"/>
        <charset val="134"/>
      </rPr>
      <t xml:space="preserve">
</t>
    </r>
    <r>
      <rPr>
        <sz val="11"/>
        <color rgb="FF000000"/>
        <rFont val="微软雅黑"/>
        <charset val="134"/>
      </rPr>
      <t>3.31</t>
    </r>
    <r>
      <rPr>
        <sz val="11"/>
        <color rgb="FF000000"/>
        <rFont val="微软雅黑"/>
        <charset val="134"/>
      </rPr>
      <t xml:space="preserve">  </t>
    </r>
    <r>
      <rPr>
        <sz val="11"/>
        <color rgb="FF000000"/>
        <rFont val="微软雅黑"/>
        <charset val="134"/>
      </rPr>
      <t>查验完成 报关单已放行</t>
    </r>
  </si>
  <si>
    <t>230520260056527291</t>
  </si>
  <si>
    <t>EGLV145699812842</t>
  </si>
  <si>
    <r>
      <t>3.26</t>
    </r>
    <r>
      <rPr>
        <sz val="11"/>
        <color rgb="FF000000"/>
        <rFont val="微软雅黑"/>
        <charset val="134"/>
      </rPr>
      <t xml:space="preserve">  </t>
    </r>
    <r>
      <rPr>
        <sz val="11"/>
        <color rgb="FF000000"/>
        <rFont val="微软雅黑"/>
        <charset val="134"/>
      </rPr>
      <t>提交查验计划，待海关操作</t>
    </r>
    <r>
      <rPr>
        <sz val="11"/>
        <color rgb="FF000000"/>
        <rFont val="微软雅黑"/>
        <charset val="134"/>
      </rPr>
      <t xml:space="preserve">
</t>
    </r>
    <r>
      <rPr>
        <sz val="11"/>
        <color rgb="FF000000"/>
        <rFont val="微软雅黑"/>
        <charset val="134"/>
      </rPr>
      <t>3.27</t>
    </r>
    <r>
      <rPr>
        <sz val="11"/>
        <color rgb="FF000000"/>
        <rFont val="微软雅黑"/>
        <charset val="134"/>
      </rPr>
      <t xml:space="preserve">  </t>
    </r>
    <r>
      <rPr>
        <sz val="11"/>
        <color rgb="FF000000"/>
        <rFont val="微软雅黑"/>
        <charset val="134"/>
      </rPr>
      <t>查验完成 报关单已放行</t>
    </r>
  </si>
  <si>
    <t>230820260086544637</t>
  </si>
  <si>
    <t>HLCUNK2260148302</t>
  </si>
  <si>
    <t>2.26 申报放行 3.26 接代理通知因中东战争原因需删单 办理 倒箱</t>
  </si>
  <si>
    <r>
      <t>3.26</t>
    </r>
    <r>
      <rPr>
        <sz val="11"/>
        <color rgb="FF000000"/>
        <rFont val="微软雅黑"/>
        <charset val="134"/>
      </rPr>
      <t xml:space="preserve">  </t>
    </r>
    <r>
      <rPr>
        <sz val="11"/>
        <color rgb="FF000000"/>
        <rFont val="微软雅黑"/>
        <charset val="134"/>
      </rPr>
      <t>确认倒箱手续、倒箱仓库地址</t>
    </r>
    <r>
      <rPr>
        <sz val="11"/>
        <color rgb="FF000000"/>
        <rFont val="微软雅黑"/>
        <charset val="134"/>
      </rPr>
      <t xml:space="preserve">
</t>
    </r>
    <r>
      <rPr>
        <sz val="11"/>
        <color rgb="FF000000"/>
        <rFont val="微软雅黑"/>
        <charset val="134"/>
      </rPr>
      <t>3.30 代理安排驳船带回 准备删单倒箱资料， 美的盖章寄出</t>
    </r>
    <r>
      <rPr>
        <sz val="11"/>
        <color rgb="FF000000"/>
        <rFont val="微软雅黑"/>
        <charset val="134"/>
      </rPr>
      <t xml:space="preserve">
</t>
    </r>
    <r>
      <rPr>
        <sz val="11"/>
        <color rgb="FF000000"/>
        <rFont val="微软雅黑"/>
        <charset val="134"/>
      </rPr>
      <t xml:space="preserve">3.31 海关审批资料 </t>
    </r>
    <r>
      <rPr>
        <sz val="11"/>
        <color rgb="FF000000"/>
        <rFont val="微软雅黑"/>
        <charset val="134"/>
      </rPr>
      <t xml:space="preserve">
</t>
    </r>
    <r>
      <rPr>
        <sz val="11"/>
        <color rgb="FF000000"/>
        <rFont val="微软雅黑"/>
        <charset val="134"/>
      </rPr>
      <t>4.1 代理核销进口转关单</t>
    </r>
    <r>
      <rPr>
        <sz val="11"/>
        <color rgb="FF000000"/>
        <rFont val="微软雅黑"/>
        <charset val="134"/>
      </rPr>
      <t xml:space="preserve">
</t>
    </r>
    <r>
      <rPr>
        <sz val="11"/>
        <color rgb="FF000000"/>
        <rFont val="微软雅黑"/>
        <charset val="134"/>
      </rPr>
      <t>4.2 删单成功 倒箱单已好</t>
    </r>
    <r>
      <rPr>
        <sz val="11"/>
        <color rgb="FF000000"/>
        <rFont val="微软雅黑"/>
        <charset val="134"/>
      </rPr>
      <t xml:space="preserve"> </t>
    </r>
  </si>
  <si>
    <t>230820260086568449</t>
  </si>
  <si>
    <t>TLNJHCJR26031007</t>
  </si>
  <si>
    <t>3.26 运抵正常未放行，人工放行</t>
  </si>
  <si>
    <t>3.26 申请人工放行 海关操作成功 ，报关单已放行</t>
  </si>
  <si>
    <t>230820260086569159</t>
  </si>
  <si>
    <t>YMJAN241127339</t>
  </si>
  <si>
    <r>
      <t>3.26</t>
    </r>
    <r>
      <rPr>
        <sz val="11"/>
        <color rgb="FF000000"/>
        <rFont val="微软雅黑"/>
        <charset val="134"/>
      </rPr>
      <t xml:space="preserve">  </t>
    </r>
    <r>
      <rPr>
        <sz val="11"/>
        <color rgb="FF000000"/>
        <rFont val="微软雅黑"/>
        <charset val="134"/>
      </rPr>
      <t>提交查验计划</t>
    </r>
    <r>
      <rPr>
        <sz val="11"/>
        <color rgb="FF000000"/>
        <rFont val="微软雅黑"/>
        <charset val="134"/>
      </rPr>
      <t xml:space="preserve">
</t>
    </r>
    <r>
      <rPr>
        <sz val="11"/>
        <color rgb="FF000000"/>
        <rFont val="微软雅黑"/>
        <charset val="134"/>
      </rPr>
      <t>3.27 查验完成 报关单已放行</t>
    </r>
  </si>
  <si>
    <t>230820260086569187</t>
  </si>
  <si>
    <t>JNG0308045</t>
  </si>
  <si>
    <r>
      <t>3.26</t>
    </r>
    <r>
      <rPr>
        <sz val="11"/>
        <color rgb="FF000000"/>
        <rFont val="微软雅黑"/>
        <charset val="134"/>
      </rPr>
      <t xml:space="preserve">  </t>
    </r>
    <r>
      <rPr>
        <sz val="11"/>
        <color rgb="FF000000"/>
        <rFont val="微软雅黑"/>
        <charset val="134"/>
      </rPr>
      <t>提交查验计划</t>
    </r>
    <r>
      <rPr>
        <sz val="11"/>
        <color rgb="FF000000"/>
        <rFont val="微软雅黑"/>
        <charset val="134"/>
      </rPr>
      <t xml:space="preserve">
</t>
    </r>
    <r>
      <rPr>
        <sz val="11"/>
        <color rgb="FF000000"/>
        <rFont val="微软雅黑"/>
        <charset val="134"/>
      </rPr>
      <t>3.27</t>
    </r>
    <r>
      <rPr>
        <sz val="11"/>
        <color rgb="FF000000"/>
        <rFont val="微软雅黑"/>
        <charset val="134"/>
      </rPr>
      <t xml:space="preserve">  </t>
    </r>
    <r>
      <rPr>
        <sz val="11"/>
        <color rgb="FF000000"/>
        <rFont val="微软雅黑"/>
        <charset val="134"/>
      </rPr>
      <t>查验完成 报关单已放行</t>
    </r>
  </si>
  <si>
    <t>230520260056527422</t>
  </si>
  <si>
    <t>OOLU2324064700</t>
  </si>
  <si>
    <t>230520260056527440</t>
  </si>
  <si>
    <t>COSU644718683001</t>
  </si>
  <si>
    <t>3.26 申报审结，含电机，需人工放行</t>
  </si>
  <si>
    <t>230520260056527529</t>
  </si>
  <si>
    <t>JNG0311441A</t>
  </si>
  <si>
    <t>230520260056527526</t>
  </si>
  <si>
    <t>JNG0311441</t>
  </si>
  <si>
    <t>230520260056527711</t>
  </si>
  <si>
    <t>SNLGZGJXS000285</t>
  </si>
  <si>
    <t>330120260000013505</t>
  </si>
  <si>
    <t>ONEYNKGG04798800</t>
  </si>
  <si>
    <t>230520260056527852</t>
  </si>
  <si>
    <t>COSU6447476130</t>
  </si>
  <si>
    <t>3.27 申请人工放行，海关操作成功 报关单已放行</t>
  </si>
  <si>
    <t>230820260086569498</t>
  </si>
  <si>
    <t>NOSNJ26HF47124</t>
  </si>
  <si>
    <t>230820260086570286</t>
  </si>
  <si>
    <t>3.27 查验</t>
  </si>
  <si>
    <r>
      <t>3.27</t>
    </r>
    <r>
      <rPr>
        <sz val="11"/>
        <color rgb="FF000000"/>
        <rFont val="微软雅黑"/>
        <charset val="134"/>
      </rPr>
      <t xml:space="preserve">  </t>
    </r>
    <r>
      <rPr>
        <sz val="11"/>
        <color rgb="FF000000"/>
        <rFont val="微软雅黑"/>
        <charset val="134"/>
      </rPr>
      <t>提交查验计划，待海关操作</t>
    </r>
    <r>
      <rPr>
        <sz val="11"/>
        <color rgb="FF000000"/>
        <rFont val="微软雅黑"/>
        <charset val="134"/>
      </rPr>
      <t xml:space="preserve">
</t>
    </r>
    <r>
      <rPr>
        <sz val="11"/>
        <color rgb="FF000000"/>
        <rFont val="微软雅黑"/>
        <charset val="134"/>
      </rPr>
      <t>3.30 查验完成 报关单已放行</t>
    </r>
  </si>
  <si>
    <t>230820260086569981</t>
  </si>
  <si>
    <t>ONEYNK5GF4218600</t>
  </si>
  <si>
    <r>
      <t>3.27</t>
    </r>
    <r>
      <rPr>
        <sz val="11"/>
        <color rgb="FF000000"/>
        <rFont val="微软雅黑"/>
        <charset val="134"/>
      </rPr>
      <t xml:space="preserve">  </t>
    </r>
    <r>
      <rPr>
        <sz val="11"/>
        <color rgb="FF000000"/>
        <rFont val="微软雅黑"/>
        <charset val="134"/>
      </rPr>
      <t>提交查验计划，待海关操作</t>
    </r>
    <r>
      <rPr>
        <sz val="11"/>
        <color rgb="FF000000"/>
        <rFont val="微软雅黑"/>
        <charset val="134"/>
      </rPr>
      <t xml:space="preserve">
</t>
    </r>
    <r>
      <rPr>
        <sz val="11"/>
        <color rgb="FF000000"/>
        <rFont val="微软雅黑"/>
        <charset val="134"/>
      </rPr>
      <t>3.30 查验完成 报关单已放行，放行后改配 海关操作成功</t>
    </r>
  </si>
  <si>
    <t>230820260086538407</t>
  </si>
  <si>
    <t>OOLU2320928500</t>
  </si>
  <si>
    <t>2.11 申报放行 3.27接通关代表和代理通知 船司通知改靠区</t>
  </si>
  <si>
    <t>3.27 准备资料 提交改单 海关操作完成</t>
  </si>
  <si>
    <r>
      <t>未申报</t>
    </r>
    <r>
      <rPr>
        <sz val="11"/>
        <color rgb="FF000000"/>
        <rFont val="微软雅黑"/>
        <charset val="134"/>
      </rPr>
      <t xml:space="preserve">           </t>
    </r>
  </si>
  <si>
    <t>EGLV145699931620</t>
  </si>
  <si>
    <t>3.27 接通关代表和代理通知因货物品质不过关 需办理重出空回。箱号：TXGU7489231</t>
  </si>
  <si>
    <r>
      <t>3.27 准备资料，美的盖章寄出</t>
    </r>
    <r>
      <rPr>
        <sz val="11"/>
        <color rgb="FF000000"/>
        <rFont val="微软雅黑"/>
        <charset val="134"/>
      </rPr>
      <t xml:space="preserve">
</t>
    </r>
    <r>
      <rPr>
        <sz val="11"/>
        <color rgb="FF000000"/>
        <rFont val="微软雅黑"/>
        <charset val="134"/>
      </rPr>
      <t>3.30 重出已好</t>
    </r>
  </si>
  <si>
    <r>
      <t>未申报</t>
    </r>
    <r>
      <rPr>
        <sz val="11"/>
        <color rgb="FF000000"/>
        <rFont val="微软雅黑"/>
        <charset val="134"/>
      </rPr>
      <t xml:space="preserve">          </t>
    </r>
  </si>
  <si>
    <t>EGLV145699931298</t>
  </si>
  <si>
    <t>3.27 接通关代表和代理通知因货物品质不过关 需办理重出空回。箱号：EMCU1742505</t>
  </si>
  <si>
    <t>042220260000004598</t>
  </si>
  <si>
    <t>JTTYO26E03101</t>
  </si>
  <si>
    <t>3.27 提交查验计划 协调码头调箱 查验完成 报关单已放行</t>
  </si>
  <si>
    <t>230520260056516053</t>
  </si>
  <si>
    <t>EGLV145699805977</t>
  </si>
  <si>
    <t>2.13 申报放行，3.30 美的和代理通知因中东战争原因 需删单，集装箱已回张家港</t>
  </si>
  <si>
    <r>
      <t>3.30 准备删单资料 代理提供在港证明，提交删单，待海关操作</t>
    </r>
    <r>
      <rPr>
        <sz val="11"/>
        <color rgb="FF000000"/>
        <rFont val="微软雅黑"/>
        <charset val="134"/>
      </rPr>
      <t xml:space="preserve">
</t>
    </r>
    <r>
      <rPr>
        <sz val="11"/>
        <color rgb="FF000000"/>
        <rFont val="微软雅黑"/>
        <charset val="134"/>
      </rPr>
      <t>3.31 删单已好</t>
    </r>
  </si>
  <si>
    <t>230520260056514605</t>
  </si>
  <si>
    <t>OOLU2166536880</t>
  </si>
  <si>
    <t>2.11 申报放行，3.30 美的和代理通知因中东战争原因 大船改靠区，需改单</t>
  </si>
  <si>
    <t>3.30 准备改单资料 ，提交改单，海关操作成功</t>
  </si>
  <si>
    <t>230520260056517915</t>
  </si>
  <si>
    <t>OOLU2321941470</t>
  </si>
  <si>
    <t>2.27 申报放行，3.30 美的和代理通知因中东战争原因 需删单，集装箱已回张家港</t>
  </si>
  <si>
    <t>330120260000014027</t>
  </si>
  <si>
    <t>177BJCJCJ529158X</t>
  </si>
  <si>
    <t>3.30 查验</t>
  </si>
  <si>
    <r>
      <t>3.30 提交查验计划，待海关操作</t>
    </r>
    <r>
      <rPr>
        <sz val="11"/>
        <color rgb="FF000000"/>
        <rFont val="微软雅黑"/>
        <charset val="134"/>
      </rPr>
      <t xml:space="preserve">
</t>
    </r>
    <r>
      <rPr>
        <sz val="11"/>
        <color rgb="FF000000"/>
        <rFont val="微软雅黑"/>
        <charset val="134"/>
      </rPr>
      <t>3.31</t>
    </r>
    <r>
      <rPr>
        <sz val="11"/>
        <color rgb="FF000000"/>
        <rFont val="微软雅黑"/>
        <charset val="134"/>
      </rPr>
      <t xml:space="preserve">  </t>
    </r>
    <r>
      <rPr>
        <sz val="11"/>
        <color rgb="FF000000"/>
        <rFont val="微软雅黑"/>
        <charset val="134"/>
      </rPr>
      <t>查验完成 报关单已放行</t>
    </r>
  </si>
  <si>
    <t>223120260001073056</t>
  </si>
  <si>
    <t>CHN3198626</t>
  </si>
  <si>
    <t>3.19申报放行，3.30 接代理通知，因集装箱进港晚且改配后船公司锁箱未能码放，现需删单改配</t>
  </si>
  <si>
    <r>
      <t>3.30 待代理提供在港证明和未上船证明</t>
    </r>
    <r>
      <rPr>
        <sz val="11"/>
        <color rgb="FF000000"/>
        <rFont val="微软雅黑"/>
        <charset val="134"/>
      </rPr>
      <t xml:space="preserve">
</t>
    </r>
    <r>
      <rPr>
        <sz val="11"/>
        <color rgb="FF000000"/>
        <rFont val="微软雅黑"/>
        <charset val="134"/>
      </rPr>
      <t>3.31</t>
    </r>
    <r>
      <rPr>
        <sz val="11"/>
        <color rgb="FF000000"/>
        <rFont val="微软雅黑"/>
        <charset val="134"/>
      </rPr>
      <t xml:space="preserve">  </t>
    </r>
    <r>
      <rPr>
        <sz val="11"/>
        <color rgb="FF000000"/>
        <rFont val="微软雅黑"/>
        <charset val="134"/>
      </rPr>
      <t>代理提供未上船证明，报关行代办在港证明，发起删单，待海关操作</t>
    </r>
    <r>
      <rPr>
        <sz val="11"/>
        <color rgb="FF000000"/>
        <rFont val="微软雅黑"/>
        <charset val="134"/>
      </rPr>
      <t xml:space="preserve">
</t>
    </r>
    <r>
      <rPr>
        <sz val="11"/>
        <color rgb="FF000000"/>
        <rFont val="微软雅黑"/>
        <charset val="134"/>
      </rPr>
      <t>4.1删单成功</t>
    </r>
  </si>
  <si>
    <t>新成物流</t>
  </si>
  <si>
    <t>230820260086570937</t>
  </si>
  <si>
    <t>177TJWJWJ051067S</t>
  </si>
  <si>
    <t>3.30 提交查验计划 查验完成 报关单已放行</t>
  </si>
  <si>
    <t>230820260086571962</t>
  </si>
  <si>
    <t>KMTCNKG0192440</t>
  </si>
  <si>
    <r>
      <t>3.30 提交查验计划，待海关操作</t>
    </r>
    <r>
      <rPr>
        <sz val="11"/>
        <color rgb="FF000000"/>
        <rFont val="微软雅黑"/>
        <charset val="134"/>
      </rPr>
      <t xml:space="preserve">
</t>
    </r>
    <r>
      <rPr>
        <sz val="11"/>
        <color rgb="FF000000"/>
        <rFont val="微软雅黑"/>
        <charset val="134"/>
      </rPr>
      <t>3.31</t>
    </r>
    <r>
      <rPr>
        <sz val="11"/>
        <color rgb="FF000000"/>
        <rFont val="微软雅黑"/>
        <charset val="134"/>
      </rPr>
      <t xml:space="preserve">  </t>
    </r>
    <r>
      <rPr>
        <sz val="11"/>
        <color rgb="FF000000"/>
        <rFont val="微软雅黑"/>
        <charset val="134"/>
      </rPr>
      <t>查验完成 报关单已放行，放行后改配 海关操作成功</t>
    </r>
  </si>
  <si>
    <t>230520260056528747</t>
  </si>
  <si>
    <t>177NJCJCJ229322AW</t>
  </si>
  <si>
    <t>3.30 申报审结，涉及电机 需要人工审单</t>
  </si>
  <si>
    <t>3.30 申请人工放行，海关操作成功，报关单已放行</t>
  </si>
  <si>
    <t>230520260056528924</t>
  </si>
  <si>
    <t>177FVKJUJ207493AW</t>
  </si>
  <si>
    <t>230520260056528982</t>
  </si>
  <si>
    <t>JNG0308874</t>
  </si>
  <si>
    <t>3.30 申报审结，涉及许可证 需要人工审单</t>
  </si>
  <si>
    <r>
      <t>3.30 申请人工放行，待海关操作</t>
    </r>
    <r>
      <rPr>
        <sz val="11"/>
        <color rgb="FF000000"/>
        <rFont val="微软雅黑"/>
        <charset val="134"/>
      </rPr>
      <t xml:space="preserve">
</t>
    </r>
    <r>
      <rPr>
        <sz val="11"/>
        <color rgb="FF000000"/>
        <rFont val="微软雅黑"/>
        <charset val="134"/>
      </rPr>
      <t>3.31</t>
    </r>
    <r>
      <rPr>
        <sz val="11"/>
        <color rgb="FF000000"/>
        <rFont val="微软雅黑"/>
        <charset val="134"/>
      </rPr>
      <t xml:space="preserve">  </t>
    </r>
    <r>
      <rPr>
        <sz val="11"/>
        <color rgb="FF000000"/>
        <rFont val="微软雅黑"/>
        <charset val="134"/>
      </rPr>
      <t>海关操作成功 报关单已放行</t>
    </r>
  </si>
  <si>
    <t>230520260056528979</t>
  </si>
  <si>
    <t>JNG0308874A</t>
  </si>
  <si>
    <t>230520260056529004</t>
  </si>
  <si>
    <t>264478949A</t>
  </si>
  <si>
    <t>230520260056529023</t>
  </si>
  <si>
    <t>EGLV145699811837</t>
  </si>
  <si>
    <t>3.30 运抵正常未放行，人工放行</t>
  </si>
  <si>
    <r>
      <t>3.30 申请人工放行</t>
    </r>
    <r>
      <rPr>
        <sz val="11"/>
        <color rgb="FF000000"/>
        <rFont val="微软雅黑"/>
        <charset val="134"/>
      </rPr>
      <t xml:space="preserve">  </t>
    </r>
    <r>
      <rPr>
        <sz val="11"/>
        <color rgb="FF000000"/>
        <rFont val="微软雅黑"/>
        <charset val="134"/>
      </rPr>
      <t>海关操作成功 报关单已放行</t>
    </r>
  </si>
  <si>
    <t>330120260000014340</t>
  </si>
  <si>
    <t>JNG0308503</t>
  </si>
  <si>
    <t>3.31 申请人工放行 海关操作成功 报关单已放行</t>
  </si>
  <si>
    <t>230520260056529143</t>
  </si>
  <si>
    <t>JNG0308523</t>
  </si>
  <si>
    <t>230520260056529145</t>
  </si>
  <si>
    <t>JNG0308523A</t>
  </si>
  <si>
    <t>230820260086574218</t>
  </si>
  <si>
    <t>ONEYNK5GF4219700</t>
  </si>
  <si>
    <t>4.1 查验</t>
  </si>
  <si>
    <t>4.1 提交查验计划，查验完成 报关单已放行</t>
  </si>
  <si>
    <t>230820260086574422</t>
  </si>
  <si>
    <t>TLNJLCJH26051028</t>
  </si>
  <si>
    <t>4.1 申报审结，涉及许可证 需要人工审单</t>
  </si>
  <si>
    <r>
      <t>4.1 申请人工放行</t>
    </r>
    <r>
      <rPr>
        <sz val="11"/>
        <color rgb="FF000000"/>
        <rFont val="微软雅黑"/>
        <charset val="134"/>
      </rPr>
      <t xml:space="preserve">  </t>
    </r>
    <r>
      <rPr>
        <sz val="11"/>
        <color rgb="FF000000"/>
        <rFont val="微软雅黑"/>
        <charset val="134"/>
      </rPr>
      <t>海关操作成功 报关单已放行</t>
    </r>
  </si>
  <si>
    <t>230820260086574687</t>
  </si>
  <si>
    <t>177MJCJCJ029447W</t>
  </si>
  <si>
    <t>4.1 申报审结，涉及电机 需要人工审单</t>
  </si>
  <si>
    <t>230820260086574681</t>
  </si>
  <si>
    <t>EGLV145699504161</t>
  </si>
  <si>
    <r>
      <t>4.1</t>
    </r>
    <r>
      <rPr>
        <sz val="11"/>
        <color rgb="FF000000"/>
        <rFont val="微软雅黑"/>
        <charset val="134"/>
      </rPr>
      <t xml:space="preserve">  </t>
    </r>
    <r>
      <rPr>
        <sz val="11"/>
        <color rgb="FF000000"/>
        <rFont val="微软雅黑"/>
        <charset val="134"/>
      </rPr>
      <t>查验</t>
    </r>
  </si>
  <si>
    <r>
      <t>4.1 提交查验计划，待海关操作</t>
    </r>
    <r>
      <rPr>
        <sz val="11"/>
        <color rgb="FF000000"/>
        <rFont val="微软雅黑"/>
        <charset val="134"/>
      </rPr>
      <t xml:space="preserve">
</t>
    </r>
    <r>
      <rPr>
        <sz val="11"/>
        <color rgb="FF000000"/>
        <rFont val="微软雅黑"/>
        <charset val="134"/>
      </rPr>
      <t>4.2 查验完成，报关单已放行</t>
    </r>
  </si>
  <si>
    <t>230520260056521827</t>
  </si>
  <si>
    <t>3.11 申报放行 4.1 接代理通知因中东战争原因需改配</t>
  </si>
  <si>
    <r>
      <t>4.1 提交删单，海关受理</t>
    </r>
    <r>
      <rPr>
        <sz val="11"/>
        <color rgb="FF000000"/>
        <rFont val="微软雅黑"/>
        <charset val="134"/>
      </rPr>
      <t xml:space="preserve">
</t>
    </r>
    <r>
      <rPr>
        <sz val="11"/>
        <color rgb="FF000000"/>
        <rFont val="微软雅黑"/>
        <charset val="134"/>
      </rPr>
      <t>4.2 改单成功</t>
    </r>
  </si>
  <si>
    <t>230520260056529712</t>
  </si>
  <si>
    <t>EGLV145699813473</t>
  </si>
  <si>
    <t>230520260056529721</t>
  </si>
  <si>
    <t>EGLV145699813414</t>
  </si>
  <si>
    <t>4.1 运抵正常未放行，人工放行</t>
  </si>
  <si>
    <t>230520260056521858</t>
  </si>
  <si>
    <t>230520260056530066</t>
  </si>
  <si>
    <t>COAU7267776872</t>
  </si>
  <si>
    <t>230820260086575196</t>
  </si>
  <si>
    <t>JNG0312753A</t>
  </si>
  <si>
    <r>
      <t>4.1 申请人工放行</t>
    </r>
    <r>
      <rPr>
        <sz val="11"/>
        <color rgb="FF000000"/>
        <rFont val="微软雅黑"/>
        <charset val="134"/>
      </rPr>
      <t xml:space="preserve">  </t>
    </r>
    <r>
      <rPr>
        <sz val="11"/>
        <color rgb="FF000000"/>
        <rFont val="微软雅黑"/>
        <charset val="134"/>
      </rPr>
      <t>待海关操作</t>
    </r>
    <r>
      <rPr>
        <sz val="11"/>
        <color rgb="FF000000"/>
        <rFont val="微软雅黑"/>
        <charset val="134"/>
      </rPr>
      <t xml:space="preserve">
</t>
    </r>
    <r>
      <rPr>
        <sz val="11"/>
        <color rgb="FF000000"/>
        <rFont val="微软雅黑"/>
        <charset val="134"/>
      </rPr>
      <t>4.2 海关操作成功 报关单已放行</t>
    </r>
  </si>
  <si>
    <t>230820260086575195</t>
  </si>
  <si>
    <t>JNG0312753B</t>
  </si>
  <si>
    <t>230820260086575527</t>
  </si>
  <si>
    <t>CAJ0161964</t>
  </si>
  <si>
    <t>4.2 查验</t>
  </si>
  <si>
    <t>4.2 查验完成 报关单已放行</t>
  </si>
  <si>
    <t>230820260086575378</t>
  </si>
  <si>
    <t>4.2 运抵正常未放行，人工放行</t>
  </si>
  <si>
    <t>4.2 申请人工放行，海关操作成功，报关单已放行</t>
  </si>
  <si>
    <t>230820260086575935</t>
  </si>
  <si>
    <t>JNG0312483B</t>
  </si>
  <si>
    <t>4.2 申报审结，涉及许可证 需要人工审单</t>
  </si>
  <si>
    <t>4.2 申请人工放行 海关操作成功 报关单已放行</t>
  </si>
  <si>
    <t>230820260086576214</t>
  </si>
  <si>
    <t>OOLU2323498090</t>
  </si>
  <si>
    <t>4.3 提交查验计划 查验完成，报关单已放行</t>
  </si>
  <si>
    <t>230820260086576090</t>
  </si>
  <si>
    <t>ONEYNK2WF2761900</t>
  </si>
  <si>
    <t>4.2 运抵正常未放行，人工放行 4.3 海关研判:1.2项具体功能参数，对照2B352.f.2说明研判两项不属于管制</t>
  </si>
  <si>
    <r>
      <t>4.2 申请人工放行 待海关操作</t>
    </r>
    <r>
      <rPr>
        <sz val="11"/>
        <color rgb="FF000000"/>
        <rFont val="微软雅黑"/>
        <charset val="134"/>
      </rPr>
      <t xml:space="preserve">
</t>
    </r>
    <r>
      <rPr>
        <sz val="11"/>
        <color rgb="FF000000"/>
        <rFont val="微软雅黑"/>
        <charset val="134"/>
      </rPr>
      <t>4.3 海关研判 联系美的提供情况说明</t>
    </r>
    <r>
      <rPr>
        <sz val="11"/>
        <color rgb="FF000000"/>
        <rFont val="微软雅黑"/>
        <charset val="134"/>
      </rPr>
      <t xml:space="preserve">
</t>
    </r>
    <r>
      <rPr>
        <sz val="11"/>
        <color rgb="FF000000"/>
        <rFont val="微软雅黑"/>
        <charset val="134"/>
      </rPr>
      <t>4.7 海关审批。更新情况说明，待审核</t>
    </r>
    <r>
      <rPr>
        <sz val="11"/>
        <color rgb="FF000000"/>
        <rFont val="微软雅黑"/>
        <charset val="134"/>
      </rPr>
      <t xml:space="preserve">
</t>
    </r>
    <r>
      <rPr>
        <sz val="11"/>
        <color rgb="FF000000"/>
        <rFont val="微软雅黑"/>
        <charset val="134"/>
      </rPr>
      <t>4.8 情况说明已提交海关</t>
    </r>
    <r>
      <rPr>
        <sz val="11"/>
        <color rgb="FF000000"/>
        <rFont val="微软雅黑"/>
        <charset val="134"/>
      </rPr>
      <t xml:space="preserve">
</t>
    </r>
    <r>
      <rPr>
        <sz val="11"/>
        <color rgb="FF000000"/>
        <rFont val="微软雅黑"/>
        <charset val="134"/>
      </rPr>
      <t>4.9 研判小组讨论</t>
    </r>
    <r>
      <rPr>
        <sz val="11"/>
        <color rgb="FF000000"/>
        <rFont val="微软雅黑"/>
        <charset val="134"/>
      </rPr>
      <t xml:space="preserve">
</t>
    </r>
    <r>
      <rPr>
        <sz val="11"/>
        <color rgb="FF000000"/>
        <rFont val="微软雅黑"/>
        <charset val="134"/>
      </rPr>
      <t>4.10 补传情况说明 报关单已放行，申请改配 海关操作成功</t>
    </r>
    <r>
      <rPr>
        <sz val="11"/>
        <color rgb="FF000000"/>
        <rFont val="微软雅黑"/>
        <charset val="134"/>
      </rPr>
      <t xml:space="preserve"> </t>
    </r>
  </si>
  <si>
    <t>230820260086576252</t>
  </si>
  <si>
    <t>JNG0312502</t>
  </si>
  <si>
    <t>222920260001252972</t>
  </si>
  <si>
    <t>CPL0435008P1</t>
  </si>
  <si>
    <t>4.2 海关挂起，G7\8铝合金规范申报，线上改单</t>
  </si>
  <si>
    <r>
      <t>4.2 联系通关代表审核申报要素，提供改单资料</t>
    </r>
    <r>
      <rPr>
        <sz val="11"/>
        <color rgb="FF000000"/>
        <rFont val="微软雅黑"/>
        <charset val="134"/>
      </rPr>
      <t xml:space="preserve">
</t>
    </r>
    <r>
      <rPr>
        <sz val="11"/>
        <color rgb="FF000000"/>
        <rFont val="微软雅黑"/>
        <charset val="134"/>
      </rPr>
      <t>4.3 补传资料后放行</t>
    </r>
  </si>
  <si>
    <t>222920260001253311</t>
  </si>
  <si>
    <t>COAU7267832870</t>
  </si>
  <si>
    <t>4.2 海关挂起，G6铝合金规范申报，线上改单</t>
  </si>
  <si>
    <t>232720260276565351</t>
  </si>
  <si>
    <t>TLTCLCJH26051014</t>
  </si>
  <si>
    <r>
      <t>4.2</t>
    </r>
    <r>
      <rPr>
        <sz val="11"/>
        <color rgb="FF000000"/>
        <rFont val="微软雅黑"/>
        <charset val="134"/>
      </rPr>
      <t xml:space="preserve">  </t>
    </r>
    <r>
      <rPr>
        <sz val="11"/>
        <color rgb="FF000000"/>
        <rFont val="微软雅黑"/>
        <charset val="134"/>
      </rPr>
      <t>运抵正常卡审结，申请人工放行 ，车队未回复截关期</t>
    </r>
    <r>
      <rPr>
        <sz val="11"/>
        <color rgb="FF000000"/>
        <rFont val="微软雅黑"/>
        <charset val="134"/>
      </rPr>
      <t xml:space="preserve">
</t>
    </r>
    <r>
      <rPr>
        <sz val="11"/>
        <color rgb="FF000000"/>
        <rFont val="微软雅黑"/>
        <charset val="134"/>
      </rPr>
      <t>4.3 海关操作成功 报关单已放行</t>
    </r>
    <r>
      <rPr>
        <sz val="11"/>
        <color rgb="FF000000"/>
        <rFont val="微软雅黑"/>
        <charset val="134"/>
      </rPr>
      <t xml:space="preserve"> </t>
    </r>
  </si>
  <si>
    <t>232820260286540809</t>
  </si>
  <si>
    <t>177FZEZES857141</t>
  </si>
  <si>
    <t>3.30 申报放行。4.2 接代理通知，因未赶上原船，需删单改配</t>
  </si>
  <si>
    <r>
      <t>4.2 待代理提供未上船证明和在港证明</t>
    </r>
    <r>
      <rPr>
        <sz val="11"/>
        <color rgb="FF000000"/>
        <rFont val="微软雅黑"/>
        <charset val="134"/>
      </rPr>
      <t xml:space="preserve">
</t>
    </r>
    <r>
      <rPr>
        <sz val="11"/>
        <color rgb="FF000000"/>
        <rFont val="微软雅黑"/>
        <charset val="134"/>
      </rPr>
      <t>4.3 车队提供未上传证明，现场提供在港证明，节后删单。</t>
    </r>
    <r>
      <rPr>
        <sz val="11"/>
        <color rgb="FF000000"/>
        <rFont val="微软雅黑"/>
        <charset val="134"/>
      </rPr>
      <t xml:space="preserve">
</t>
    </r>
    <r>
      <rPr>
        <sz val="11"/>
        <color rgb="FF000000"/>
        <rFont val="微软雅黑"/>
        <charset val="134"/>
      </rPr>
      <t>4.7 发起删单，删单已完成</t>
    </r>
    <r>
      <rPr>
        <sz val="11"/>
        <color rgb="FF000000"/>
        <rFont val="微软雅黑"/>
        <charset val="134"/>
      </rPr>
      <t xml:space="preserve">
</t>
    </r>
    <r>
      <rPr>
        <sz val="11"/>
        <color rgb="FF000000"/>
        <rFont val="微软雅黑"/>
        <charset val="134"/>
      </rPr>
      <t>4.8 车队通知需要提离港区，准备资料，同步现场待海关审批处理</t>
    </r>
    <r>
      <rPr>
        <sz val="11"/>
        <color rgb="FF000000"/>
        <rFont val="微软雅黑"/>
        <charset val="134"/>
      </rPr>
      <t xml:space="preserve">
</t>
    </r>
    <r>
      <rPr>
        <sz val="11"/>
        <color rgb="FF000000"/>
        <rFont val="微软雅黑"/>
        <charset val="134"/>
      </rPr>
      <t>4.9提离手续已办好。</t>
    </r>
  </si>
  <si>
    <t>232820260286540811</t>
  </si>
  <si>
    <t>177FZEZES857142</t>
  </si>
  <si>
    <t>232820260286540812</t>
  </si>
  <si>
    <t>177FZEZES857160</t>
  </si>
  <si>
    <r>
      <t>未申报</t>
    </r>
    <r>
      <rPr>
        <sz val="11"/>
        <color rgb="FF000000"/>
        <rFont val="微软雅黑"/>
        <charset val="134"/>
      </rPr>
      <t xml:space="preserve">            </t>
    </r>
  </si>
  <si>
    <t>TLTCOSJI26081029</t>
  </si>
  <si>
    <t>4.2 未申报 接美的车队通知，需要未报关提离退柜</t>
  </si>
  <si>
    <t>4.2 提离办理成功，已通知车队到现场拿单提箱</t>
  </si>
  <si>
    <t>310120260519308355</t>
  </si>
  <si>
    <t>NGBSB26004276</t>
  </si>
  <si>
    <t>2.5申报放行 4.1 接美的通知，因为中东地区战争需要退柜</t>
  </si>
  <si>
    <r>
      <t>4.2 下午代理提供在港证明，已发起删单</t>
    </r>
    <r>
      <rPr>
        <sz val="11"/>
        <color rgb="FF000000"/>
        <rFont val="微软雅黑"/>
        <charset val="134"/>
      </rPr>
      <t xml:space="preserve">
</t>
    </r>
    <r>
      <rPr>
        <sz val="11"/>
        <color rgb="FF000000"/>
        <rFont val="微软雅黑"/>
        <charset val="134"/>
      </rPr>
      <t>4.3 等待海关操作，删单已好</t>
    </r>
    <r>
      <rPr>
        <sz val="11"/>
        <color rgb="FF000000"/>
        <rFont val="微软雅黑"/>
        <charset val="134"/>
      </rPr>
      <t xml:space="preserve">
</t>
    </r>
    <r>
      <rPr>
        <sz val="11"/>
        <color rgb="FF000000"/>
        <rFont val="微软雅黑"/>
        <charset val="134"/>
      </rPr>
      <t>4.9</t>
    </r>
    <r>
      <rPr>
        <sz val="11"/>
        <color rgb="FF000000"/>
        <rFont val="微软雅黑"/>
        <charset val="134"/>
      </rPr>
      <t xml:space="preserve">  </t>
    </r>
    <r>
      <rPr>
        <sz val="11"/>
        <color rgb="FF000000"/>
        <rFont val="微软雅黑"/>
        <charset val="134"/>
      </rPr>
      <t>美的通知办理重箱出卡，已反馈现场，办理完成</t>
    </r>
  </si>
  <si>
    <t>310120260518767269</t>
  </si>
  <si>
    <t>177PBPBPN6B791A</t>
  </si>
  <si>
    <t>4.1 箱号MEDU8560600 因锁孔变形未上船，需要删单。</t>
  </si>
  <si>
    <t>4.2 代理提供未出运证明。提供资料，发起删单，已删单成功。</t>
  </si>
  <si>
    <r>
      <t>未申报</t>
    </r>
    <r>
      <rPr>
        <sz val="11"/>
        <color rgb="FF000000"/>
        <rFont val="微软雅黑"/>
        <charset val="134"/>
      </rPr>
      <t xml:space="preserve">             </t>
    </r>
  </si>
  <si>
    <t>TLTCOSJX26072502</t>
  </si>
  <si>
    <t>230820260086553963</t>
  </si>
  <si>
    <t>3.10 申报放行 4.2 接代理通知更改 提单号为：267801906，航次：2614E。原提单号： 266418989 航次：2611E</t>
  </si>
  <si>
    <t>4.3 申请改提单号改配，海关操作成功</t>
  </si>
  <si>
    <t>230520260056517401</t>
  </si>
  <si>
    <t>COSU6445332610</t>
  </si>
  <si>
    <t>2.26 申报放行 4.3 接代理因为中东地区战争通知改靠区</t>
  </si>
  <si>
    <r>
      <t>4.3 提交改单，待海关操作</t>
    </r>
    <r>
      <rPr>
        <sz val="11"/>
        <color rgb="FF000000"/>
        <rFont val="微软雅黑"/>
        <charset val="134"/>
      </rPr>
      <t xml:space="preserve">
</t>
    </r>
    <r>
      <rPr>
        <sz val="11"/>
        <color rgb="FF000000"/>
        <rFont val="微软雅黑"/>
        <charset val="134"/>
      </rPr>
      <t>4.7 海关操作成功 改单已好</t>
    </r>
  </si>
  <si>
    <t>230820260086576532</t>
  </si>
  <si>
    <t>177TJAJAJ02285Z</t>
  </si>
  <si>
    <t>4.2申报放行 4.3 代理通知推船</t>
  </si>
  <si>
    <t>4.3 申请改配，海关操作成功</t>
  </si>
  <si>
    <t>330120260000015387</t>
  </si>
  <si>
    <t>COSU6448986940</t>
  </si>
  <si>
    <t>4.3 运抵正常未放行，人工放行</t>
  </si>
  <si>
    <t>4.7 运抵正常卡审结，申请人工放行，海关操作成功 报关单已放行</t>
  </si>
  <si>
    <t>330120260000015087</t>
  </si>
  <si>
    <t>ONEYNKGG04617500</t>
  </si>
  <si>
    <t>4.2 申报审结 4.7 接通关代表通知，因为品质问题需要退回工厂进行整修后出口 箱号：TCLU7940962/NYKU0804461，共三高柜</t>
  </si>
  <si>
    <r>
      <t>4.7 咨询现场海关，关于报关单申报三柜仅退关两柜的操作可行性。</t>
    </r>
    <r>
      <rPr>
        <sz val="11"/>
        <color rgb="FF000000"/>
        <rFont val="微软雅黑"/>
        <charset val="134"/>
      </rPr>
      <t xml:space="preserve">
</t>
    </r>
    <r>
      <rPr>
        <sz val="11"/>
        <color rgb="FF000000"/>
        <rFont val="微软雅黑"/>
        <charset val="134"/>
      </rPr>
      <t>4.8 海关答复需全票集装箱退回，代理核实具体情况 是否安排全部退柜</t>
    </r>
    <r>
      <rPr>
        <sz val="11"/>
        <color rgb="FF000000"/>
        <rFont val="微软雅黑"/>
        <charset val="134"/>
      </rPr>
      <t xml:space="preserve">
</t>
    </r>
    <r>
      <rPr>
        <sz val="11"/>
        <color rgb="FF000000"/>
        <rFont val="微软雅黑"/>
        <charset val="134"/>
      </rPr>
      <t>4.17 资料寄出给现场</t>
    </r>
    <r>
      <rPr>
        <sz val="11"/>
        <color rgb="FF000000"/>
        <rFont val="微软雅黑"/>
        <charset val="134"/>
      </rPr>
      <t xml:space="preserve">
</t>
    </r>
    <r>
      <rPr>
        <sz val="11"/>
        <color rgb="FF000000"/>
        <rFont val="微软雅黑"/>
        <charset val="134"/>
      </rPr>
      <t>4.20 查验完成，待删单</t>
    </r>
    <r>
      <rPr>
        <sz val="11"/>
        <color rgb="FF000000"/>
        <rFont val="微软雅黑"/>
        <charset val="134"/>
      </rPr>
      <t xml:space="preserve">
</t>
    </r>
    <r>
      <rPr>
        <sz val="11"/>
        <color rgb="FF000000"/>
        <rFont val="微软雅黑"/>
        <charset val="134"/>
      </rPr>
      <t>4.21 提交删单，待海关操作</t>
    </r>
    <r>
      <rPr>
        <sz val="11"/>
        <color rgb="FF000000"/>
        <rFont val="微软雅黑"/>
        <charset val="134"/>
      </rPr>
      <t xml:space="preserve">
</t>
    </r>
    <r>
      <rPr>
        <sz val="11"/>
        <color rgb="FF000000"/>
        <rFont val="微软雅黑"/>
        <charset val="134"/>
      </rPr>
      <t>4.22 删单已好</t>
    </r>
    <r>
      <rPr>
        <sz val="11"/>
        <color rgb="FF000000"/>
        <rFont val="微软雅黑"/>
        <charset val="134"/>
      </rPr>
      <t xml:space="preserve"> </t>
    </r>
  </si>
  <si>
    <t>330120260000015086</t>
  </si>
  <si>
    <t>ONEYNKGG04617500A</t>
  </si>
  <si>
    <t>4.2 申报审结 4.7 接通关代表通知，因为品质问题需要退回工厂进行整修后出口 箱号：GAOU6621201</t>
  </si>
  <si>
    <t>330120260000015085</t>
  </si>
  <si>
    <t>ONEYNKGG04617500B</t>
  </si>
  <si>
    <t>230520260056532294</t>
  </si>
  <si>
    <t>HLCUNK22603APZT8C</t>
  </si>
  <si>
    <t>4.7 申报审结，含电机，需人工放行</t>
  </si>
  <si>
    <t>4.8 申请人工放行，海关操作成功 报关单已放行</t>
  </si>
  <si>
    <t>230520260056532045</t>
  </si>
  <si>
    <t>HLCUNK22603AQGN0</t>
  </si>
  <si>
    <t>4.7 查验</t>
  </si>
  <si>
    <t>4.7 提交查验计划 查验完成 报关单已放行</t>
  </si>
  <si>
    <t>230520260056531799</t>
  </si>
  <si>
    <t>JNG0310692</t>
  </si>
  <si>
    <t>4.4 查验</t>
  </si>
  <si>
    <t>230820260086578231</t>
  </si>
  <si>
    <t>TLNJJKJJ26081023A</t>
  </si>
  <si>
    <t>4.7 申报审结，涉许可证，需人工审单</t>
  </si>
  <si>
    <t>4.7 申请人工放行，海关操作成功，报关单已放行</t>
  </si>
  <si>
    <t>230820260086578232</t>
  </si>
  <si>
    <t>TLNJJKJJ26081023B</t>
  </si>
  <si>
    <t>230820260086578227</t>
  </si>
  <si>
    <t>TLNJJKJJ26081023C</t>
  </si>
  <si>
    <t>230820260086578229</t>
  </si>
  <si>
    <t>TLNJJKJJ26081023D</t>
  </si>
  <si>
    <t>230820260086578654</t>
  </si>
  <si>
    <t>177TJWJWJ051264S</t>
  </si>
  <si>
    <t>4.7 运抵正常未放行，人工放行</t>
  </si>
  <si>
    <t>230820260086580084</t>
  </si>
  <si>
    <t>JNG0313021A</t>
  </si>
  <si>
    <t>4.8 申报审结，涉许可证，需人工审单</t>
  </si>
  <si>
    <r>
      <t>4.8 申请人工放行，海关操作成功，报关单已放行</t>
    </r>
    <r>
      <rPr>
        <sz val="11"/>
        <color rgb="FF000000"/>
        <rFont val="微软雅黑"/>
        <charset val="134"/>
      </rPr>
      <t xml:space="preserve">
</t>
    </r>
    <r>
      <rPr>
        <sz val="11"/>
        <color rgb="FF000000"/>
        <rFont val="微软雅黑"/>
        <charset val="134"/>
      </rPr>
      <t>4.16 申请改配，海关操作成功</t>
    </r>
  </si>
  <si>
    <t>230820260086580079</t>
  </si>
  <si>
    <t>JNG0313021C</t>
  </si>
  <si>
    <t>4.8 查验</t>
  </si>
  <si>
    <r>
      <t>4.9 提交查验计划，追加人工查验</t>
    </r>
    <r>
      <rPr>
        <sz val="11"/>
        <color rgb="FF000000"/>
        <rFont val="微软雅黑"/>
        <charset val="134"/>
      </rPr>
      <t xml:space="preserve">
</t>
    </r>
    <r>
      <rPr>
        <sz val="11"/>
        <color rgb="FF000000"/>
        <rFont val="微软雅黑"/>
        <charset val="134"/>
      </rPr>
      <t>4.13 海关对“彩涂钢板”品名提出疑问：外包装品名为翻板和申报品名不一致，联系通关代表提供情况说明；已提供情况说明，现场递交海关，待海关审批</t>
    </r>
    <r>
      <rPr>
        <sz val="11"/>
        <color rgb="FF000000"/>
        <rFont val="微软雅黑"/>
        <charset val="134"/>
      </rPr>
      <t xml:space="preserve">
</t>
    </r>
    <r>
      <rPr>
        <sz val="11"/>
        <color rgb="FF000000"/>
        <rFont val="微软雅黑"/>
        <charset val="134"/>
      </rPr>
      <t>4.14 海关审核通过，报关单已放行</t>
    </r>
  </si>
  <si>
    <t>230820260086579502</t>
  </si>
  <si>
    <t>COSU6448807420</t>
  </si>
  <si>
    <t>4.8 提交查验计划 海关操作成功，报关单已放行</t>
  </si>
  <si>
    <t>330120260000015812</t>
  </si>
  <si>
    <t>4.9 提交查验计划 海关操作成功，报关单已放行</t>
  </si>
  <si>
    <t>230820260086580147</t>
  </si>
  <si>
    <t>177FJTJTJ057290X</t>
  </si>
  <si>
    <t>230520260056532922</t>
  </si>
  <si>
    <t>NOSZJ26LB10000C</t>
  </si>
  <si>
    <r>
      <t>4.9</t>
    </r>
    <r>
      <rPr>
        <sz val="11"/>
        <color rgb="FF000000"/>
        <rFont val="微软雅黑"/>
        <charset val="134"/>
      </rPr>
      <t xml:space="preserve">  </t>
    </r>
    <r>
      <rPr>
        <sz val="11"/>
        <color rgb="FF000000"/>
        <rFont val="微软雅黑"/>
        <charset val="134"/>
      </rPr>
      <t>申报审结，含电机，需人工放行</t>
    </r>
  </si>
  <si>
    <t>4.9 申请人工放行，海关操作成功，报关单已放行</t>
  </si>
  <si>
    <t>230520260056532896</t>
  </si>
  <si>
    <t>NOSZJ26LB10004C</t>
  </si>
  <si>
    <t>230520260056532890</t>
  </si>
  <si>
    <t>NOSZJ26LB10001C</t>
  </si>
  <si>
    <t>230820260086580550</t>
  </si>
  <si>
    <t>JNG0312144A</t>
  </si>
  <si>
    <r>
      <t>4.9</t>
    </r>
    <r>
      <rPr>
        <sz val="11"/>
        <color rgb="FF000000"/>
        <rFont val="微软雅黑"/>
        <charset val="134"/>
      </rPr>
      <t xml:space="preserve">  </t>
    </r>
    <r>
      <rPr>
        <sz val="11"/>
        <color rgb="FF000000"/>
        <rFont val="微软雅黑"/>
        <charset val="134"/>
      </rPr>
      <t>申报审结，涉许可证，需人工审单</t>
    </r>
  </si>
  <si>
    <t>230820260086580558</t>
  </si>
  <si>
    <t>JNG0312144C</t>
  </si>
  <si>
    <t>223120260001394326</t>
  </si>
  <si>
    <t>W237302699</t>
  </si>
  <si>
    <t>4.9 查验</t>
  </si>
  <si>
    <t>4.10 提交查验计划 查验完成，报关单已放行</t>
  </si>
  <si>
    <t>222920260000822506</t>
  </si>
  <si>
    <t>PKSCSHA2602617</t>
  </si>
  <si>
    <r>
      <t>4.10 准备资料</t>
    </r>
    <r>
      <rPr>
        <sz val="11"/>
        <color rgb="FF000000"/>
        <rFont val="微软雅黑"/>
        <charset val="134"/>
      </rPr>
      <t xml:space="preserve">
</t>
    </r>
    <r>
      <rPr>
        <sz val="11"/>
        <color rgb="FF000000"/>
        <rFont val="微软雅黑"/>
        <charset val="134"/>
      </rPr>
      <t>4.13发起删单，删单已完成。</t>
    </r>
  </si>
  <si>
    <t>230520260056514875</t>
  </si>
  <si>
    <t>NKAE60022600</t>
  </si>
  <si>
    <t>2.11申报放行，4.9美的和代理通知因中东战争原因 大船改靠区，需改单</t>
  </si>
  <si>
    <t>4.10 准备资料，删单已完成</t>
  </si>
  <si>
    <t>230520260056514885</t>
  </si>
  <si>
    <t>NKAE60022601</t>
  </si>
  <si>
    <t>230520260056514884</t>
  </si>
  <si>
    <t>NKAE60022602</t>
  </si>
  <si>
    <t>330120260000008905</t>
  </si>
  <si>
    <t>COSU6445104410</t>
  </si>
  <si>
    <t>2.27 申报放行，4.10 美的和代理通知因中东战争原因 需删单提离</t>
  </si>
  <si>
    <r>
      <t>4.10 准备资料，待集装箱卸船</t>
    </r>
    <r>
      <rPr>
        <sz val="11"/>
        <color rgb="FF000000"/>
        <rFont val="微软雅黑"/>
        <charset val="134"/>
      </rPr>
      <t xml:space="preserve">
</t>
    </r>
    <r>
      <rPr>
        <sz val="11"/>
        <color rgb="FF000000"/>
        <rFont val="微软雅黑"/>
        <charset val="134"/>
      </rPr>
      <t>4.13 删单退关，安排查验</t>
    </r>
    <r>
      <rPr>
        <sz val="11"/>
        <color rgb="FF000000"/>
        <rFont val="微软雅黑"/>
        <charset val="134"/>
      </rPr>
      <t xml:space="preserve">
</t>
    </r>
    <r>
      <rPr>
        <sz val="11"/>
        <color rgb="FF000000"/>
        <rFont val="微软雅黑"/>
        <charset val="134"/>
      </rPr>
      <t>4.14 删单完成</t>
    </r>
  </si>
  <si>
    <t>230520260056533456</t>
  </si>
  <si>
    <t>COSU644985604001</t>
  </si>
  <si>
    <t>4.10 申报审结，涉及电机 需要人工审单</t>
  </si>
  <si>
    <t>4.10 申请人工放行，海关操作成功，报关单已放行</t>
  </si>
  <si>
    <t>230820260086582582</t>
  </si>
  <si>
    <t>EGLV145699307403</t>
  </si>
  <si>
    <t>4.10 查验</t>
  </si>
  <si>
    <t>4.13 提交查验计划 海关操作成功，报关单已放行</t>
  </si>
  <si>
    <t>222920260001367385</t>
  </si>
  <si>
    <t>COAU7268010270</t>
  </si>
  <si>
    <t>4.10 海关挂起：商品11涉两用物项，请提供产品资料，包括极限抗拉强度、外径、形状。</t>
  </si>
  <si>
    <r>
      <t>4.10 已补传资料，货物未进港</t>
    </r>
    <r>
      <rPr>
        <sz val="11"/>
        <color rgb="FF000000"/>
        <rFont val="微软雅黑"/>
        <charset val="134"/>
      </rPr>
      <t xml:space="preserve">
</t>
    </r>
    <r>
      <rPr>
        <sz val="11"/>
        <color rgb="FF000000"/>
        <rFont val="微软雅黑"/>
        <charset val="134"/>
      </rPr>
      <t>4.11 海关审核，报关单已放行</t>
    </r>
  </si>
  <si>
    <t>472820260000030191</t>
  </si>
  <si>
    <t>4.12 海关挂起： 补传第4项商品 爪极式永磁同步电动机 参数</t>
  </si>
  <si>
    <r>
      <t>4.13 补传后再次挂起：请补传清晰的实物照片，美的提供照片，已补传，待海关审核</t>
    </r>
    <r>
      <rPr>
        <sz val="11"/>
        <color rgb="FF000000"/>
        <rFont val="微软雅黑"/>
        <charset val="134"/>
      </rPr>
      <t xml:space="preserve">
</t>
    </r>
    <r>
      <rPr>
        <sz val="11"/>
        <color rgb="FF000000"/>
        <rFont val="微软雅黑"/>
        <charset val="134"/>
      </rPr>
      <t>4.14 海关审核通过，报关单已放行</t>
    </r>
  </si>
  <si>
    <t>佛山市美的清湖净水设备有限公司</t>
  </si>
  <si>
    <t>330120260000016441</t>
  </si>
  <si>
    <t>OOLU232444216002</t>
  </si>
  <si>
    <t>330120260000016512</t>
  </si>
  <si>
    <t>JNG0312334A</t>
  </si>
  <si>
    <t>4.13 查验</t>
  </si>
  <si>
    <t>230820260086583592</t>
  </si>
  <si>
    <t>JNG0313390A</t>
  </si>
  <si>
    <t>4.13 申报审结，涉许可证，需人工审单</t>
  </si>
  <si>
    <t>4.13 申请人工放行，海关操作成功，报关单已放行</t>
  </si>
  <si>
    <t>230820260086583593</t>
  </si>
  <si>
    <t>JNG0313390B</t>
  </si>
  <si>
    <t>230820260086584210</t>
  </si>
  <si>
    <r>
      <t xml:space="preserve">4.13 提交查验计划 </t>
    </r>
    <r>
      <rPr>
        <sz val="11"/>
        <color rgb="FF000000"/>
        <rFont val="微软雅黑"/>
        <charset val="134"/>
      </rPr>
      <t xml:space="preserve">
</t>
    </r>
    <r>
      <rPr>
        <sz val="11"/>
        <color rgb="FF000000"/>
        <rFont val="微软雅黑"/>
        <charset val="134"/>
      </rPr>
      <t>4.14 海关操作成功，报关单已放行</t>
    </r>
  </si>
  <si>
    <t>230520260056534053</t>
  </si>
  <si>
    <t>JNG0313354A</t>
  </si>
  <si>
    <t>4.13 申报审结，含电机，需人工放行</t>
  </si>
  <si>
    <t>230520260056534052</t>
  </si>
  <si>
    <t>JNG0313354</t>
  </si>
  <si>
    <t>230520260056534227</t>
  </si>
  <si>
    <t>JNG0313355A</t>
  </si>
  <si>
    <t>4.13 申报审结，含许可证电机，需人工审单</t>
  </si>
  <si>
    <t>371120260000171836</t>
  </si>
  <si>
    <t>XIA1839301</t>
  </si>
  <si>
    <t>4.14 代理码头信息更新延迟，审结未放行</t>
  </si>
  <si>
    <t>4.14 联系福州外代重发运抵，运抵正常已放行</t>
  </si>
  <si>
    <t>230820260086583502</t>
  </si>
  <si>
    <t>COSU6450274240</t>
  </si>
  <si>
    <t>申报：4.13 申报审结未放行。反查原因制单航次报错，需改配</t>
  </si>
  <si>
    <t>4.14 申请人工放行，海关操作放行后改配。海关操作成功 报关单已放行</t>
  </si>
  <si>
    <t>310920260599979842</t>
  </si>
  <si>
    <t>4.14 审结未放行，申请人工放行</t>
  </si>
  <si>
    <r>
      <t>4.14 申请人工放行，待海关操作</t>
    </r>
    <r>
      <rPr>
        <sz val="11"/>
        <color rgb="FF000000"/>
        <rFont val="微软雅黑"/>
        <charset val="134"/>
      </rPr>
      <t xml:space="preserve">
</t>
    </r>
    <r>
      <rPr>
        <sz val="11"/>
        <color rgb="FF000000"/>
        <rFont val="微软雅黑"/>
        <charset val="134"/>
      </rPr>
      <t>4.15 海关挂起：提供第一项商品含磁部分具体组成元素及比例，联系通关代表提供， 美的于16点提供资料，已补传，待海关审核</t>
    </r>
    <r>
      <rPr>
        <sz val="11"/>
        <color rgb="FF000000"/>
        <rFont val="微软雅黑"/>
        <charset val="134"/>
      </rPr>
      <t xml:space="preserve">
</t>
    </r>
    <r>
      <rPr>
        <sz val="11"/>
        <color rgb="FF000000"/>
        <rFont val="微软雅黑"/>
        <charset val="134"/>
      </rPr>
      <t>4.16 审单完成，报关单放行</t>
    </r>
  </si>
  <si>
    <t>230520260056534500</t>
  </si>
  <si>
    <t>YMJAN241128020</t>
  </si>
  <si>
    <t>4.14 申报审结，含电机，需人工放行</t>
  </si>
  <si>
    <t>4.14 申请人工放行，海关操作成功，报关单已放行</t>
  </si>
  <si>
    <t>223320260000582114</t>
  </si>
  <si>
    <t>13105440466_4397524578</t>
  </si>
  <si>
    <t>4.5 申报放行 13号接代理通知因货物未做磁检，未能正常出运，需删单</t>
  </si>
  <si>
    <t>4.13 代理 美的资料寄出。发起删单，已删单成功，已通知代理领取提货单。</t>
  </si>
  <si>
    <t>223120260001394142</t>
  </si>
  <si>
    <t>4.11 查验</t>
  </si>
  <si>
    <t>4.11 提交查验计划 海关操作成功，报关单已放行</t>
  </si>
  <si>
    <t>230520260056534750</t>
  </si>
  <si>
    <t>OOLU216797324001</t>
  </si>
  <si>
    <t>330120260000016757</t>
  </si>
  <si>
    <t>KMTCWHI0023139</t>
  </si>
  <si>
    <t>4.14 审结未放行，做人工放行</t>
  </si>
  <si>
    <t>330120260000015910</t>
  </si>
  <si>
    <t>177PJTJTJ500298X</t>
  </si>
  <si>
    <r>
      <t>4.9 申报放行 4.14</t>
    </r>
    <r>
      <rPr>
        <sz val="11"/>
        <color rgb="FF000000"/>
        <rFont val="微软雅黑"/>
        <charset val="134"/>
      </rPr>
      <t xml:space="preserve">  </t>
    </r>
    <r>
      <rPr>
        <sz val="11"/>
        <color rgb="FF000000"/>
        <rFont val="微软雅黑"/>
        <charset val="134"/>
      </rPr>
      <t>接代理美的通知，订舱目的港变更，原提单号作废，需修改提单号</t>
    </r>
  </si>
  <si>
    <r>
      <t>4.14 准备资料，发起改单，待海关操作</t>
    </r>
    <r>
      <rPr>
        <sz val="11"/>
        <color rgb="FF000000"/>
        <rFont val="微软雅黑"/>
        <charset val="134"/>
      </rPr>
      <t xml:space="preserve">
</t>
    </r>
    <r>
      <rPr>
        <sz val="11"/>
        <color rgb="FF000000"/>
        <rFont val="微软雅黑"/>
        <charset val="134"/>
      </rPr>
      <t>4.15 海关操作成功</t>
    </r>
  </si>
  <si>
    <t>330120260000016867</t>
  </si>
  <si>
    <t>COSU6449467720</t>
  </si>
  <si>
    <t>4.14 查验</t>
  </si>
  <si>
    <t>4.15 提交查验计划 海关操作成功，报关单已放行</t>
  </si>
  <si>
    <t>230820260086583573</t>
  </si>
  <si>
    <t>COSU6450161000</t>
  </si>
  <si>
    <t>4.13 代理预配发错，改单 置空置回人工放行</t>
  </si>
  <si>
    <t>4.14 准备资料，发起改单置空，海关操作成功。代理删预配重新发，改单置回，人工放行 报关单已放行。</t>
  </si>
  <si>
    <t>230820260086584150</t>
  </si>
  <si>
    <t>4.13 申报海放未码放，代理推驳船没通知</t>
  </si>
  <si>
    <t>4.15 申请改配，海关操作成功</t>
  </si>
  <si>
    <t>230820260086585402</t>
  </si>
  <si>
    <t>JJMNJLCCNC600058</t>
  </si>
  <si>
    <t>230820260086585665</t>
  </si>
  <si>
    <t>NOSNJ26HF47212</t>
  </si>
  <si>
    <t>230820260086585691</t>
  </si>
  <si>
    <t>JNG0313037</t>
  </si>
  <si>
    <r>
      <t>4.15 集装箱在江北，待箱到龙潭港后提交查验计划</t>
    </r>
    <r>
      <rPr>
        <sz val="11"/>
        <color rgb="FF000000"/>
        <rFont val="微软雅黑"/>
        <charset val="134"/>
      </rPr>
      <t xml:space="preserve">
</t>
    </r>
    <r>
      <rPr>
        <sz val="11"/>
        <color rgb="FF000000"/>
        <rFont val="微软雅黑"/>
        <charset val="134"/>
      </rPr>
      <t>4.16 15:20代理通知集装箱到港，提交查验计划</t>
    </r>
    <r>
      <rPr>
        <sz val="11"/>
        <color rgb="FF000000"/>
        <rFont val="微软雅黑"/>
        <charset val="134"/>
      </rPr>
      <t xml:space="preserve">
</t>
    </r>
    <r>
      <rPr>
        <sz val="11"/>
        <color rgb="FF000000"/>
        <rFont val="微软雅黑"/>
        <charset val="134"/>
      </rPr>
      <t>4.17 查验完成 报关单已放行</t>
    </r>
  </si>
  <si>
    <t>222920260001435587</t>
  </si>
  <si>
    <t>WT184V40622</t>
  </si>
  <si>
    <t>4.15 查验</t>
  </si>
  <si>
    <r>
      <t>4.16 提交查验计划，机检完成，追加人工查验。查验压缩机数量与配件变频板不一致，海关扣单，联系通关代表，提供情况说明，待海关处理。</t>
    </r>
    <r>
      <rPr>
        <sz val="11"/>
        <color rgb="FF000000"/>
        <rFont val="微软雅黑"/>
        <charset val="134"/>
      </rPr>
      <t xml:space="preserve">
</t>
    </r>
    <r>
      <rPr>
        <sz val="11"/>
        <color rgb="FF000000"/>
        <rFont val="微软雅黑"/>
        <charset val="134"/>
      </rPr>
      <t>4.17 海关开出扣单（货物夹带），要求提供变频板采购增值税发票、情况说明、安排图纸等，联系通关代表处理</t>
    </r>
    <r>
      <rPr>
        <sz val="11"/>
        <color rgb="FF000000"/>
        <rFont val="微软雅黑"/>
        <charset val="134"/>
      </rPr>
      <t xml:space="preserve">
</t>
    </r>
    <r>
      <rPr>
        <sz val="11"/>
        <color rgb="FF000000"/>
        <rFont val="微软雅黑"/>
        <charset val="134"/>
      </rPr>
      <t>4.22 接海关通知，需要美的提供货值情况说明和商业发票，美的准备相关资料</t>
    </r>
    <r>
      <rPr>
        <sz val="11"/>
        <color rgb="FF000000"/>
        <rFont val="微软雅黑"/>
        <charset val="134"/>
      </rPr>
      <t xml:space="preserve">
</t>
    </r>
    <r>
      <rPr>
        <sz val="11"/>
        <color rgb="FF000000"/>
        <rFont val="微软雅黑"/>
        <charset val="134"/>
      </rPr>
      <t>4.23 17:30 美的提供相关资料</t>
    </r>
    <r>
      <rPr>
        <sz val="11"/>
        <color rgb="FF000000"/>
        <rFont val="微软雅黑"/>
        <charset val="134"/>
      </rPr>
      <t xml:space="preserve">
</t>
    </r>
    <r>
      <rPr>
        <sz val="11"/>
        <color rgb="FF000000"/>
        <rFont val="微软雅黑"/>
        <charset val="134"/>
      </rPr>
      <t>4.24 递交海关，海关查验科室意见：变频器无论是否和压缩机配套使用，均应单独申报</t>
    </r>
    <r>
      <rPr>
        <sz val="11"/>
        <color rgb="FF000000"/>
        <rFont val="微软雅黑"/>
        <charset val="134"/>
      </rPr>
      <t xml:space="preserve">
</t>
    </r>
    <r>
      <rPr>
        <sz val="11"/>
        <color rgb="FF000000"/>
        <rFont val="微软雅黑"/>
        <charset val="134"/>
      </rPr>
      <t xml:space="preserve">1、单独申报未报，系夹带；2、按货值折算，退税超过一万了 </t>
    </r>
    <r>
      <rPr>
        <sz val="11"/>
        <color rgb="FF000000"/>
        <rFont val="微软雅黑"/>
        <charset val="134"/>
      </rPr>
      <t xml:space="preserve">
</t>
    </r>
    <r>
      <rPr>
        <sz val="11"/>
        <color rgb="FF000000"/>
        <rFont val="微软雅黑"/>
        <charset val="134"/>
      </rPr>
      <t>海关的意见是要走两简，现场还在沟通中，尚未有明确沟通结果</t>
    </r>
    <r>
      <rPr>
        <sz val="11"/>
        <color rgb="FF000000"/>
        <rFont val="微软雅黑"/>
        <charset val="134"/>
      </rPr>
      <t xml:space="preserve">
</t>
    </r>
    <r>
      <rPr>
        <sz val="11"/>
        <color rgb="FF000000"/>
        <rFont val="微软雅黑"/>
        <charset val="134"/>
      </rPr>
      <t>4.28海关通知走两简案件处理，已通知美的准备资料寄出</t>
    </r>
    <r>
      <rPr>
        <sz val="11"/>
        <color rgb="FF000000"/>
        <rFont val="微软雅黑"/>
        <charset val="134"/>
      </rPr>
      <t xml:space="preserve">
</t>
    </r>
    <r>
      <rPr>
        <sz val="11"/>
        <color rgb="FF000000"/>
        <rFont val="微软雅黑"/>
        <charset val="134"/>
      </rPr>
      <t>4.29资料已寄出。</t>
    </r>
    <r>
      <rPr>
        <sz val="11"/>
        <color rgb="FF000000"/>
        <rFont val="微软雅黑"/>
        <charset val="134"/>
      </rPr>
      <t xml:space="preserve">
</t>
    </r>
    <r>
      <rPr>
        <sz val="11"/>
        <color rgb="FF000000"/>
        <rFont val="微软雅黑"/>
        <charset val="134"/>
      </rPr>
      <t>5.6 现场反馈需要变频板的产品资料，扫描件已递交海关，待海关审批</t>
    </r>
    <r>
      <rPr>
        <sz val="11"/>
        <color rgb="FF000000"/>
        <rFont val="微软雅黑"/>
        <charset val="134"/>
      </rPr>
      <t xml:space="preserve">
</t>
    </r>
    <r>
      <rPr>
        <sz val="11"/>
        <color rgb="FF000000"/>
        <rFont val="微软雅黑"/>
        <charset val="134"/>
      </rPr>
      <t>5.7 接现场反馈，法制科通知按夹藏处理，涉及处罚，已同步美的准备相关资料寄出</t>
    </r>
    <r>
      <rPr>
        <sz val="11"/>
        <color rgb="FF000000"/>
        <rFont val="微软雅黑"/>
        <charset val="134"/>
      </rPr>
      <t xml:space="preserve">
</t>
    </r>
    <r>
      <rPr>
        <sz val="11"/>
        <color rgb="FF000000"/>
        <rFont val="微软雅黑"/>
        <charset val="134"/>
      </rPr>
      <t>5.11 单据资料已准备好，差营业执照和法人身份证，资料齐全后寄出到现场</t>
    </r>
    <r>
      <rPr>
        <sz val="11"/>
        <color rgb="FF000000"/>
        <rFont val="微软雅黑"/>
        <charset val="134"/>
      </rPr>
      <t xml:space="preserve">
</t>
    </r>
    <r>
      <rPr>
        <sz val="11"/>
        <color rgb="FF000000"/>
        <rFont val="微软雅黑"/>
        <charset val="134"/>
      </rPr>
      <t>5.13 美的资料已寄出，等待现场收到资料盖章</t>
    </r>
    <r>
      <rPr>
        <sz val="11"/>
        <color rgb="FF000000"/>
        <rFont val="微软雅黑"/>
        <charset val="134"/>
      </rPr>
      <t xml:space="preserve">
</t>
    </r>
    <r>
      <rPr>
        <sz val="11"/>
        <color rgb="FF000000"/>
        <rFont val="微软雅黑"/>
        <charset val="134"/>
      </rPr>
      <t>5.18 现场反馈待海关通知后可递交资料</t>
    </r>
    <r>
      <rPr>
        <sz val="11"/>
        <color rgb="FF000000"/>
        <rFont val="微软雅黑"/>
        <charset val="134"/>
      </rPr>
      <t xml:space="preserve">
</t>
    </r>
    <r>
      <rPr>
        <sz val="11"/>
        <color rgb="FF000000"/>
        <rFont val="微软雅黑"/>
        <charset val="134"/>
      </rPr>
      <t>5.20 现场反馈部分资料有误，需重寄。已通知通关代表</t>
    </r>
    <r>
      <rPr>
        <sz val="11"/>
        <color rgb="FF000000"/>
        <rFont val="微软雅黑"/>
        <charset val="134"/>
      </rPr>
      <t xml:space="preserve">
</t>
    </r>
    <r>
      <rPr>
        <sz val="11"/>
        <color rgb="FF000000"/>
        <rFont val="微软雅黑"/>
        <charset val="134"/>
      </rPr>
      <t>5.22 正确资料已寄出</t>
    </r>
    <r>
      <rPr>
        <sz val="11"/>
        <color rgb="FF000000"/>
        <rFont val="微软雅黑"/>
        <charset val="134"/>
      </rPr>
      <t xml:space="preserve">
</t>
    </r>
    <r>
      <rPr>
        <sz val="11"/>
        <color rgb="FF000000"/>
        <rFont val="微软雅黑"/>
        <charset val="134"/>
      </rPr>
      <t>5.25 海关反馈要求重新提供资料</t>
    </r>
    <r>
      <rPr>
        <sz val="11"/>
        <color rgb="FF000000"/>
        <rFont val="微软雅黑"/>
        <charset val="134"/>
      </rPr>
      <t xml:space="preserve">
</t>
    </r>
    <r>
      <rPr>
        <sz val="11"/>
        <color rgb="FF000000"/>
        <rFont val="微软雅黑"/>
        <charset val="134"/>
      </rPr>
      <t>5.26 重新修整情况说明，待现场收到后递交法制科</t>
    </r>
    <r>
      <rPr>
        <sz val="11"/>
        <color rgb="FF000000"/>
        <rFont val="微软雅黑"/>
        <charset val="134"/>
      </rPr>
      <t xml:space="preserve">
</t>
    </r>
    <r>
      <rPr>
        <sz val="11"/>
        <color rgb="FF000000"/>
        <rFont val="微软雅黑"/>
        <charset val="134"/>
      </rPr>
      <t>5.28 重新修整情况说明，递交法制科待后续通知</t>
    </r>
  </si>
  <si>
    <t>230820260086578434</t>
  </si>
  <si>
    <t>177TJWJWJ051305S</t>
  </si>
  <si>
    <t>4.7申报放行 4.11 接代理需要推船</t>
  </si>
  <si>
    <t>230820260086578467</t>
  </si>
  <si>
    <t>177TJWJWJ051306S</t>
  </si>
  <si>
    <t>330120260000007742</t>
  </si>
  <si>
    <t>NKAE60024100</t>
  </si>
  <si>
    <t>2.12 申报放行，4.15 美的通知因中东战争原因 需删单</t>
  </si>
  <si>
    <r>
      <t>4.15 资料提交海关，待海关审批</t>
    </r>
    <r>
      <rPr>
        <sz val="11"/>
        <color rgb="FF000000"/>
        <rFont val="微软雅黑"/>
        <charset val="134"/>
      </rPr>
      <t xml:space="preserve">
</t>
    </r>
    <r>
      <rPr>
        <sz val="11"/>
        <color rgb="FF000000"/>
        <rFont val="微软雅黑"/>
        <charset val="134"/>
      </rPr>
      <t>4.16 资料审批完成，提交删单，删单已完成</t>
    </r>
  </si>
  <si>
    <t>230520260056535520</t>
  </si>
  <si>
    <t>ONEYNKGG06362400</t>
  </si>
  <si>
    <t>4.15 申报审结，含电机，需人工放行</t>
  </si>
  <si>
    <r>
      <t>4.15 申请人工放行，待海关操作</t>
    </r>
    <r>
      <rPr>
        <sz val="11"/>
        <color rgb="FF000000"/>
        <rFont val="微软雅黑"/>
        <charset val="134"/>
      </rPr>
      <t xml:space="preserve">
</t>
    </r>
    <r>
      <rPr>
        <sz val="11"/>
        <color rgb="FF000000"/>
        <rFont val="微软雅黑"/>
        <charset val="134"/>
      </rPr>
      <t>4.16 海关操作成功 报关单已放行</t>
    </r>
  </si>
  <si>
    <t>230520260056535282</t>
  </si>
  <si>
    <t>JNG0311168A</t>
  </si>
  <si>
    <t>4.15 申请人工放行，海关操作成功，报关单已放行</t>
  </si>
  <si>
    <t>230520260056535766</t>
  </si>
  <si>
    <t>177MJCJCJ229679W</t>
  </si>
  <si>
    <t>4.16 查验</t>
  </si>
  <si>
    <t>4.16 提交查验申请，查验完成，报关单已放行</t>
  </si>
  <si>
    <t>230520260056535764</t>
  </si>
  <si>
    <t>JNG0314596A</t>
  </si>
  <si>
    <t>4.16 申报审结，含电机，需人工放行</t>
  </si>
  <si>
    <t>4.16 申请人工放行，海关操作成功，报关单已放行</t>
  </si>
  <si>
    <t>230520260056535957</t>
  </si>
  <si>
    <t>JNG0314597A</t>
  </si>
  <si>
    <t>230820260086586996</t>
  </si>
  <si>
    <t>TLNJLCJR26041061</t>
  </si>
  <si>
    <t>4.16 申报审结，涉许可证，需人工审单</t>
  </si>
  <si>
    <r>
      <t>未申报</t>
    </r>
    <r>
      <rPr>
        <sz val="11"/>
        <color rgb="FF000000"/>
        <rFont val="微软雅黑"/>
        <charset val="134"/>
      </rPr>
      <t xml:space="preserve">              </t>
    </r>
  </si>
  <si>
    <t>HLCUNK2251136488</t>
  </si>
  <si>
    <t>4.15 接通关代表和代理通知因货物品质不过关 需办理重出空回。箱号：HAMU3267063/FANU5041354</t>
  </si>
  <si>
    <r>
      <t>4.15 准备资料。美的盖章寄出</t>
    </r>
    <r>
      <rPr>
        <sz val="11"/>
        <color rgb="FF000000"/>
        <rFont val="微软雅黑"/>
        <charset val="134"/>
      </rPr>
      <t xml:space="preserve">
</t>
    </r>
    <r>
      <rPr>
        <sz val="11"/>
        <color rgb="FF000000"/>
        <rFont val="微软雅黑"/>
        <charset val="134"/>
      </rPr>
      <t>4.16 待集装箱卸船进港后办理重出 重出已好</t>
    </r>
  </si>
  <si>
    <t>230820260086580080</t>
  </si>
  <si>
    <t>JNG0313021D</t>
  </si>
  <si>
    <r>
      <t>4.8 申报放行 拼票：JNG0313021A查验</t>
    </r>
    <r>
      <rPr>
        <sz val="11"/>
        <color rgb="FF000000"/>
        <rFont val="微软雅黑"/>
        <charset val="134"/>
      </rPr>
      <t xml:space="preserve">  </t>
    </r>
    <r>
      <rPr>
        <sz val="11"/>
        <color rgb="FF000000"/>
        <rFont val="微软雅黑"/>
        <charset val="134"/>
      </rPr>
      <t>4.16 推船改配</t>
    </r>
  </si>
  <si>
    <t>4.16 申请改配，海关操作成功</t>
  </si>
  <si>
    <t>230820260086580069</t>
  </si>
  <si>
    <t>JNG0313021</t>
  </si>
  <si>
    <t>230820260086580056</t>
  </si>
  <si>
    <t>JNG0313021B</t>
  </si>
  <si>
    <t>230820260086584312</t>
  </si>
  <si>
    <t>JNG0315640</t>
  </si>
  <si>
    <t>4.13 申报放行 4.16接代理通知改靠区</t>
  </si>
  <si>
    <t>4.16 准备资料 发起改单，海关操作成功 报关单已放行</t>
  </si>
  <si>
    <t>230520260056536170</t>
  </si>
  <si>
    <t>177MJCJCJ229701W</t>
  </si>
  <si>
    <t>4.17 申请人工放行，海关操作完成，报关单已放行</t>
  </si>
  <si>
    <t>230520260056536167</t>
  </si>
  <si>
    <t>JNG0312171A</t>
  </si>
  <si>
    <t>230520260056536435</t>
  </si>
  <si>
    <t>177BJAJAJ20258BZ</t>
  </si>
  <si>
    <t>4.17 申报审结，含电机，需人工放行</t>
  </si>
  <si>
    <t>4.17 提交查验计划 海关操作成功，报关单已放行</t>
  </si>
  <si>
    <t>230720260076510277</t>
  </si>
  <si>
    <t>JNG0315908</t>
  </si>
  <si>
    <t>4.17 查验</t>
  </si>
  <si>
    <r>
      <t>4.17 提交查验计划</t>
    </r>
    <r>
      <rPr>
        <sz val="11"/>
        <color rgb="FF000000"/>
        <rFont val="微软雅黑"/>
        <charset val="134"/>
      </rPr>
      <t xml:space="preserve">
</t>
    </r>
    <r>
      <rPr>
        <sz val="11"/>
        <color rgb="FF000000"/>
        <rFont val="微软雅黑"/>
        <charset val="134"/>
      </rPr>
      <t>4.20 安排查验，查验完成，报关单已放行，代理通知需要改船名航次</t>
    </r>
    <r>
      <rPr>
        <sz val="11"/>
        <color rgb="FF000000"/>
        <rFont val="微软雅黑"/>
        <charset val="134"/>
      </rPr>
      <t xml:space="preserve">
</t>
    </r>
    <r>
      <rPr>
        <sz val="11"/>
        <color rgb="FF000000"/>
        <rFont val="微软雅黑"/>
        <charset val="134"/>
      </rPr>
      <t>4.21 已发起改单，海关受理待操作</t>
    </r>
    <r>
      <rPr>
        <sz val="11"/>
        <color rgb="FF000000"/>
        <rFont val="微软雅黑"/>
        <charset val="134"/>
      </rPr>
      <t xml:space="preserve">
</t>
    </r>
    <r>
      <rPr>
        <sz val="11"/>
        <color rgb="FF000000"/>
        <rFont val="微软雅黑"/>
        <charset val="134"/>
      </rPr>
      <t>4.22 现场跟进 改单已完成。</t>
    </r>
  </si>
  <si>
    <t>230520260056536515</t>
  </si>
  <si>
    <t>177MJCJCJ229696W</t>
  </si>
  <si>
    <t>4.17 查验 4.23接通关代表通知，因货物存在品质问题，需删单退关退柜</t>
  </si>
  <si>
    <r>
      <t>4.17 提交查验计划</t>
    </r>
    <r>
      <rPr>
        <sz val="11"/>
        <color rgb="FF000000"/>
        <rFont val="微软雅黑"/>
        <charset val="134"/>
      </rPr>
      <t xml:space="preserve">
</t>
    </r>
    <r>
      <rPr>
        <sz val="11"/>
        <color rgb="FF000000"/>
        <rFont val="微软雅黑"/>
        <charset val="134"/>
      </rPr>
      <t>4.20 安排查验，查验完成，报关单已放行</t>
    </r>
    <r>
      <rPr>
        <sz val="11"/>
        <color rgb="FF000000"/>
        <rFont val="微软雅黑"/>
        <charset val="134"/>
      </rPr>
      <t xml:space="preserve">
</t>
    </r>
    <r>
      <rPr>
        <sz val="11"/>
        <color rgb="FF000000"/>
        <rFont val="微软雅黑"/>
        <charset val="134"/>
      </rPr>
      <t>4.28 集装箱回永嘉港，准备资料 发起删单</t>
    </r>
    <r>
      <rPr>
        <sz val="11"/>
        <color rgb="FF000000"/>
        <rFont val="微软雅黑"/>
        <charset val="134"/>
      </rPr>
      <t xml:space="preserve">
</t>
    </r>
    <r>
      <rPr>
        <sz val="11"/>
        <color rgb="FF000000"/>
        <rFont val="微软雅黑"/>
        <charset val="134"/>
      </rPr>
      <t>4.29 海关受理，待操作</t>
    </r>
    <r>
      <rPr>
        <sz val="11"/>
        <color rgb="FF000000"/>
        <rFont val="微软雅黑"/>
        <charset val="134"/>
      </rPr>
      <t xml:space="preserve">
</t>
    </r>
    <r>
      <rPr>
        <sz val="11"/>
        <color rgb="FF000000"/>
        <rFont val="微软雅黑"/>
        <charset val="134"/>
      </rPr>
      <t>4.30 删单已好</t>
    </r>
  </si>
  <si>
    <t>230820260086587595</t>
  </si>
  <si>
    <t>GOSUNNJ2005262</t>
  </si>
  <si>
    <t>4.16 申报放行，4.17 代理通知改配</t>
  </si>
  <si>
    <t>4.17 申请改配，海关操作成功</t>
  </si>
  <si>
    <t>230820260086588963</t>
  </si>
  <si>
    <t>ONEYNKGG05336400</t>
  </si>
  <si>
    <r>
      <t>4.17 提交查验计划</t>
    </r>
    <r>
      <rPr>
        <sz val="11"/>
        <color rgb="FF000000"/>
        <rFont val="微软雅黑"/>
        <charset val="134"/>
      </rPr>
      <t xml:space="preserve">
</t>
    </r>
    <r>
      <rPr>
        <sz val="11"/>
        <color rgb="FF000000"/>
        <rFont val="微软雅黑"/>
        <charset val="134"/>
      </rPr>
      <t>4.20 安排查验，查验完成，报关单已放行</t>
    </r>
  </si>
  <si>
    <t>230820260086589709</t>
  </si>
  <si>
    <t>4.20 放行后代理通知改配</t>
  </si>
  <si>
    <r>
      <t>4.20 提交改配申请，费用待确认</t>
    </r>
    <r>
      <rPr>
        <sz val="11"/>
        <color rgb="FF000000"/>
        <rFont val="微软雅黑"/>
        <charset val="134"/>
      </rPr>
      <t xml:space="preserve">
</t>
    </r>
    <r>
      <rPr>
        <sz val="11"/>
        <color rgb="FF000000"/>
        <rFont val="微软雅黑"/>
        <charset val="134"/>
      </rPr>
      <t>4.21 海关操作成功</t>
    </r>
  </si>
  <si>
    <t>芜湖中艺</t>
  </si>
  <si>
    <t>230520260056536939</t>
  </si>
  <si>
    <t>ONEYNKGG06637900C</t>
  </si>
  <si>
    <t>4月20日 申报审结，接代理通知，船务预配发错，需将报关单预配置空后重发预配后置回</t>
  </si>
  <si>
    <r>
      <t>4.20 确认费用，准备资料</t>
    </r>
    <r>
      <rPr>
        <sz val="11"/>
        <color rgb="FF000000"/>
        <rFont val="微软雅黑"/>
        <charset val="134"/>
      </rPr>
      <t xml:space="preserve">
</t>
    </r>
    <r>
      <rPr>
        <sz val="11"/>
        <color rgb="FF000000"/>
        <rFont val="微软雅黑"/>
        <charset val="134"/>
      </rPr>
      <t>4.21 提交改单置空，海关操作成功，代理删预配</t>
    </r>
    <r>
      <rPr>
        <sz val="11"/>
        <color rgb="FF000000"/>
        <rFont val="微软雅黑"/>
        <charset val="134"/>
      </rPr>
      <t xml:space="preserve">
</t>
    </r>
    <r>
      <rPr>
        <sz val="11"/>
        <color rgb="FF000000"/>
        <rFont val="微软雅黑"/>
        <charset val="134"/>
      </rPr>
      <t>4.22 提交改单置回，海关操作成功，报关单已放行</t>
    </r>
  </si>
  <si>
    <t>张家港外代</t>
  </si>
  <si>
    <t>230520260056537057</t>
  </si>
  <si>
    <t>ONEYNK5GR3862600</t>
  </si>
  <si>
    <t>4.20 申报审结，含电机，需人工放行。人工审单完成后 查验</t>
  </si>
  <si>
    <r>
      <t>4.20 申请人工审单，提交查验计划</t>
    </r>
    <r>
      <rPr>
        <sz val="11"/>
        <color rgb="FF000000"/>
        <rFont val="微软雅黑"/>
        <charset val="134"/>
      </rPr>
      <t xml:space="preserve">
</t>
    </r>
    <r>
      <rPr>
        <sz val="11"/>
        <color rgb="FF000000"/>
        <rFont val="微软雅黑"/>
        <charset val="134"/>
      </rPr>
      <t>4.21 查验完成，报关单已放行</t>
    </r>
  </si>
  <si>
    <t>230520260056537064</t>
  </si>
  <si>
    <t>ONEYNK5GR3861500</t>
  </si>
  <si>
    <r>
      <t xml:space="preserve">4.20 申请人工审单，提交查验计划 </t>
    </r>
    <r>
      <rPr>
        <sz val="11"/>
        <color rgb="FF000000"/>
        <rFont val="微软雅黑"/>
        <charset val="134"/>
      </rPr>
      <t xml:space="preserve">
</t>
    </r>
    <r>
      <rPr>
        <sz val="11"/>
        <color rgb="FF000000"/>
        <rFont val="微软雅黑"/>
        <charset val="134"/>
      </rPr>
      <t>4.21 查验完成，报关单已放行</t>
    </r>
  </si>
  <si>
    <t>230820260086588889</t>
  </si>
  <si>
    <t>EGLV145699308400</t>
  </si>
  <si>
    <t>4.18 查验</t>
  </si>
  <si>
    <r>
      <t>4.20 南京机检设备正在维修，预计停运一周，期间所有机检业务均无法操作，等机器恢复</t>
    </r>
    <r>
      <rPr>
        <sz val="11"/>
        <color rgb="FF000000"/>
        <rFont val="微软雅黑"/>
        <charset val="134"/>
      </rPr>
      <t xml:space="preserve">
</t>
    </r>
    <r>
      <rPr>
        <sz val="11"/>
        <color rgb="FF000000"/>
        <rFont val="微软雅黑"/>
        <charset val="134"/>
      </rPr>
      <t>4.23 提交查验计划，机检完成，报关单已放行</t>
    </r>
  </si>
  <si>
    <t>222920260001520279</t>
  </si>
  <si>
    <t>COAU726828506001</t>
  </si>
  <si>
    <t>4.20 挂起：要求补传产品图片</t>
  </si>
  <si>
    <t>4.20 已补传资料，海关审核，报关单已放行</t>
  </si>
  <si>
    <t>230820260086591118</t>
  </si>
  <si>
    <t>CAJ0162391</t>
  </si>
  <si>
    <t>4.20 查验</t>
  </si>
  <si>
    <t>230820260086591558</t>
  </si>
  <si>
    <t>177FJMJMJ009728X</t>
  </si>
  <si>
    <r>
      <t>4.20 南京机检设备正在维修，预计停运一周，期间所有机检业务均无法操作，等机器恢复</t>
    </r>
    <r>
      <rPr>
        <sz val="11"/>
        <color rgb="FF000000"/>
        <rFont val="微软雅黑"/>
        <charset val="134"/>
      </rPr>
      <t xml:space="preserve">
</t>
    </r>
    <r>
      <rPr>
        <sz val="11"/>
        <color rgb="FF000000"/>
        <rFont val="微软雅黑"/>
        <charset val="134"/>
      </rPr>
      <t>4.23 提交查验计划，机检完成，报关单已放行</t>
    </r>
    <r>
      <rPr>
        <sz val="11"/>
        <color rgb="FF000000"/>
        <rFont val="微软雅黑"/>
        <charset val="134"/>
      </rPr>
      <t xml:space="preserve">
</t>
    </r>
    <r>
      <rPr>
        <sz val="11"/>
        <color rgb="FF000000"/>
        <rFont val="微软雅黑"/>
        <charset val="134"/>
      </rPr>
      <t>4.29 申请改配，海关操作成功</t>
    </r>
  </si>
  <si>
    <t>223120260001544894</t>
  </si>
  <si>
    <t>HLCUSHA2604ATCX3</t>
  </si>
  <si>
    <t>4.19 申报审结 4.20 代理通知短装，需删单重报</t>
  </si>
  <si>
    <t>4.20 准备资料 已删单重报完成</t>
  </si>
  <si>
    <t>230520260056537450</t>
  </si>
  <si>
    <t>JNG0313711A</t>
  </si>
  <si>
    <t>4.20 申报审结，涉许可证，需人工审单</t>
  </si>
  <si>
    <t>4.21 申请人工审单，海关操作成功，报关单放行</t>
  </si>
  <si>
    <t>230520260056537453</t>
  </si>
  <si>
    <t>JNG0313711D</t>
  </si>
  <si>
    <t>230520260056537454</t>
  </si>
  <si>
    <t>JNG0313711E</t>
  </si>
  <si>
    <t>230520260056537452</t>
  </si>
  <si>
    <t>JNG0313711C</t>
  </si>
  <si>
    <t>4.20 申报审结，涉电机，需人工审单</t>
  </si>
  <si>
    <t>230520260056537455</t>
  </si>
  <si>
    <t>JNG0313711F</t>
  </si>
  <si>
    <t>230820260086591644</t>
  </si>
  <si>
    <t>ONEYNKGG06913600</t>
  </si>
  <si>
    <t>4.20 申报放行 4.21 接代理通知改配</t>
  </si>
  <si>
    <t>4.21 申请改配，海关操作成功</t>
  </si>
  <si>
    <t>230820260086591326</t>
  </si>
  <si>
    <t>ONEYNKGG06919500</t>
  </si>
  <si>
    <t>230820260086591366</t>
  </si>
  <si>
    <t>ONEYNKGG06915800</t>
  </si>
  <si>
    <t>230820260086590710</t>
  </si>
  <si>
    <t>ONEYNKGG06914700</t>
  </si>
  <si>
    <t>230820260086590687</t>
  </si>
  <si>
    <t>ONEYNKGG06874500</t>
  </si>
  <si>
    <t>230520260056536940</t>
  </si>
  <si>
    <t>ONEYNKGG06637900B</t>
  </si>
  <si>
    <t>4月20日 申报放行，接代理通知，拼箱报关单：ONEYNKGG06637900C 船务预配发错，需将报关单预配置空后重发预配后置回</t>
  </si>
  <si>
    <r>
      <t>4.21 提交改单置空，海关操作成功，代理删预配</t>
    </r>
    <r>
      <rPr>
        <sz val="11"/>
        <color rgb="FF000000"/>
        <rFont val="微软雅黑"/>
        <charset val="134"/>
      </rPr>
      <t xml:space="preserve">
</t>
    </r>
    <r>
      <rPr>
        <sz val="11"/>
        <color rgb="FF000000"/>
        <rFont val="微软雅黑"/>
        <charset val="134"/>
      </rPr>
      <t>4.22 提交改单置回，海关操作成功</t>
    </r>
  </si>
  <si>
    <t>230520260056538252</t>
  </si>
  <si>
    <t>4.22 申报审结，涉电机，需人工审单</t>
  </si>
  <si>
    <t>4.22 申请人工审单，海关操作成功，报关单已放行</t>
  </si>
  <si>
    <t>230820260086593212</t>
  </si>
  <si>
    <t>TLNJLCJH26061033</t>
  </si>
  <si>
    <t>4.22 申报审结，涉许可证，需人工审单</t>
  </si>
  <si>
    <t>230820260086593548</t>
  </si>
  <si>
    <t>ONEYNK5GL7036400</t>
  </si>
  <si>
    <t>4.22 查验</t>
  </si>
  <si>
    <r>
      <t>4.22 南京机检设备正在维修，预计停运一周，期间所有机检业务均无法操作，等机器恢复</t>
    </r>
    <r>
      <rPr>
        <sz val="11"/>
        <color rgb="FF000000"/>
        <rFont val="微软雅黑"/>
        <charset val="134"/>
      </rPr>
      <t xml:space="preserve">
</t>
    </r>
    <r>
      <rPr>
        <sz val="11"/>
        <color rgb="FF000000"/>
        <rFont val="微软雅黑"/>
        <charset val="134"/>
      </rPr>
      <t>4.23 提交查验计划，机检完成，报关单已放行</t>
    </r>
  </si>
  <si>
    <t>330120260000017380</t>
  </si>
  <si>
    <t>OOLU2324678450</t>
  </si>
  <si>
    <t>4.16 申报放行，4.22 接美的通知 因船公司更改航线取消停靠该港口，需取消出运退回工厂</t>
  </si>
  <si>
    <r>
      <t>4.22 准备资料 申请查验</t>
    </r>
    <r>
      <rPr>
        <sz val="11"/>
        <color rgb="FF000000"/>
        <rFont val="微软雅黑"/>
        <charset val="134"/>
      </rPr>
      <t xml:space="preserve">
</t>
    </r>
    <r>
      <rPr>
        <sz val="11"/>
        <color rgb="FF000000"/>
        <rFont val="微软雅黑"/>
        <charset val="134"/>
      </rPr>
      <t>4.23 查验完成，待关长审图签字</t>
    </r>
    <r>
      <rPr>
        <sz val="11"/>
        <color rgb="FF000000"/>
        <rFont val="微软雅黑"/>
        <charset val="134"/>
      </rPr>
      <t xml:space="preserve">
</t>
    </r>
    <r>
      <rPr>
        <sz val="11"/>
        <color rgb="FF000000"/>
        <rFont val="微软雅黑"/>
        <charset val="134"/>
      </rPr>
      <t>4.24 海关签字，提交删单，删单已完成</t>
    </r>
  </si>
  <si>
    <t>230520260056537562</t>
  </si>
  <si>
    <t>HLCUNK2260436824</t>
  </si>
  <si>
    <t>4.20 申报放行 4.22接通关代表通知，因货物存在品质问题，需删单退关退柜</t>
  </si>
  <si>
    <r>
      <t>4.23 代理提供在港证明，准备删单资料，删单已发起，待海关操作</t>
    </r>
    <r>
      <rPr>
        <sz val="11"/>
        <color rgb="FF000000"/>
        <rFont val="微软雅黑"/>
        <charset val="134"/>
      </rPr>
      <t xml:space="preserve">
</t>
    </r>
    <r>
      <rPr>
        <sz val="11"/>
        <color rgb="FF000000"/>
        <rFont val="微软雅黑"/>
        <charset val="134"/>
      </rPr>
      <t>4.24 删单已完成</t>
    </r>
  </si>
  <si>
    <t>230520260056537634</t>
  </si>
  <si>
    <t>EGLV145699818165</t>
  </si>
  <si>
    <t>371120260000189448</t>
  </si>
  <si>
    <t>OOLU2324938900</t>
  </si>
  <si>
    <t>4.23 查验</t>
  </si>
  <si>
    <t>4.24 提交查验计划，查验完成，报关单已放行</t>
  </si>
  <si>
    <t>230520260056536517</t>
  </si>
  <si>
    <t>177MJCJCJ229709W</t>
  </si>
  <si>
    <r>
      <t>4.23 代理提供在港证明，准备删单资料，情况说明美的盖章</t>
    </r>
    <r>
      <rPr>
        <sz val="11"/>
        <color rgb="FF000000"/>
        <rFont val="微软雅黑"/>
        <charset val="134"/>
      </rPr>
      <t xml:space="preserve">
</t>
    </r>
    <r>
      <rPr>
        <sz val="11"/>
        <color rgb="FF000000"/>
        <rFont val="微软雅黑"/>
        <charset val="134"/>
      </rPr>
      <t>4.24 发起删单,待海关审批</t>
    </r>
    <r>
      <rPr>
        <sz val="11"/>
        <color rgb="FF000000"/>
        <rFont val="微软雅黑"/>
        <charset val="134"/>
      </rPr>
      <t xml:space="preserve">
</t>
    </r>
    <r>
      <rPr>
        <sz val="11"/>
        <color rgb="FF000000"/>
        <rFont val="微软雅黑"/>
        <charset val="134"/>
      </rPr>
      <t>4.27 删单已受理，待操作</t>
    </r>
    <r>
      <rPr>
        <sz val="11"/>
        <color rgb="FF000000"/>
        <rFont val="微软雅黑"/>
        <charset val="134"/>
      </rPr>
      <t xml:space="preserve">
</t>
    </r>
    <r>
      <rPr>
        <sz val="11"/>
        <color rgb="FF000000"/>
        <rFont val="微软雅黑"/>
        <charset val="134"/>
      </rPr>
      <t>4.28 删单已完成</t>
    </r>
  </si>
  <si>
    <t>230520260056537671</t>
  </si>
  <si>
    <t>EGLV145699818182</t>
  </si>
  <si>
    <t>230520260056536916</t>
  </si>
  <si>
    <t>HLCUNK2260424906</t>
  </si>
  <si>
    <t>4.20 申报放行 4.23接通关代表通知，因货物存在品质问题，需删单退关退柜</t>
  </si>
  <si>
    <t>230520260056537371</t>
  </si>
  <si>
    <t>EGLV145699411634</t>
  </si>
  <si>
    <t>230520260056536512</t>
  </si>
  <si>
    <t>OOLU2325295890</t>
  </si>
  <si>
    <t>230520260056537187</t>
  </si>
  <si>
    <t>EGLV145699411626</t>
  </si>
  <si>
    <t>230520260056537202</t>
  </si>
  <si>
    <t>ONEYNKGG05843700</t>
  </si>
  <si>
    <t>230520260056537193</t>
  </si>
  <si>
    <t>ONEYNKGG06300300</t>
  </si>
  <si>
    <t>230520260056536463</t>
  </si>
  <si>
    <t>ONEYNKGG06302500</t>
  </si>
  <si>
    <t>230520260056537205</t>
  </si>
  <si>
    <t>EGLV145699411642</t>
  </si>
  <si>
    <t>230520260056538731</t>
  </si>
  <si>
    <t>4.23 申报审结，含电机，需人工放行</t>
  </si>
  <si>
    <r>
      <t>4.23 申请人工放行，待海关操作</t>
    </r>
    <r>
      <rPr>
        <sz val="11"/>
        <color rgb="FF000000"/>
        <rFont val="微软雅黑"/>
        <charset val="134"/>
      </rPr>
      <t xml:space="preserve">
</t>
    </r>
    <r>
      <rPr>
        <sz val="11"/>
        <color rgb="FF000000"/>
        <rFont val="微软雅黑"/>
        <charset val="134"/>
      </rPr>
      <t>4.24 海关操作成功 报关单已放行</t>
    </r>
  </si>
  <si>
    <t>330120260000018687</t>
  </si>
  <si>
    <t>EGLV145699815654</t>
  </si>
  <si>
    <t>4.23 审结未放行，做人工放行</t>
  </si>
  <si>
    <t>230820260086595348</t>
  </si>
  <si>
    <t>NOSNJ26MS48142</t>
  </si>
  <si>
    <t>4.24 查验</t>
  </si>
  <si>
    <r>
      <t>4.24 提交查验计划</t>
    </r>
    <r>
      <rPr>
        <sz val="11"/>
        <color rgb="FF000000"/>
        <rFont val="微软雅黑"/>
        <charset val="134"/>
      </rPr>
      <t xml:space="preserve">
</t>
    </r>
    <r>
      <rPr>
        <sz val="11"/>
        <color rgb="FF000000"/>
        <rFont val="微软雅黑"/>
        <charset val="134"/>
      </rPr>
      <t>4.27 查验完成，报关单已放行，改配已完成</t>
    </r>
  </si>
  <si>
    <t>230820260086587512</t>
  </si>
  <si>
    <t>JNG0316029</t>
  </si>
  <si>
    <t>4.16 申报放行 4.24 代理通知换靠区</t>
  </si>
  <si>
    <t>4.24 准备资料改单 海关操作成功</t>
  </si>
  <si>
    <t>230820260086591344</t>
  </si>
  <si>
    <t>177MJCJCJ029815W</t>
  </si>
  <si>
    <t>4.21 报关单放行 4.24代理通知改配</t>
  </si>
  <si>
    <t>4.24 申请改配，海关操作成功</t>
  </si>
  <si>
    <t>230520260056538996</t>
  </si>
  <si>
    <t>802081562A</t>
  </si>
  <si>
    <r>
      <t>4.24 提交查验计划，机检查验完成，追加人工</t>
    </r>
    <r>
      <rPr>
        <sz val="11"/>
        <color rgb="FF000000"/>
        <rFont val="微软雅黑"/>
        <charset val="134"/>
      </rPr>
      <t xml:space="preserve">
</t>
    </r>
    <r>
      <rPr>
        <sz val="11"/>
        <color rgb="FF000000"/>
        <rFont val="微软雅黑"/>
        <charset val="134"/>
      </rPr>
      <t>4.27 提交掏箱计划，查验完成，报关单已放行</t>
    </r>
  </si>
  <si>
    <t>230520260056537660</t>
  </si>
  <si>
    <t>EGLV145699818220</t>
  </si>
  <si>
    <t>4.21 报关单放行 4.24 接美的通知因货物品质问题未能上船，改配</t>
  </si>
  <si>
    <r>
      <t>4.24 提交改单，待海关操作</t>
    </r>
    <r>
      <rPr>
        <sz val="11"/>
        <color rgb="FF000000"/>
        <rFont val="微软雅黑"/>
        <charset val="134"/>
      </rPr>
      <t xml:space="preserve">
</t>
    </r>
    <r>
      <rPr>
        <sz val="11"/>
        <color rgb="FF000000"/>
        <rFont val="微软雅黑"/>
        <charset val="134"/>
      </rPr>
      <t>4.27 海关操作完成</t>
    </r>
  </si>
  <si>
    <t>230520260056539760</t>
  </si>
  <si>
    <r>
      <t>4.27 提交查验计划</t>
    </r>
    <r>
      <rPr>
        <sz val="11"/>
        <color rgb="FF000000"/>
        <rFont val="微软雅黑"/>
        <charset val="134"/>
      </rPr>
      <t xml:space="preserve">
</t>
    </r>
    <r>
      <rPr>
        <sz val="11"/>
        <color rgb="FF000000"/>
        <rFont val="微软雅黑"/>
        <charset val="134"/>
      </rPr>
      <t>4.28 查验完成 报关单已放行</t>
    </r>
  </si>
  <si>
    <t>470220260000001505</t>
  </si>
  <si>
    <t>SNLGJZJXNJ0097</t>
  </si>
  <si>
    <t>4.27 提交查验计划，查验完成 报关单已放行</t>
  </si>
  <si>
    <t>330120260000019351</t>
  </si>
  <si>
    <t>JNG0316229A</t>
  </si>
  <si>
    <t>4.27 审结未放行，做人工放行</t>
  </si>
  <si>
    <t>4.27 申请人工放行，海关操作成功，报关单已放行</t>
  </si>
  <si>
    <t>230520260056540339</t>
  </si>
  <si>
    <t>JNG0312218</t>
  </si>
  <si>
    <t>4.27 申报审结，含电机，需人工放行</t>
  </si>
  <si>
    <t>230520260056540338</t>
  </si>
  <si>
    <t>JNG0312218A</t>
  </si>
  <si>
    <t>230520260056540633</t>
  </si>
  <si>
    <t>EGLV145699818378</t>
  </si>
  <si>
    <t>4.27 查验</t>
  </si>
  <si>
    <t>230820260086596753</t>
  </si>
  <si>
    <t>CAJ0164090</t>
  </si>
  <si>
    <r>
      <t>4.27 提交查验计划</t>
    </r>
    <r>
      <rPr>
        <sz val="11"/>
        <color rgb="FF000000"/>
        <rFont val="微软雅黑"/>
        <charset val="134"/>
      </rPr>
      <t xml:space="preserve">  </t>
    </r>
    <r>
      <rPr>
        <sz val="11"/>
        <color rgb="FF000000"/>
        <rFont val="微软雅黑"/>
        <charset val="134"/>
      </rPr>
      <t>查验完成 报关单已放行</t>
    </r>
  </si>
  <si>
    <t>230820260086598222</t>
  </si>
  <si>
    <t>PCSLJBL017260422</t>
  </si>
  <si>
    <t>230820260086598479</t>
  </si>
  <si>
    <t>COSU6450364190</t>
  </si>
  <si>
    <t>223120260001673867</t>
  </si>
  <si>
    <t>广东美的制冷设备有限公司</t>
  </si>
  <si>
    <t>223120260001648611</t>
  </si>
  <si>
    <t>CHN3301624</t>
  </si>
  <si>
    <t>4.25 申报审结 4.27 海关总署对税号（9031、8414、8428）归类研判 4.29 海关准卡，未赶上原船，需删单重报</t>
  </si>
  <si>
    <r>
      <t>4.27 海关商品归类的专项审核流程，现场口岸海关无权限处理，待总署上级部门审核反馈（研判时长并无统一标准，总署审核周期1周左右，个别情况缩短或延长，需根据物项复杂程度、资料完备性综合判定）</t>
    </r>
    <r>
      <rPr>
        <sz val="11"/>
        <color rgb="FF000000"/>
        <rFont val="微软雅黑"/>
        <charset val="134"/>
      </rPr>
      <t xml:space="preserve">
</t>
    </r>
    <r>
      <rPr>
        <sz val="11"/>
        <color rgb="FF000000"/>
        <rFont val="微软雅黑"/>
        <charset val="134"/>
      </rPr>
      <t>4.29 海关准卡，未赶上原船，发起删单，已删单成功。</t>
    </r>
  </si>
  <si>
    <t>230820260086599053</t>
  </si>
  <si>
    <t>COAU7268645920</t>
  </si>
  <si>
    <t>4.28 申报放行，海放未码放</t>
  </si>
  <si>
    <t>4.28 申请人工放行，海关操作成功，报关单已放行</t>
  </si>
  <si>
    <t>330120260000019362</t>
  </si>
  <si>
    <t>KMTCWHI0021165</t>
  </si>
  <si>
    <t>4.28 申报审结，未放行，申请人工放行</t>
  </si>
  <si>
    <t>230520260056541273</t>
  </si>
  <si>
    <t>EGLV145699029489</t>
  </si>
  <si>
    <r>
      <t xml:space="preserve">4.28 申请人工放行，待海关操作 </t>
    </r>
    <r>
      <rPr>
        <sz val="11"/>
        <color rgb="FF000000"/>
        <rFont val="微软雅黑"/>
        <charset val="134"/>
      </rPr>
      <t xml:space="preserve">
</t>
    </r>
    <r>
      <rPr>
        <sz val="11"/>
        <color rgb="FF000000"/>
        <rFont val="微软雅黑"/>
        <charset val="134"/>
      </rPr>
      <t>4.29 海关操作完成 报关单已放行</t>
    </r>
  </si>
  <si>
    <t>230520260056540817</t>
  </si>
  <si>
    <t>HLCUNK2260152686</t>
  </si>
  <si>
    <t>4.28 查验</t>
  </si>
  <si>
    <t>4.29 提交查验计划 查验完成，报关单已放行</t>
  </si>
  <si>
    <t>230520260056541226</t>
  </si>
  <si>
    <t>OOLU232623900007</t>
  </si>
  <si>
    <t>4.28 申报审结，涉电机，需人工审单</t>
  </si>
  <si>
    <t>230520260056541219</t>
  </si>
  <si>
    <t>OOLU2326239000</t>
  </si>
  <si>
    <t>4.29 提交查验计划，查验完成，报关单已放行</t>
  </si>
  <si>
    <t>310120260519059988</t>
  </si>
  <si>
    <t>NGBSB26004564</t>
  </si>
  <si>
    <t>2.20 申报放行，4.28 美的通知因中东战争原因 需删单</t>
  </si>
  <si>
    <r>
      <t>4.28 准备资料 发起删单</t>
    </r>
    <r>
      <rPr>
        <sz val="11"/>
        <color rgb="FF000000"/>
        <rFont val="微软雅黑"/>
        <charset val="134"/>
      </rPr>
      <t xml:space="preserve">
</t>
    </r>
    <r>
      <rPr>
        <sz val="11"/>
        <color rgb="FF000000"/>
        <rFont val="微软雅黑"/>
        <charset val="134"/>
      </rPr>
      <t>4.29 海关操作成功，删单已好</t>
    </r>
  </si>
  <si>
    <t>230520260056536442</t>
  </si>
  <si>
    <t>177MJCJCJ229694W</t>
  </si>
  <si>
    <t>4.17申报放行 4.23接通关代表通知，因货物存在品质问题，需删单退关退柜</t>
  </si>
  <si>
    <r>
      <t>4.28 集装箱回永嘉港，准备资料 发起删单</t>
    </r>
    <r>
      <rPr>
        <sz val="11"/>
        <color rgb="FF000000"/>
        <rFont val="微软雅黑"/>
        <charset val="134"/>
      </rPr>
      <t xml:space="preserve">
</t>
    </r>
    <r>
      <rPr>
        <sz val="11"/>
        <color rgb="FF000000"/>
        <rFont val="微软雅黑"/>
        <charset val="134"/>
      </rPr>
      <t>4.29 海关受理，待操作</t>
    </r>
  </si>
  <si>
    <t>230520260056536529</t>
  </si>
  <si>
    <t>177MJCJCJ229693W</t>
  </si>
  <si>
    <r>
      <t>4.28 集装箱回永嘉港，准备资料 发起删单</t>
    </r>
    <r>
      <rPr>
        <sz val="11"/>
        <color rgb="FF000000"/>
        <rFont val="微软雅黑"/>
        <charset val="134"/>
      </rPr>
      <t xml:space="preserve">
</t>
    </r>
    <r>
      <rPr>
        <sz val="11"/>
        <color rgb="FF000000"/>
        <rFont val="微软雅黑"/>
        <charset val="134"/>
      </rPr>
      <t>4.29 海关受理，待操作</t>
    </r>
    <r>
      <rPr>
        <sz val="11"/>
        <color rgb="FF000000"/>
        <rFont val="微软雅黑"/>
        <charset val="134"/>
      </rPr>
      <t xml:space="preserve">
</t>
    </r>
    <r>
      <rPr>
        <sz val="11"/>
        <color rgb="FF000000"/>
        <rFont val="微软雅黑"/>
        <charset val="134"/>
      </rPr>
      <t>4.30 删单已好</t>
    </r>
  </si>
  <si>
    <t>230520260056536501</t>
  </si>
  <si>
    <t>177FJCJCJ229783W</t>
  </si>
  <si>
    <r>
      <t>4.28 集装箱回永嘉港，准备资</t>
    </r>
    <r>
      <rPr>
        <sz val="11"/>
        <color rgb="FF000000"/>
        <rFont val="微软雅黑"/>
        <charset val="134"/>
      </rPr>
      <t xml:space="preserve">
</t>
    </r>
    <r>
      <rPr>
        <sz val="11"/>
        <color rgb="FF000000"/>
        <rFont val="微软雅黑"/>
        <charset val="134"/>
      </rPr>
      <t>4.30 删单已好料 发起删单</t>
    </r>
    <r>
      <rPr>
        <sz val="11"/>
        <color rgb="FF000000"/>
        <rFont val="微软雅黑"/>
        <charset val="134"/>
      </rPr>
      <t xml:space="preserve">
</t>
    </r>
    <r>
      <rPr>
        <sz val="11"/>
        <color rgb="FF000000"/>
        <rFont val="微软雅黑"/>
        <charset val="134"/>
      </rPr>
      <t>4.29 海关受理，待操作</t>
    </r>
  </si>
  <si>
    <t>222920260001646390</t>
  </si>
  <si>
    <t>COAU7268759830</t>
  </si>
  <si>
    <r>
      <t>4.27 8:59邮件船司人员退关申请被拒原因，9点客服告知船务该单舱单有问题，9:02船司答复笼统品名原因被退，9:18再次邮件船司申请退关修改品名重新发送，被拒，未得到解决方案；14:19单独联系船司客服，请求查询原因及解决方案，咨询IT后告知修改提单为COAU726875983001重新发送；14:34联系船务修改提单发送还需要告知谁，船务答复她仅关注货物放行是否能上船，该信息与她无关；14:52联系代理是否进港，被告知已进港，修改会产生费用；15：13告知船司情况有无其他方法，船司同事协助后台修改COAU7268759830数据；15:23</t>
    </r>
    <r>
      <rPr>
        <sz val="11"/>
        <color rgb="FF000000"/>
        <rFont val="微软雅黑"/>
        <charset val="134"/>
      </rPr>
      <t xml:space="preserve">  </t>
    </r>
    <r>
      <rPr>
        <sz val="11"/>
        <color rgb="FF000000"/>
        <rFont val="微软雅黑"/>
        <charset val="134"/>
      </rPr>
      <t>COAU726875983001我们发起退关；15:25 COAU7268759830有舱单数据；15:30客服同事查询到舱单数据安排上计划进行申报；16:02完成申报。</t>
    </r>
    <r>
      <rPr>
        <sz val="11"/>
        <color rgb="FF000000"/>
        <rFont val="微软雅黑"/>
        <charset val="134"/>
      </rPr>
      <t xml:space="preserve">
</t>
    </r>
    <r>
      <rPr>
        <sz val="11"/>
        <color rgb="FF000000"/>
        <rFont val="微软雅黑"/>
        <charset val="134"/>
      </rPr>
      <t>4.28 17:17收到船代邮件告知海放情况，报关单已放行；17:23接到船司消息核查港区未海放原因；17:49核查出装载舱单未发导致港区无法放行；18:08核查单有两份舱单（COAU726875983001</t>
    </r>
    <r>
      <rPr>
        <sz val="11"/>
        <color rgb="FF000000"/>
        <rFont val="微软雅黑"/>
        <charset val="134"/>
      </rPr>
      <t xml:space="preserve">  </t>
    </r>
    <r>
      <rPr>
        <sz val="11"/>
        <color rgb="FF000000"/>
        <rFont val="微软雅黑"/>
        <charset val="134"/>
      </rPr>
      <t>15:30回执退关被拒）</t>
    </r>
    <r>
      <rPr>
        <sz val="11"/>
        <color rgb="FF000000"/>
        <rFont val="微软雅黑"/>
        <charset val="134"/>
      </rPr>
      <t xml:space="preserve">
</t>
    </r>
    <r>
      <rPr>
        <sz val="11"/>
        <color rgb="FF000000"/>
        <rFont val="微软雅黑"/>
        <charset val="134"/>
      </rPr>
      <t>4.29 10:04告知通关代表需删单，10:43询问船务最近的船期，与美的沟通后13：13完成资料准备线上发起修撤单申请被拒；13:34修改原因重新发起，14:56申请被拒，15：00大船开，15:25联系船务重新订舱改船。。</t>
    </r>
  </si>
  <si>
    <t>待定</t>
  </si>
  <si>
    <r>
      <t>4.29 准备改单置空资料，改单被驳回，需删单重报，等待船代提供未上船证明。</t>
    </r>
    <r>
      <rPr>
        <sz val="11"/>
        <color rgb="FF000000"/>
        <rFont val="微软雅黑"/>
        <charset val="134"/>
      </rPr>
      <t xml:space="preserve">
</t>
    </r>
    <r>
      <rPr>
        <sz val="11"/>
        <color rgb="FF000000"/>
        <rFont val="微软雅黑"/>
        <charset val="134"/>
      </rPr>
      <t>4.30提交删单，海关已受理删除完毕。</t>
    </r>
  </si>
  <si>
    <t>230520260056537422</t>
  </si>
  <si>
    <t>HLCUNK2260436561</t>
  </si>
  <si>
    <t>4.21 报关单放行 4.29 接美的通知因货物品质问题未能上船，改配</t>
  </si>
  <si>
    <r>
      <t>4.29 准备资料，提交改单，待海关操作</t>
    </r>
    <r>
      <rPr>
        <sz val="11"/>
        <color rgb="FF000000"/>
        <rFont val="微软雅黑"/>
        <charset val="134"/>
      </rPr>
      <t xml:space="preserve">
</t>
    </r>
    <r>
      <rPr>
        <sz val="11"/>
        <color rgb="FF000000"/>
        <rFont val="微软雅黑"/>
        <charset val="134"/>
      </rPr>
      <t>4.30 海关操作完成，改单已好</t>
    </r>
  </si>
  <si>
    <t>230520260056537720</t>
  </si>
  <si>
    <t>HLCUNK2260436572</t>
  </si>
  <si>
    <t>230520260056540833</t>
  </si>
  <si>
    <t>COAU7267548780</t>
  </si>
  <si>
    <t>4.28 申报放行未码放，代理自查无误。需人工放行</t>
  </si>
  <si>
    <t>4.29 申请人工放行，海关操作成功，码放已放行</t>
  </si>
  <si>
    <t>230520260056541574</t>
  </si>
  <si>
    <t>COSU6451618340</t>
  </si>
  <si>
    <t>4.29 查验</t>
  </si>
  <si>
    <r>
      <t xml:space="preserve">4.29 提交查验计划 </t>
    </r>
    <r>
      <rPr>
        <sz val="11"/>
        <color rgb="FF000000"/>
        <rFont val="微软雅黑"/>
        <charset val="134"/>
      </rPr>
      <t xml:space="preserve">
</t>
    </r>
    <r>
      <rPr>
        <sz val="11"/>
        <color rgb="FF000000"/>
        <rFont val="微软雅黑"/>
        <charset val="134"/>
      </rPr>
      <t>4.30 查验完成，报关单已放行</t>
    </r>
  </si>
  <si>
    <t>230520260056541817</t>
  </si>
  <si>
    <t>NOSZJ26LB10072B</t>
  </si>
  <si>
    <t>4.29 申报审结，含电机，需人工放行</t>
  </si>
  <si>
    <r>
      <t>4.29 申请人工放行 待海关操作</t>
    </r>
    <r>
      <rPr>
        <sz val="11"/>
        <color rgb="FF000000"/>
        <rFont val="微软雅黑"/>
        <charset val="134"/>
      </rPr>
      <t xml:space="preserve">
</t>
    </r>
    <r>
      <rPr>
        <sz val="11"/>
        <color rgb="FF000000"/>
        <rFont val="微软雅黑"/>
        <charset val="134"/>
      </rPr>
      <t>4.30 海关操作完成，报关单已放行</t>
    </r>
  </si>
  <si>
    <t>230520260056541895</t>
  </si>
  <si>
    <t>NOSZJ26LB10074C</t>
  </si>
  <si>
    <t>230520260056541892</t>
  </si>
  <si>
    <t>NOSZJ26LB10074D</t>
  </si>
  <si>
    <t>230820260086600287</t>
  </si>
  <si>
    <t>4.28 申报审结未放行，4.29 反查原因：代理出运表船名航次错误，需人工放行改配</t>
  </si>
  <si>
    <t>4.29 申请人工放行，海关操作成功。申请改配，海关操作成功</t>
  </si>
  <si>
    <t>230820260086601034</t>
  </si>
  <si>
    <t>HLCUNK2260437001</t>
  </si>
  <si>
    <r>
      <t>4.29 提交查验计划</t>
    </r>
    <r>
      <rPr>
        <sz val="11"/>
        <color rgb="FF000000"/>
        <rFont val="微软雅黑"/>
        <charset val="134"/>
      </rPr>
      <t xml:space="preserve">
</t>
    </r>
    <r>
      <rPr>
        <sz val="11"/>
        <color rgb="FF000000"/>
        <rFont val="微软雅黑"/>
        <charset val="134"/>
      </rPr>
      <t>4.30 查验完成，报关单已放行</t>
    </r>
  </si>
  <si>
    <t>230820260086601382</t>
  </si>
  <si>
    <t>JNG0319549</t>
  </si>
  <si>
    <r>
      <t>4.30 箱子在江北，待代理通知集装箱到龙潭码头安排查验计划</t>
    </r>
    <r>
      <rPr>
        <sz val="11"/>
        <color rgb="FF000000"/>
        <rFont val="微软雅黑"/>
        <charset val="134"/>
      </rPr>
      <t xml:space="preserve">
</t>
    </r>
    <r>
      <rPr>
        <sz val="11"/>
        <color rgb="FF000000"/>
        <rFont val="微软雅黑"/>
        <charset val="134"/>
      </rPr>
      <t>5.6 集装箱到龙潭，提交查验计划，查验完成，报关单已放行</t>
    </r>
    <r>
      <rPr>
        <sz val="11"/>
        <color rgb="FF000000"/>
        <rFont val="微软雅黑"/>
        <charset val="134"/>
      </rPr>
      <t xml:space="preserve">
</t>
    </r>
    <r>
      <rPr>
        <sz val="11"/>
        <color rgb="FF000000"/>
        <rFont val="微软雅黑"/>
        <charset val="134"/>
      </rPr>
      <t>5.8 申请改配 海关操作成功</t>
    </r>
  </si>
  <si>
    <t>223120260001703547</t>
  </si>
  <si>
    <r>
      <t>4.28 接代理通知 完成申报（资料、出运表、舱单、船名航次 一致），4.29 车队反馈换船名航次，需删单重报</t>
    </r>
    <r>
      <rPr>
        <sz val="11"/>
        <color rgb="FF000000"/>
        <rFont val="微软雅黑"/>
        <charset val="134"/>
      </rPr>
      <t xml:space="preserve">  </t>
    </r>
  </si>
  <si>
    <r>
      <t>4.29 准备资料，提交删单</t>
    </r>
    <r>
      <rPr>
        <sz val="11"/>
        <color rgb="FF000000"/>
        <rFont val="微软雅黑"/>
        <charset val="134"/>
      </rPr>
      <t xml:space="preserve">
</t>
    </r>
    <r>
      <rPr>
        <sz val="11"/>
        <color rgb="FF000000"/>
        <rFont val="微软雅黑"/>
        <charset val="134"/>
      </rPr>
      <t>4.30 海关操作完成 删单已好</t>
    </r>
  </si>
  <si>
    <t>223120260001703504</t>
  </si>
  <si>
    <t>330120260000020093</t>
  </si>
  <si>
    <t>TSTWH2514348</t>
  </si>
  <si>
    <t>4.30 提交查验计划，查验完成，报关单已放行</t>
  </si>
  <si>
    <t>330120260000020190</t>
  </si>
  <si>
    <t>KMTCWHI0025168</t>
  </si>
  <si>
    <t>4.30 审结未放行，做人工放行</t>
  </si>
  <si>
    <t>4.30 申请人工放行，海关操作成功，报关单已放行</t>
  </si>
  <si>
    <t>230820260086601815</t>
  </si>
  <si>
    <t>EGLV145699308906</t>
  </si>
  <si>
    <r>
      <t>4.30 箱子在江北，待代理通知集装箱到龙潭码头安排查验计划</t>
    </r>
    <r>
      <rPr>
        <sz val="11"/>
        <color rgb="FF000000"/>
        <rFont val="微软雅黑"/>
        <charset val="134"/>
      </rPr>
      <t xml:space="preserve">
</t>
    </r>
    <r>
      <rPr>
        <sz val="11"/>
        <color rgb="FF000000"/>
        <rFont val="微软雅黑"/>
        <charset val="134"/>
      </rPr>
      <t>5.6 集装箱到龙潭，提交查验计划，查验完成，报关单已放行</t>
    </r>
    <r>
      <rPr>
        <sz val="11"/>
        <color rgb="FF000000"/>
        <rFont val="微软雅黑"/>
        <charset val="134"/>
      </rPr>
      <t xml:space="preserve">
</t>
    </r>
    <r>
      <rPr>
        <sz val="11"/>
        <color rgb="FF000000"/>
        <rFont val="微软雅黑"/>
        <charset val="134"/>
      </rPr>
      <t>5.7 查验放行后改配，海关操作成功</t>
    </r>
  </si>
  <si>
    <t>230520260056542404</t>
  </si>
  <si>
    <t>ONEYNKGG07519900A</t>
  </si>
  <si>
    <t>4.30 申报审结，含电机，需人工放行</t>
  </si>
  <si>
    <t>330120260000020095</t>
  </si>
  <si>
    <t>OOLU2326289970</t>
  </si>
  <si>
    <t>230820260086601539</t>
  </si>
  <si>
    <t>XHLTC028221</t>
  </si>
  <si>
    <t>4.29 申报放行 4.30 代理通知改配</t>
  </si>
  <si>
    <t>4.30 申请改配，海关操作成功</t>
  </si>
  <si>
    <t>232720260276587996</t>
  </si>
  <si>
    <t>TLTCLCJA26101015</t>
  </si>
  <si>
    <t>4.30 查验</t>
  </si>
  <si>
    <r>
      <t xml:space="preserve">4.30 提交查验计划 </t>
    </r>
    <r>
      <rPr>
        <sz val="11"/>
        <color rgb="FF000000"/>
        <rFont val="微软雅黑"/>
        <charset val="134"/>
      </rPr>
      <t xml:space="preserve">
</t>
    </r>
    <r>
      <rPr>
        <sz val="11"/>
        <color rgb="FF000000"/>
        <rFont val="微软雅黑"/>
        <charset val="134"/>
      </rPr>
      <t>5.1 申请海关加班处理，查验完成，报关单已放行</t>
    </r>
  </si>
  <si>
    <t>232820260286553731</t>
  </si>
  <si>
    <t>TLTCHCJA26101018</t>
  </si>
  <si>
    <t>4.30 运抵正常未放行，接苏吴中通知研判</t>
  </si>
  <si>
    <r>
      <t>4.30</t>
    </r>
    <r>
      <rPr>
        <sz val="11"/>
        <color rgb="FF000000"/>
        <rFont val="微软雅黑"/>
        <charset val="134"/>
      </rPr>
      <t xml:space="preserve"> </t>
    </r>
    <r>
      <rPr>
        <sz val="11"/>
        <color rgb="FF000000"/>
        <rFont val="微软雅黑"/>
        <charset val="134"/>
      </rPr>
      <t>运抵正常卡审结，苏吴中通知研判，节中无人处理研判事宜，待节后处理</t>
    </r>
    <r>
      <rPr>
        <sz val="11"/>
        <color rgb="FF000000"/>
        <rFont val="微软雅黑"/>
        <charset val="134"/>
      </rPr>
      <t xml:space="preserve">
</t>
    </r>
    <r>
      <rPr>
        <sz val="11"/>
        <color rgb="FF000000"/>
        <rFont val="微软雅黑"/>
        <charset val="134"/>
      </rPr>
      <t>5.6 海关反馈G10商品 锂离子电池，需要确认是否危险货物，相关信息栏是否填报，等海关消息反馈。</t>
    </r>
    <r>
      <rPr>
        <sz val="11"/>
        <color rgb="FF000000"/>
        <rFont val="微软雅黑"/>
        <charset val="134"/>
      </rPr>
      <t xml:space="preserve">
</t>
    </r>
    <r>
      <rPr>
        <sz val="11"/>
        <color rgb="FF000000"/>
        <rFont val="微软雅黑"/>
        <charset val="134"/>
      </rPr>
      <t>5.8 现场通知提供G10非危情况说明，海关审批反馈：项10 锂离子电池涉及危险货物，可能需要改单，修改危险货物信息栏中的“非危险货物"“UN编号”“危险类别”，待9号和海关咨询确认后续具体操作。</t>
    </r>
    <r>
      <rPr>
        <sz val="11"/>
        <color rgb="FF000000"/>
        <rFont val="微软雅黑"/>
        <charset val="134"/>
      </rPr>
      <t xml:space="preserve">
</t>
    </r>
    <r>
      <rPr>
        <sz val="11"/>
        <color rgb="FF000000"/>
        <rFont val="微软雅黑"/>
        <charset val="134"/>
      </rPr>
      <t>5.9 科员通知报关行下周一与科长联系，沟通后续具体操作</t>
    </r>
    <r>
      <rPr>
        <sz val="11"/>
        <color rgb="FF000000"/>
        <rFont val="微软雅黑"/>
        <charset val="134"/>
      </rPr>
      <t xml:space="preserve">
</t>
    </r>
    <r>
      <rPr>
        <sz val="11"/>
        <color rgb="FF000000"/>
        <rFont val="微软雅黑"/>
        <charset val="134"/>
      </rPr>
      <t>5.11 已联系海关科长，我方同意按危险品申请改单，目前等待海关正式回复。</t>
    </r>
    <r>
      <rPr>
        <sz val="11"/>
        <color rgb="FF000000"/>
        <rFont val="微软雅黑"/>
        <charset val="134"/>
      </rPr>
      <t xml:space="preserve">
</t>
    </r>
    <r>
      <rPr>
        <sz val="11"/>
        <color rgb="FF000000"/>
        <rFont val="微软雅黑"/>
        <charset val="134"/>
      </rPr>
      <t>5.12 经与海关沟通，需修改危险货物信息，按危险品填写，已发起改单，已反馈现场，等待海关受理</t>
    </r>
    <r>
      <rPr>
        <sz val="11"/>
        <color rgb="FF000000"/>
        <rFont val="微软雅黑"/>
        <charset val="134"/>
      </rPr>
      <t xml:space="preserve">
</t>
    </r>
    <r>
      <rPr>
        <sz val="11"/>
        <color rgb="FF000000"/>
        <rFont val="微软雅黑"/>
        <charset val="134"/>
      </rPr>
      <t>5.13 15:19 改单操作成功，报关单审结，申请人工放行，待海关操作</t>
    </r>
    <r>
      <rPr>
        <sz val="11"/>
        <color rgb="FF000000"/>
        <rFont val="微软雅黑"/>
        <charset val="134"/>
      </rPr>
      <t xml:space="preserve">
</t>
    </r>
    <r>
      <rPr>
        <sz val="11"/>
        <color rgb="FF000000"/>
        <rFont val="微软雅黑"/>
        <charset val="134"/>
      </rPr>
      <t>5.14 上午对接现场，现场告知海关要求美的出具豁免危包情况说明；下午已按海关要求提交该份情况说明。目前研判小组相关审议暂未完成，海关通知将于5月15日上午继续跟进处理。</t>
    </r>
    <r>
      <rPr>
        <sz val="11"/>
        <color rgb="FF000000"/>
        <rFont val="微软雅黑"/>
        <charset val="134"/>
      </rPr>
      <t xml:space="preserve">
</t>
    </r>
    <r>
      <rPr>
        <sz val="11"/>
        <color rgb="FF000000"/>
        <rFont val="微软雅黑"/>
        <charset val="134"/>
      </rPr>
      <t>5.15 单一窗口跳补传通道，补传后海关审批放行，已同步通关代表与车队。</t>
    </r>
  </si>
  <si>
    <t>232820260286550059</t>
  </si>
  <si>
    <t>SHACB26017056</t>
  </si>
  <si>
    <t>4.24已申报结关。4.30海关核查通知项15，项16米数与数量不合逻辑</t>
  </si>
  <si>
    <r>
      <t>4.30 美的准备情况说明，节后等海关通知</t>
    </r>
    <r>
      <rPr>
        <sz val="11"/>
        <color rgb="FF000000"/>
        <rFont val="微软雅黑"/>
        <charset val="134"/>
      </rPr>
      <t xml:space="preserve">
</t>
    </r>
    <r>
      <rPr>
        <sz val="11"/>
        <color rgb="FF000000"/>
        <rFont val="微软雅黑"/>
        <charset val="134"/>
      </rPr>
      <t>5.6 情况说明提供给现场，发起改单申请，改单已发起，海关受理待操作</t>
    </r>
    <r>
      <rPr>
        <sz val="11"/>
        <color rgb="FF000000"/>
        <rFont val="微软雅黑"/>
        <charset val="134"/>
      </rPr>
      <t xml:space="preserve">
</t>
    </r>
    <r>
      <rPr>
        <sz val="11"/>
        <color rgb="FF000000"/>
        <rFont val="微软雅黑"/>
        <charset val="134"/>
      </rPr>
      <t>5.7 改单未操作成功，海关电话通知审核结果等反馈。</t>
    </r>
    <r>
      <rPr>
        <sz val="11"/>
        <color rgb="FF000000"/>
        <rFont val="微软雅黑"/>
        <charset val="134"/>
      </rPr>
      <t xml:space="preserve">
</t>
    </r>
    <r>
      <rPr>
        <sz val="11"/>
        <color rgb="FF000000"/>
        <rFont val="微软雅黑"/>
        <charset val="134"/>
      </rPr>
      <t>5.8 16:30 海关驳回改单申请，其他原因：货值，等待5.9与海关联系后进行后续操作。</t>
    </r>
    <r>
      <rPr>
        <sz val="11"/>
        <color rgb="FF000000"/>
        <rFont val="微软雅黑"/>
        <charset val="134"/>
      </rPr>
      <t xml:space="preserve">
</t>
    </r>
    <r>
      <rPr>
        <sz val="11"/>
        <color rgb="FF000000"/>
        <rFont val="微软雅黑"/>
        <charset val="134"/>
      </rPr>
      <t>5.9 科员通知报关行下周一与科长联系，沟通后续具体操作</t>
    </r>
    <r>
      <rPr>
        <sz val="11"/>
        <color rgb="FF000000"/>
        <rFont val="微软雅黑"/>
        <charset val="134"/>
      </rPr>
      <t xml:space="preserve">
</t>
    </r>
    <r>
      <rPr>
        <sz val="11"/>
        <color rgb="FF000000"/>
        <rFont val="微软雅黑"/>
        <charset val="134"/>
      </rPr>
      <t>5.11 已联系海关科长，重新提交报关单，待海关回复。</t>
    </r>
    <r>
      <rPr>
        <sz val="11"/>
        <color rgb="FF000000"/>
        <rFont val="微软雅黑"/>
        <charset val="134"/>
      </rPr>
      <t xml:space="preserve">
</t>
    </r>
    <r>
      <rPr>
        <sz val="11"/>
        <color rgb="FF000000"/>
        <rFont val="微软雅黑"/>
        <charset val="134"/>
      </rPr>
      <t>5.12 经与海关沟通，已向海关解释货值不变，重新发起改单，已反馈现场，等待海关受理</t>
    </r>
    <r>
      <rPr>
        <sz val="11"/>
        <color rgb="FF000000"/>
        <rFont val="微软雅黑"/>
        <charset val="134"/>
      </rPr>
      <t xml:space="preserve">
</t>
    </r>
    <r>
      <rPr>
        <sz val="11"/>
        <color rgb="FF000000"/>
        <rFont val="微软雅黑"/>
        <charset val="134"/>
      </rPr>
      <t>5.13 改单操作成功。</t>
    </r>
  </si>
  <si>
    <t>230520260056543350</t>
  </si>
  <si>
    <t>115G503934</t>
  </si>
  <si>
    <t>5.3申报审结，含电机，需人工放行</t>
  </si>
  <si>
    <r>
      <t>5.4 申请人工放行</t>
    </r>
    <r>
      <rPr>
        <sz val="11"/>
        <color rgb="FF000000"/>
        <rFont val="微软雅黑"/>
        <charset val="134"/>
      </rPr>
      <t xml:space="preserve">
</t>
    </r>
    <r>
      <rPr>
        <sz val="11"/>
        <color rgb="FF000000"/>
        <rFont val="微软雅黑"/>
        <charset val="134"/>
      </rPr>
      <t>5.5 海关操作成功，报关单已放行</t>
    </r>
  </si>
  <si>
    <t>230520260056542911</t>
  </si>
  <si>
    <t>115G503753</t>
  </si>
  <si>
    <t>4.30申报审结，含电机，需人工放行</t>
  </si>
  <si>
    <t>230520260056540711</t>
  </si>
  <si>
    <t>EGLV145699816103</t>
  </si>
  <si>
    <t>4.28 申报放行，4.30接代理通知海放未码放</t>
  </si>
  <si>
    <r>
      <t xml:space="preserve">5.3 申请人工放行，海关现场无处理放行的值班人员 </t>
    </r>
    <r>
      <rPr>
        <sz val="11"/>
        <color rgb="FF000000"/>
        <rFont val="微软雅黑"/>
        <charset val="134"/>
      </rPr>
      <t xml:space="preserve">
</t>
    </r>
    <r>
      <rPr>
        <sz val="11"/>
        <color rgb="FF000000"/>
        <rFont val="微软雅黑"/>
        <charset val="134"/>
      </rPr>
      <t>5.6 重新提交放行申请。海关要求提交改单重审，发起改单，海关审单完成，报关单已码放</t>
    </r>
  </si>
  <si>
    <t>230820260086600079</t>
  </si>
  <si>
    <t>177MJCJCJ029606W</t>
  </si>
  <si>
    <t>4.28申报放行 5.1 代理通知改配</t>
  </si>
  <si>
    <t>5.3 申请改配，海关操作成功</t>
  </si>
  <si>
    <t>南京世联达</t>
  </si>
  <si>
    <t>230820260086603854</t>
  </si>
  <si>
    <t>JNG0318819A</t>
  </si>
  <si>
    <t>5.2 申报审结，涉许可证，需人工审单</t>
  </si>
  <si>
    <t>5.3 申请人工放行，海关操作成功，报关单已放行</t>
  </si>
  <si>
    <t>230820260086603855</t>
  </si>
  <si>
    <t>JNG0318819B</t>
  </si>
  <si>
    <t>230820260086601699</t>
  </si>
  <si>
    <t>JNG0315670</t>
  </si>
  <si>
    <t>4.29申报放行 4.30代理通知改单靠区</t>
  </si>
  <si>
    <r>
      <t xml:space="preserve">4.30 准备资料 </t>
    </r>
    <r>
      <rPr>
        <sz val="11"/>
        <color rgb="FF000000"/>
        <rFont val="微软雅黑"/>
        <charset val="134"/>
      </rPr>
      <t xml:space="preserve">
</t>
    </r>
    <r>
      <rPr>
        <sz val="11"/>
        <color rgb="FF000000"/>
        <rFont val="微软雅黑"/>
        <charset val="134"/>
      </rPr>
      <t>5.3 发起改单，海关操作成功，改单已好</t>
    </r>
  </si>
  <si>
    <t>南京航华</t>
  </si>
  <si>
    <t>230520260056543704</t>
  </si>
  <si>
    <t>PCSLJVL400260510</t>
  </si>
  <si>
    <t>5.6 审结未放行，做人工放行</t>
  </si>
  <si>
    <r>
      <t>5.6 申请人工放行，待海关操作</t>
    </r>
    <r>
      <rPr>
        <sz val="11"/>
        <color rgb="FF000000"/>
        <rFont val="微软雅黑"/>
        <charset val="134"/>
      </rPr>
      <t xml:space="preserve">
</t>
    </r>
    <r>
      <rPr>
        <sz val="11"/>
        <color rgb="FF000000"/>
        <rFont val="微软雅黑"/>
        <charset val="134"/>
      </rPr>
      <t>5.7 海关操作成功 报关单已放行</t>
    </r>
  </si>
  <si>
    <t>230820260086605212</t>
  </si>
  <si>
    <t>JNG0320545</t>
  </si>
  <si>
    <t>5.6 查验</t>
  </si>
  <si>
    <r>
      <t>5.6 箱子在江北，待代理通知集装箱到龙潭码头安排查验计划</t>
    </r>
    <r>
      <rPr>
        <sz val="11"/>
        <color rgb="FF000000"/>
        <rFont val="微软雅黑"/>
        <charset val="134"/>
      </rPr>
      <t xml:space="preserve">
</t>
    </r>
    <r>
      <rPr>
        <sz val="11"/>
        <color rgb="FF000000"/>
        <rFont val="微软雅黑"/>
        <charset val="134"/>
      </rPr>
      <t>5.9 提交查验计划，机检系统故障没有图显，海关核查</t>
    </r>
    <r>
      <rPr>
        <sz val="11"/>
        <color rgb="FF000000"/>
        <rFont val="微软雅黑"/>
        <charset val="134"/>
      </rPr>
      <t xml:space="preserve">
</t>
    </r>
    <r>
      <rPr>
        <sz val="11"/>
        <color rgb="FF000000"/>
        <rFont val="微软雅黑"/>
        <charset val="134"/>
      </rPr>
      <t>5.11 查验完成 报关单已放行。</t>
    </r>
  </si>
  <si>
    <t>330120260000020606</t>
  </si>
  <si>
    <t>COSU6451566930</t>
  </si>
  <si>
    <t>5.6 提交查验计划，查验完成，报关单已放行</t>
  </si>
  <si>
    <t>230820260086605113</t>
  </si>
  <si>
    <t>EGLV145699310692</t>
  </si>
  <si>
    <t>5.7 提交查验计划，查验完成，报关单已放行</t>
  </si>
  <si>
    <t>223120260001800356</t>
  </si>
  <si>
    <t>5.4 查验</t>
  </si>
  <si>
    <t>5.5 提交查验计划，查验完成，报关单已放行</t>
  </si>
  <si>
    <t>223120260001795017</t>
  </si>
  <si>
    <t>ZIMUSNH7855040</t>
  </si>
  <si>
    <t>5.5 查验</t>
  </si>
  <si>
    <t>230520260056537349</t>
  </si>
  <si>
    <t>OOLU2324734340</t>
  </si>
  <si>
    <r>
      <t>5.6 代理通知集装箱已从上海回到张家港，提供在港证明</t>
    </r>
    <r>
      <rPr>
        <sz val="11"/>
        <color rgb="FF000000"/>
        <rFont val="微软雅黑"/>
        <charset val="134"/>
      </rPr>
      <t xml:space="preserve">
</t>
    </r>
    <r>
      <rPr>
        <sz val="11"/>
        <color rgb="FF000000"/>
        <rFont val="微软雅黑"/>
        <charset val="134"/>
      </rPr>
      <t>5.7 准备资料提交删单，海关操作成功，删单已好</t>
    </r>
  </si>
  <si>
    <t>230820260086602842</t>
  </si>
  <si>
    <t>4.30 申报放行，5.7接代理通知改配</t>
  </si>
  <si>
    <t>5.7 申请改配，海关操作成功</t>
  </si>
  <si>
    <t>230820260086603686</t>
  </si>
  <si>
    <t>EGLV145699309635</t>
  </si>
  <si>
    <t>230820260086602863</t>
  </si>
  <si>
    <t>230820260086603255</t>
  </si>
  <si>
    <t>230820260086602866</t>
  </si>
  <si>
    <t>230820260086603338</t>
  </si>
  <si>
    <t>TSTNJ2604216</t>
  </si>
  <si>
    <t>230820260086603306</t>
  </si>
  <si>
    <t>TSTNJ2604209</t>
  </si>
  <si>
    <t>230820260086602300</t>
  </si>
  <si>
    <t>TSTNJ2604213</t>
  </si>
  <si>
    <t>230820260086600964</t>
  </si>
  <si>
    <t>4.29 申报放行，5.7接代理通知改配</t>
  </si>
  <si>
    <t>230820260086603316</t>
  </si>
  <si>
    <t>230820260086603722</t>
  </si>
  <si>
    <t>230820260086603310</t>
  </si>
  <si>
    <t>230820260086603308</t>
  </si>
  <si>
    <t>230820260086603479</t>
  </si>
  <si>
    <t>230820260086603498</t>
  </si>
  <si>
    <t>330120260000020830</t>
  </si>
  <si>
    <t>OOLU2168573260</t>
  </si>
  <si>
    <t>5.7 查验</t>
  </si>
  <si>
    <t>232820260286551539</t>
  </si>
  <si>
    <t>177FZEZES808766</t>
  </si>
  <si>
    <t>4.25 已申报审结，4.26 海放，5.7 代理反馈船公司晚截，美的样本提供较晚，未赶上原船，需要删单重报</t>
  </si>
  <si>
    <r>
      <t>5.7 代理反馈船公司晚截，美的样本（提单补料）提供较晚，未赶上原船，需要删单重报，等待车队提供未上船证明，现场提供在港证明</t>
    </r>
    <r>
      <rPr>
        <sz val="11"/>
        <color rgb="FF000000"/>
        <rFont val="微软雅黑"/>
        <charset val="134"/>
      </rPr>
      <t xml:space="preserve">
</t>
    </r>
    <r>
      <rPr>
        <sz val="11"/>
        <color rgb="FF000000"/>
        <rFont val="微软雅黑"/>
        <charset val="134"/>
      </rPr>
      <t>5.8 16:28 代理提供未上船证明，已提交删单,待海关操作</t>
    </r>
    <r>
      <rPr>
        <sz val="11"/>
        <color rgb="FF000000"/>
        <rFont val="微软雅黑"/>
        <charset val="134"/>
      </rPr>
      <t xml:space="preserve">
</t>
    </r>
    <r>
      <rPr>
        <sz val="11"/>
        <color rgb="FF000000"/>
        <rFont val="微软雅黑"/>
        <charset val="134"/>
      </rPr>
      <t>5.9 删单操作成功，已同步车队</t>
    </r>
  </si>
  <si>
    <t>223120260001825265</t>
  </si>
  <si>
    <t>CHN3352218</t>
  </si>
  <si>
    <t>5.6 原提单号：CHN3301624删单重报，5.7 仍未准卡，接科长反馈总署研判</t>
  </si>
  <si>
    <r>
      <t>5.7日海关总署研判，等研判结果，已同步通关代表和车队</t>
    </r>
    <r>
      <rPr>
        <sz val="11"/>
        <color rgb="FF000000"/>
        <rFont val="微软雅黑"/>
        <charset val="134"/>
      </rPr>
      <t xml:space="preserve">
</t>
    </r>
    <r>
      <rPr>
        <sz val="11"/>
        <color rgb="FF000000"/>
        <rFont val="微软雅黑"/>
        <charset val="134"/>
      </rPr>
      <t>5.8 联系现场海关，经科长查询仍为总署研判状态，现场海关无权限定位此票单证的研判部门及联系人，该状态下无法对报关单做任何操作</t>
    </r>
    <r>
      <rPr>
        <sz val="11"/>
        <color rgb="FF000000"/>
        <rFont val="微软雅黑"/>
        <charset val="134"/>
      </rPr>
      <t xml:space="preserve">
</t>
    </r>
    <r>
      <rPr>
        <sz val="11"/>
        <color rgb="FF000000"/>
        <rFont val="微软雅黑"/>
        <charset val="134"/>
      </rPr>
      <t>5.9 海关准卡</t>
    </r>
  </si>
  <si>
    <t>230520260056544343</t>
  </si>
  <si>
    <t>COSU6452221470</t>
  </si>
  <si>
    <t>5.8 申报审结，涉及电机 需要人工审单</t>
  </si>
  <si>
    <t>5.8 申请人工放行，海关操作成功，报关单已放行</t>
  </si>
  <si>
    <t>230820260086607358</t>
  </si>
  <si>
    <t>PCSLJBL006260503</t>
  </si>
  <si>
    <t>5.8 申报放行，海放未码放</t>
  </si>
  <si>
    <t>5.8 申请人工放行，海关操作成功，码放已放行</t>
  </si>
  <si>
    <t>222520251000266413</t>
  </si>
  <si>
    <t>COAU7263634760</t>
  </si>
  <si>
    <t>25.12.1申报，暂时进出货物，5.8 申请退保证金改单</t>
  </si>
  <si>
    <r>
      <t>5.6 资料已递交海关，退保证金</t>
    </r>
    <r>
      <rPr>
        <sz val="11"/>
        <color rgb="FF000000"/>
        <rFont val="微软雅黑"/>
        <charset val="134"/>
      </rPr>
      <t xml:space="preserve">
</t>
    </r>
    <r>
      <rPr>
        <sz val="11"/>
        <color rgb="FF000000"/>
        <rFont val="微软雅黑"/>
        <charset val="134"/>
      </rPr>
      <t>5.8 改单已发起，等待海关受理</t>
    </r>
    <r>
      <rPr>
        <sz val="11"/>
        <color rgb="FF000000"/>
        <rFont val="微软雅黑"/>
        <charset val="134"/>
      </rPr>
      <t xml:space="preserve">
</t>
    </r>
    <r>
      <rPr>
        <sz val="11"/>
        <color rgb="FF000000"/>
        <rFont val="微软雅黑"/>
        <charset val="134"/>
      </rPr>
      <t>5.12 改单已操作成功，等待客户退款到账</t>
    </r>
  </si>
  <si>
    <t>222520261000007164</t>
  </si>
  <si>
    <t>COAU7264401260</t>
  </si>
  <si>
    <t>1.8 申报，暂时进出货物，5.8 申请退保证金改单</t>
  </si>
  <si>
    <t>222520251000263773</t>
  </si>
  <si>
    <t>COAU7263432370</t>
  </si>
  <si>
    <t>25.11.26 申报，暂时进出货物，5.8 申请退保证金改单</t>
  </si>
  <si>
    <t>暂时进出货物，申请退保证金改单</t>
  </si>
  <si>
    <t>230520260056544698</t>
  </si>
  <si>
    <t>5.9 审结未放行，做人工放行</t>
  </si>
  <si>
    <t>5.9 申请人工放行，海关操作成功，报关单已放行</t>
  </si>
  <si>
    <t>230520260056544883</t>
  </si>
  <si>
    <t>ONEYNKGG08262500A</t>
  </si>
  <si>
    <t>5.9 查验</t>
  </si>
  <si>
    <t>5.11 提交查验计划，海关操作成功 报关单已放行</t>
  </si>
  <si>
    <t>230520260056545013</t>
  </si>
  <si>
    <t>COSU650068384002</t>
  </si>
  <si>
    <r>
      <t>5.11 申报审结</t>
    </r>
    <r>
      <rPr>
        <sz val="11"/>
        <color rgb="FF000000"/>
        <rFont val="微软雅黑"/>
        <charset val="134"/>
      </rPr>
      <t xml:space="preserve"> </t>
    </r>
    <r>
      <rPr>
        <sz val="11"/>
        <color rgb="FF000000"/>
        <rFont val="微软雅黑"/>
        <charset val="134"/>
      </rPr>
      <t>涉及电机，需要人工审单</t>
    </r>
  </si>
  <si>
    <t>5.11 申请人工放行，海关操作成功，报关单已放行</t>
  </si>
  <si>
    <t>230520260056545015</t>
  </si>
  <si>
    <t>COSU650068384001</t>
  </si>
  <si>
    <t>5.11 审结未放行，做人工放行</t>
  </si>
  <si>
    <t>230820260086609024</t>
  </si>
  <si>
    <t>COSU6451727470</t>
  </si>
  <si>
    <t>5.11 查验</t>
  </si>
  <si>
    <t>230820260086602295</t>
  </si>
  <si>
    <t>JNG0317948</t>
  </si>
  <si>
    <t>4.30 申报放行 5.11 代理通知换靠区</t>
  </si>
  <si>
    <r>
      <t>5.11 准备资料，海关操作完成，靠区改单完成。</t>
    </r>
    <r>
      <rPr>
        <sz val="11"/>
        <color rgb="FF000000"/>
        <rFont val="微软雅黑"/>
        <charset val="134"/>
      </rPr>
      <t xml:space="preserve">
</t>
    </r>
    <r>
      <rPr>
        <sz val="11"/>
        <color rgb="FF000000"/>
        <rFont val="微软雅黑"/>
        <charset val="134"/>
      </rPr>
      <t>5.26 代理通知换回原靠区，准备改单资料，发起改单，海关操作成功</t>
    </r>
  </si>
  <si>
    <t>江苏航华</t>
  </si>
  <si>
    <t>230820260086599680</t>
  </si>
  <si>
    <t>JNG0319494</t>
  </si>
  <si>
    <t>4.28 申报放行 5.11 代理通知换靠区</t>
  </si>
  <si>
    <t>330120260000021546</t>
  </si>
  <si>
    <t>177MJCJCJ530145U</t>
  </si>
  <si>
    <r>
      <t>5.11 提交查验计划</t>
    </r>
    <r>
      <rPr>
        <sz val="11"/>
        <color rgb="FF000000"/>
        <rFont val="微软雅黑"/>
        <charset val="134"/>
      </rPr>
      <t xml:space="preserve">
</t>
    </r>
    <r>
      <rPr>
        <sz val="11"/>
        <color rgb="FF000000"/>
        <rFont val="微软雅黑"/>
        <charset val="134"/>
      </rPr>
      <t>5.12 海关操作成功，报关单已放行</t>
    </r>
  </si>
  <si>
    <t>222920260001843216</t>
  </si>
  <si>
    <t>SNKO020260423658</t>
  </si>
  <si>
    <t>230520260056545433</t>
  </si>
  <si>
    <t>177TJWJWJ2007262SBS</t>
  </si>
  <si>
    <r>
      <t>客服：5.11 申报审结未放行</t>
    </r>
    <r>
      <rPr>
        <sz val="11"/>
        <color rgb="FF000000"/>
        <rFont val="微软雅黑"/>
        <charset val="134"/>
      </rPr>
      <t xml:space="preserve">
</t>
    </r>
    <r>
      <rPr>
        <sz val="11"/>
        <color rgb="FF000000"/>
        <rFont val="微软雅黑"/>
        <charset val="134"/>
      </rPr>
      <t>5.12 自查发现因客服提单号通知错误，错申报为：177TJWJWJ2007262SBS，正确应申报：177TJWJWJ2007262BS，统一编号：E20260001751776037，需改单</t>
    </r>
  </si>
  <si>
    <r>
      <t>5.12 申请人工放行，待海关操作</t>
    </r>
    <r>
      <rPr>
        <sz val="11"/>
        <color rgb="FF000000"/>
        <rFont val="微软雅黑"/>
        <charset val="134"/>
      </rPr>
      <t xml:space="preserve">
</t>
    </r>
    <r>
      <rPr>
        <sz val="11"/>
        <color rgb="FF000000"/>
        <rFont val="微软雅黑"/>
        <charset val="134"/>
      </rPr>
      <t>5.12 准备资料，提交改单申请，下午16:33海关操作完成 改单完成未放行，需要人工放行。</t>
    </r>
    <r>
      <rPr>
        <sz val="11"/>
        <color rgb="FF000000"/>
        <rFont val="微软雅黑"/>
        <charset val="134"/>
      </rPr>
      <t xml:space="preserve">
</t>
    </r>
    <r>
      <rPr>
        <sz val="11"/>
        <color rgb="FF000000"/>
        <rFont val="微软雅黑"/>
        <charset val="134"/>
      </rPr>
      <t>5.13 海关操作人工放行，报关单已放行</t>
    </r>
  </si>
  <si>
    <t>230820260086611202</t>
  </si>
  <si>
    <t>CAJ0165268</t>
  </si>
  <si>
    <t>5.12 查验</t>
  </si>
  <si>
    <r>
      <t>5.12 提交查验计划</t>
    </r>
    <r>
      <rPr>
        <sz val="11"/>
        <color rgb="FF000000"/>
        <rFont val="微软雅黑"/>
        <charset val="134"/>
      </rPr>
      <t xml:space="preserve">
</t>
    </r>
    <r>
      <rPr>
        <sz val="11"/>
        <color rgb="FF000000"/>
        <rFont val="微软雅黑"/>
        <charset val="134"/>
      </rPr>
      <t>5.13 查验完成，报关单已放行</t>
    </r>
  </si>
  <si>
    <t>330120260000020268</t>
  </si>
  <si>
    <t>JNG0317636</t>
  </si>
  <si>
    <t>4.30 申报放行 5.9 接船司因为大船更换停靠港口通知改靠区</t>
  </si>
  <si>
    <r>
      <t>5.9 准备资料</t>
    </r>
    <r>
      <rPr>
        <sz val="11"/>
        <color rgb="FF000000"/>
        <rFont val="微软雅黑"/>
        <charset val="134"/>
      </rPr>
      <t xml:space="preserve">
</t>
    </r>
    <r>
      <rPr>
        <sz val="11"/>
        <color rgb="FF000000"/>
        <rFont val="微软雅黑"/>
        <charset val="134"/>
      </rPr>
      <t>5.12提交改单，海关操作完成，靠区改单完成。</t>
    </r>
    <r>
      <rPr>
        <sz val="11"/>
        <color rgb="FF000000"/>
        <rFont val="微软雅黑"/>
        <charset val="134"/>
      </rPr>
      <t xml:space="preserve">
</t>
    </r>
    <r>
      <rPr>
        <sz val="11"/>
        <color rgb="FF000000"/>
        <rFont val="微软雅黑"/>
        <charset val="134"/>
      </rPr>
      <t>5.21 接代理通知大船再次改停外港，需改回报关单，等客户回复</t>
    </r>
    <r>
      <rPr>
        <sz val="11"/>
        <color rgb="FF000000"/>
        <rFont val="微软雅黑"/>
        <charset val="134"/>
      </rPr>
      <t xml:space="preserve">
</t>
    </r>
    <r>
      <rPr>
        <sz val="11"/>
        <color rgb="FF000000"/>
        <rFont val="微软雅黑"/>
        <charset val="134"/>
      </rPr>
      <t>5.22 客户通知可以继续操作改单，下午提交改单，海关操作完成，靠区改单完成</t>
    </r>
  </si>
  <si>
    <t>230720260076513045</t>
  </si>
  <si>
    <t>COSU6500321510</t>
  </si>
  <si>
    <t>5.13 申报审结，代理通知改配</t>
  </si>
  <si>
    <t>5.13 准备资料，提交改单，海关操作完成，改单完成。申请人工放行，报关单已放行。</t>
  </si>
  <si>
    <t>230520260056546708</t>
  </si>
  <si>
    <t>OOLU232761785001</t>
  </si>
  <si>
    <r>
      <t>5.14 申报审结</t>
    </r>
    <r>
      <rPr>
        <sz val="11"/>
        <color rgb="FF000000"/>
        <rFont val="微软雅黑"/>
        <charset val="134"/>
      </rPr>
      <t xml:space="preserve"> </t>
    </r>
    <r>
      <rPr>
        <sz val="11"/>
        <color rgb="FF000000"/>
        <rFont val="微软雅黑"/>
        <charset val="134"/>
      </rPr>
      <t>涉及电机，需要人工审单</t>
    </r>
  </si>
  <si>
    <t>5.14 申请人工放行，海关操作成功，报关单已放行</t>
  </si>
  <si>
    <t>230520260056546709</t>
  </si>
  <si>
    <t>OOLU2327617850</t>
  </si>
  <si>
    <t>330120260000022229</t>
  </si>
  <si>
    <t>OOLU216901321001</t>
  </si>
  <si>
    <t>5.14 申报审结未放行，需要人工放行</t>
  </si>
  <si>
    <t>230820260086613462</t>
  </si>
  <si>
    <t>5.14 查验</t>
  </si>
  <si>
    <r>
      <t>5.14 箱子在江北，待代理通知集装箱到龙潭码头安排查验计划</t>
    </r>
    <r>
      <rPr>
        <sz val="11"/>
        <color rgb="FF000000"/>
        <rFont val="微软雅黑"/>
        <charset val="134"/>
      </rPr>
      <t xml:space="preserve">
</t>
    </r>
    <r>
      <rPr>
        <sz val="11"/>
        <color rgb="FF000000"/>
        <rFont val="微软雅黑"/>
        <charset val="134"/>
      </rPr>
      <t>5.18 箱子到龙潭，申请查验计划，查验完成，报关单已放行。</t>
    </r>
  </si>
  <si>
    <t>222920260001906366</t>
  </si>
  <si>
    <t>SXH1C26049323</t>
  </si>
  <si>
    <t>5.15 提交查验计划，查验完成，报关单已放行</t>
  </si>
  <si>
    <t>230820260086609036</t>
  </si>
  <si>
    <t>COSU6451615270</t>
  </si>
  <si>
    <t>5.11 申报放行 5.15代理通知推驳船</t>
  </si>
  <si>
    <t>5.15 申请改配，海关操作成功</t>
  </si>
  <si>
    <t>230820260086608984</t>
  </si>
  <si>
    <t>COSU6451615670</t>
  </si>
  <si>
    <t>330120260000022392</t>
  </si>
  <si>
    <t>COAU7269335100</t>
  </si>
  <si>
    <t>5.15 审结未放行，做人工放行</t>
  </si>
  <si>
    <t>5.15 申请人工放行，海关操作成功，报关单已放行</t>
  </si>
  <si>
    <t>230520260056547130</t>
  </si>
  <si>
    <t>SNLGZGJL007337</t>
  </si>
  <si>
    <t>5.15 查验</t>
  </si>
  <si>
    <t>230520260056547428</t>
  </si>
  <si>
    <t>230520260056547229</t>
  </si>
  <si>
    <t>JNG0323208B</t>
  </si>
  <si>
    <t>230520260056547137</t>
  </si>
  <si>
    <t>COAU7268870300</t>
  </si>
  <si>
    <r>
      <t>5.15</t>
    </r>
    <r>
      <rPr>
        <sz val="11"/>
        <color rgb="FF000000"/>
        <rFont val="微软雅黑"/>
        <charset val="134"/>
      </rPr>
      <t xml:space="preserve">  </t>
    </r>
    <r>
      <rPr>
        <sz val="11"/>
        <color rgb="FF000000"/>
        <rFont val="微软雅黑"/>
        <charset val="134"/>
      </rPr>
      <t>提交查验计划</t>
    </r>
    <r>
      <rPr>
        <sz val="11"/>
        <color rgb="FF000000"/>
        <rFont val="微软雅黑"/>
        <charset val="134"/>
      </rPr>
      <t xml:space="preserve">
</t>
    </r>
    <r>
      <rPr>
        <sz val="11"/>
        <color rgb="FF000000"/>
        <rFont val="微软雅黑"/>
        <charset val="134"/>
      </rPr>
      <t>5.19 人工查验全掏箱，查验完成 报关单已放行。</t>
    </r>
  </si>
  <si>
    <t>230520260056547539</t>
  </si>
  <si>
    <t>ONEYNKGG08793700A</t>
  </si>
  <si>
    <r>
      <t>5.15 申报审结</t>
    </r>
    <r>
      <rPr>
        <sz val="11"/>
        <color rgb="FF000000"/>
        <rFont val="微软雅黑"/>
        <charset val="134"/>
      </rPr>
      <t xml:space="preserve"> </t>
    </r>
    <r>
      <rPr>
        <sz val="11"/>
        <color rgb="FF000000"/>
        <rFont val="微软雅黑"/>
        <charset val="134"/>
      </rPr>
      <t>涉及电机，需要人工审单</t>
    </r>
  </si>
  <si>
    <t>5.18 申请人工放行，海关操作成功，报关单已放行</t>
  </si>
  <si>
    <t>230520260056547947</t>
  </si>
  <si>
    <t>PCSLJVL401260517</t>
  </si>
  <si>
    <t>5.18 查验</t>
  </si>
  <si>
    <t>5.19 提交查验计划，查验完成 报关单已放行。</t>
  </si>
  <si>
    <t>230820260086616923</t>
  </si>
  <si>
    <t>COSU6501326920</t>
  </si>
  <si>
    <t>5.18 申报放行未码放，车队反馈船名提供错误，需改配</t>
  </si>
  <si>
    <t>5.19 申请改配，海关操作成功，已码放</t>
  </si>
  <si>
    <t>230820260086615651</t>
  </si>
  <si>
    <t>COSU6500503190</t>
  </si>
  <si>
    <t>5.18 提交查验计划，查验完成，报关单已放行</t>
  </si>
  <si>
    <t>230820260086615580</t>
  </si>
  <si>
    <t>177FJCJCJ030126W</t>
  </si>
  <si>
    <t>230820260086616285</t>
  </si>
  <si>
    <t>NOSNJ26LB46110</t>
  </si>
  <si>
    <r>
      <t>5.18 提交查验计划</t>
    </r>
    <r>
      <rPr>
        <sz val="11"/>
        <color rgb="FF000000"/>
        <rFont val="微软雅黑"/>
        <charset val="134"/>
      </rPr>
      <t xml:space="preserve">
</t>
    </r>
    <r>
      <rPr>
        <sz val="11"/>
        <color rgb="FF000000"/>
        <rFont val="微软雅黑"/>
        <charset val="134"/>
      </rPr>
      <t>5.19 机检完成 追加人工查验</t>
    </r>
    <r>
      <rPr>
        <sz val="11"/>
        <color rgb="FF000000"/>
        <rFont val="微软雅黑"/>
        <charset val="134"/>
      </rPr>
      <t xml:space="preserve">
</t>
    </r>
    <r>
      <rPr>
        <sz val="11"/>
        <color rgb="FF000000"/>
        <rFont val="微软雅黑"/>
        <charset val="134"/>
      </rPr>
      <t>5.20 因码头下雨且货物包装为纸箱 不便进行落地查验，顺延至21号安排人工开箱</t>
    </r>
    <r>
      <rPr>
        <sz val="11"/>
        <color rgb="FF000000"/>
        <rFont val="微软雅黑"/>
        <charset val="134"/>
      </rPr>
      <t xml:space="preserve">
</t>
    </r>
    <r>
      <rPr>
        <sz val="11"/>
        <color rgb="FF000000"/>
        <rFont val="微软雅黑"/>
        <charset val="134"/>
      </rPr>
      <t>5.21 查验完成 报关单已放行</t>
    </r>
  </si>
  <si>
    <t>230820260086615740</t>
  </si>
  <si>
    <t>177FJCJCJ030237W</t>
  </si>
  <si>
    <r>
      <t>5.18 提交查验计划</t>
    </r>
    <r>
      <rPr>
        <sz val="11"/>
        <color rgb="FF000000"/>
        <rFont val="微软雅黑"/>
        <charset val="134"/>
      </rPr>
      <t xml:space="preserve">
</t>
    </r>
    <r>
      <rPr>
        <sz val="11"/>
        <color rgb="FF000000"/>
        <rFont val="微软雅黑"/>
        <charset val="134"/>
      </rPr>
      <t>5.19 查验完成，报关单已放行</t>
    </r>
  </si>
  <si>
    <t>230820260086615543</t>
  </si>
  <si>
    <t>COSU6451600750</t>
  </si>
  <si>
    <t>5.18 申报放行未码放，车队预配船名错误</t>
  </si>
  <si>
    <t>5.18 申请人工放行，海关反馈航次有误，代理更新预配后放行</t>
  </si>
  <si>
    <t>232820260286554022</t>
  </si>
  <si>
    <t>PCSLSIL674260426</t>
  </si>
  <si>
    <t>2026年05月04日出口货物（报关单号：232820260286554022、232820260286554028、232820260286554021、232820260286554029；集装箱号：TCKU6672615），抵达目的港后发现实际货物与报关单不符（系发错货，实际应发480台清洁机器人），国外客户拒收，协商后申请退运并重新出运。</t>
  </si>
  <si>
    <t>车队/船务</t>
  </si>
  <si>
    <r>
      <t>5.18 咨询海关相关事宜及解决办法，上海航交办海关回复该事项情形复杂，无法认定。建议由国外直接按发错货方式做直接退运至第三国处理。</t>
    </r>
    <r>
      <rPr>
        <sz val="11"/>
        <color rgb="FF000000"/>
        <rFont val="微软雅黑"/>
        <charset val="134"/>
      </rPr>
      <t xml:space="preserve">
</t>
    </r>
    <r>
      <rPr>
        <sz val="11"/>
        <color rgb="FF000000"/>
        <rFont val="微软雅黑"/>
        <charset val="134"/>
      </rPr>
      <t>5.19，暂无解决方案。</t>
    </r>
  </si>
  <si>
    <t>232820260286554028</t>
  </si>
  <si>
    <t>PCSLSIL675260426</t>
  </si>
  <si>
    <t>232820260286554021</t>
  </si>
  <si>
    <t>PCSLSIL628260426</t>
  </si>
  <si>
    <t>232820260286554029</t>
  </si>
  <si>
    <t>PCSLSIL676260426</t>
  </si>
  <si>
    <t>230820260086617114</t>
  </si>
  <si>
    <t>5.19 查验</t>
  </si>
  <si>
    <r>
      <t>5.19 箱子在江北，待代理通知集装箱到龙潭码头安排查验计划</t>
    </r>
    <r>
      <rPr>
        <sz val="11"/>
        <color rgb="FF000000"/>
        <rFont val="微软雅黑"/>
        <charset val="134"/>
      </rPr>
      <t xml:space="preserve">
</t>
    </r>
    <r>
      <rPr>
        <sz val="11"/>
        <color rgb="FF000000"/>
        <rFont val="微软雅黑"/>
        <charset val="134"/>
      </rPr>
      <t>5.21 代理通知集装箱到港，提交查验计划，查验完成 报关单已放行</t>
    </r>
  </si>
  <si>
    <t>223120260002012718</t>
  </si>
  <si>
    <t>W237316384</t>
  </si>
  <si>
    <t>5.18 申报放行，5.19车队反馈大船提前未赶上原大船，需删单</t>
  </si>
  <si>
    <t>车队</t>
  </si>
  <si>
    <r>
      <t>5.19 接车队通知因大船提前，未赶上原大船，需要删单，在港证明已联系现场办理，待代理提供未上船证明</t>
    </r>
    <r>
      <rPr>
        <sz val="11"/>
        <color rgb="FF000000"/>
        <rFont val="微软雅黑"/>
        <charset val="134"/>
      </rPr>
      <t xml:space="preserve">
</t>
    </r>
    <r>
      <rPr>
        <sz val="11"/>
        <color rgb="FF000000"/>
        <rFont val="微软雅黑"/>
        <charset val="134"/>
      </rPr>
      <t>5.20 删单操作成功</t>
    </r>
  </si>
  <si>
    <t>新成</t>
  </si>
  <si>
    <t>223120260001922549</t>
  </si>
  <si>
    <t>EGLV142601280299</t>
  </si>
  <si>
    <t>5.12 申报 5.14 放行 5.19 代理核实无法做漏装后通知删单</t>
  </si>
  <si>
    <r>
      <t>5.15接车队通知因集装箱晚进港，未上船。代理核实是否可以做漏装改配。</t>
    </r>
    <r>
      <rPr>
        <sz val="11"/>
        <color rgb="FF000000"/>
        <rFont val="微软雅黑"/>
        <charset val="134"/>
      </rPr>
      <t xml:space="preserve">
</t>
    </r>
    <r>
      <rPr>
        <sz val="11"/>
        <color rgb="FF000000"/>
        <rFont val="微软雅黑"/>
        <charset val="134"/>
      </rPr>
      <t>5.19 车队通知删单，费用已确认。已办理在港证明，等待车队提供未上船证明后发起删单</t>
    </r>
    <r>
      <rPr>
        <sz val="11"/>
        <color rgb="FF000000"/>
        <rFont val="微软雅黑"/>
        <charset val="134"/>
      </rPr>
      <t xml:space="preserve">
</t>
    </r>
    <r>
      <rPr>
        <sz val="11"/>
        <color rgb="FF000000"/>
        <rFont val="微软雅黑"/>
        <charset val="134"/>
      </rPr>
      <t>5.20 删单操作成功</t>
    </r>
  </si>
  <si>
    <t>223320261000459174</t>
  </si>
  <si>
    <t>11205305123_AALAX2605038</t>
  </si>
  <si>
    <t>5.19 10:39 申报结关，安排正常提货；14:07 单一新回执 放行后口岸检查</t>
  </si>
  <si>
    <r>
      <t>5.19 10:39申报结关，安排正常提货；</t>
    </r>
    <r>
      <rPr>
        <sz val="11"/>
        <color rgb="FF000000"/>
        <rFont val="微软雅黑"/>
        <charset val="134"/>
      </rPr>
      <t xml:space="preserve">
</t>
    </r>
    <r>
      <rPr>
        <sz val="11"/>
        <color rgb="FF000000"/>
        <rFont val="微软雅黑"/>
        <charset val="134"/>
      </rPr>
      <t>5.20 做日报发现19日下午14:07分单一窗口跳放行后查验指令，上午联系口岸查验科沟通方案，科长反馈后续操作等通知，货物可以正常使用。</t>
    </r>
  </si>
  <si>
    <t>330120260000023198</t>
  </si>
  <si>
    <t>COSU6501576640</t>
  </si>
  <si>
    <t>5.20 审结未放行，做人工放行</t>
  </si>
  <si>
    <t>5.20 申请人工放行，海关操作成功，报关单已放行</t>
  </si>
  <si>
    <t>223320260000891771</t>
  </si>
  <si>
    <t>5.20查验</t>
  </si>
  <si>
    <r>
      <t>5.20 磁铁 现场查验需正本资料，已反馈美的盖章后寄出</t>
    </r>
    <r>
      <rPr>
        <sz val="11"/>
        <color rgb="FF000000"/>
        <rFont val="微软雅黑"/>
        <charset val="134"/>
      </rPr>
      <t xml:space="preserve">
</t>
    </r>
    <r>
      <rPr>
        <sz val="11"/>
        <color rgb="FF000000"/>
        <rFont val="微软雅黑"/>
        <charset val="134"/>
      </rPr>
      <t>5.21 上午开箱查验，待查验信息流转到通关科做综合处置</t>
    </r>
    <r>
      <rPr>
        <sz val="11"/>
        <color rgb="FF000000"/>
        <rFont val="微软雅黑"/>
        <charset val="134"/>
      </rPr>
      <t xml:space="preserve">
</t>
    </r>
    <r>
      <rPr>
        <sz val="11"/>
        <color rgb="FF000000"/>
        <rFont val="微软雅黑"/>
        <charset val="134"/>
      </rPr>
      <t>5.22 海关提供查验记录单，告知提供情况说明等正本资料递交海关，已通知美的寄出，后续事宜待周一上午联系海关对接沟通</t>
    </r>
    <r>
      <rPr>
        <sz val="11"/>
        <color rgb="FF000000"/>
        <rFont val="微软雅黑"/>
        <charset val="134"/>
      </rPr>
      <t xml:space="preserve">
</t>
    </r>
    <r>
      <rPr>
        <sz val="11"/>
        <color rgb="FF000000"/>
        <rFont val="微软雅黑"/>
        <charset val="134"/>
      </rPr>
      <t>5.25 资料已到现场，单证处理已交海关内部流转，等待海关通知后续操作</t>
    </r>
    <r>
      <rPr>
        <sz val="11"/>
        <color rgb="FF000000"/>
        <rFont val="微软雅黑"/>
        <charset val="134"/>
      </rPr>
      <t xml:space="preserve">
</t>
    </r>
    <r>
      <rPr>
        <sz val="11"/>
        <color rgb="FF000000"/>
        <rFont val="微软雅黑"/>
        <charset val="134"/>
      </rPr>
      <t>5.26 因磁铁属于管制物品 现场对已提供的材料研判</t>
    </r>
    <r>
      <rPr>
        <sz val="11"/>
        <color rgb="FF000000"/>
        <rFont val="微软雅黑"/>
        <charset val="134"/>
      </rPr>
      <t xml:space="preserve">
</t>
    </r>
    <r>
      <rPr>
        <sz val="11"/>
        <color rgb="FF000000"/>
        <rFont val="微软雅黑"/>
        <charset val="134"/>
      </rPr>
      <t>5.27 现场通知改单，改单申请已操作成功，货物已海放，已通知代理交接后续提货手续</t>
    </r>
  </si>
  <si>
    <t>232820260286562733</t>
  </si>
  <si>
    <t>CPL0459473</t>
  </si>
  <si>
    <t>5.21 审结未放行，做人工放行</t>
  </si>
  <si>
    <r>
      <t>5.22 申请人工放行</t>
    </r>
    <r>
      <rPr>
        <sz val="11"/>
        <color rgb="FF000000"/>
        <rFont val="微软雅黑"/>
        <charset val="134"/>
      </rPr>
      <t xml:space="preserve">
</t>
    </r>
    <r>
      <rPr>
        <sz val="11"/>
        <color rgb="FF000000"/>
        <rFont val="微软雅黑"/>
        <charset val="134"/>
      </rPr>
      <t>5.22 海关反馈研判，下午单一窗口开启补传通道，上传情况说明后已海放</t>
    </r>
  </si>
  <si>
    <t>安徽威灵汽车部件有限公司</t>
  </si>
  <si>
    <t>223120260002072517</t>
  </si>
  <si>
    <t>COSU645216312002</t>
  </si>
  <si>
    <t>5.21 审结未放行，做人工放行 5.22 海关研判</t>
  </si>
  <si>
    <r>
      <t>5.22 申请人工放行。接现场反馈此票总署研判，等研判结果，已同步通关代表和车队</t>
    </r>
    <r>
      <rPr>
        <sz val="11"/>
        <color rgb="FF000000"/>
        <rFont val="微软雅黑"/>
        <charset val="134"/>
      </rPr>
      <t xml:space="preserve">
</t>
    </r>
    <r>
      <rPr>
        <sz val="11"/>
        <color rgb="FF000000"/>
        <rFont val="微软雅黑"/>
        <charset val="134"/>
      </rPr>
      <t>5.25 单一窗口跳出准卡，已海放</t>
    </r>
  </si>
  <si>
    <t>223120260002041005</t>
  </si>
  <si>
    <t>264871575B</t>
  </si>
  <si>
    <t>5.19 申报审结，5.21代理反馈因船司仓位取消，需删单改配</t>
  </si>
  <si>
    <r>
      <t>5.21接代理通知，因船司仓位取消，需删单改配</t>
    </r>
    <r>
      <rPr>
        <sz val="11"/>
        <color rgb="FF000000"/>
        <rFont val="微软雅黑"/>
        <charset val="134"/>
      </rPr>
      <t xml:space="preserve">
</t>
    </r>
    <r>
      <rPr>
        <sz val="11"/>
        <color rgb="FF000000"/>
        <rFont val="微软雅黑"/>
        <charset val="134"/>
      </rPr>
      <t>5.21下午发起删单，已操作成功</t>
    </r>
  </si>
  <si>
    <t>230820260086620238</t>
  </si>
  <si>
    <t>CAJ0165813</t>
  </si>
  <si>
    <t>5.21 查验</t>
  </si>
  <si>
    <t>5.22 提交查验计划，查验完成，报关单已放行</t>
  </si>
  <si>
    <t>230820260086620434</t>
  </si>
  <si>
    <t>OOLU2169305330</t>
  </si>
  <si>
    <t>230820260086620400</t>
  </si>
  <si>
    <t>NOSNJ26JL45208</t>
  </si>
  <si>
    <r>
      <t>5.22 提交查验计划</t>
    </r>
    <r>
      <rPr>
        <sz val="11"/>
        <color rgb="FF000000"/>
        <rFont val="微软雅黑"/>
        <charset val="134"/>
      </rPr>
      <t xml:space="preserve">
</t>
    </r>
    <r>
      <rPr>
        <sz val="11"/>
        <color rgb="FF000000"/>
        <rFont val="微软雅黑"/>
        <charset val="134"/>
      </rPr>
      <t>5.22 查验完成 报关单已放行</t>
    </r>
  </si>
  <si>
    <t>230820260086619917</t>
  </si>
  <si>
    <t>EGLV145699312211</t>
  </si>
  <si>
    <t>230520260056549857</t>
  </si>
  <si>
    <t>E149603729126A04</t>
  </si>
  <si>
    <t>5.21 申报审结，涉许可证，需人工审单</t>
  </si>
  <si>
    <r>
      <t>5.22 申请人工放行，待海关操作</t>
    </r>
    <r>
      <rPr>
        <sz val="11"/>
        <color rgb="FF000000"/>
        <rFont val="微软雅黑"/>
        <charset val="134"/>
      </rPr>
      <t xml:space="preserve">
</t>
    </r>
    <r>
      <rPr>
        <sz val="11"/>
        <color rgb="FF000000"/>
        <rFont val="微软雅黑"/>
        <charset val="134"/>
      </rPr>
      <t>5.22 海关操作完成 已放行</t>
    </r>
  </si>
  <si>
    <t>230520260056549855</t>
  </si>
  <si>
    <t>E149603729126A02</t>
  </si>
  <si>
    <t>230820260086619863</t>
  </si>
  <si>
    <t>TLNJTKJX26101015</t>
  </si>
  <si>
    <t>申报：5.21申报审结未放行，反查原因为错申报南京驳船，勾选水运中转，正确为南京大船，需删单重报</t>
  </si>
  <si>
    <t>5.22 申请删单，海关操作成功，重报已放行</t>
  </si>
  <si>
    <t>230820260086621147</t>
  </si>
  <si>
    <t>177FJAJAJ010445Z</t>
  </si>
  <si>
    <t>5.22 查验</t>
  </si>
  <si>
    <r>
      <t>5.22 提交查验计划</t>
    </r>
    <r>
      <rPr>
        <sz val="11"/>
        <color rgb="FF000000"/>
        <rFont val="微软雅黑"/>
        <charset val="134"/>
      </rPr>
      <t xml:space="preserve">
</t>
    </r>
    <r>
      <rPr>
        <sz val="11"/>
        <color rgb="FF000000"/>
        <rFont val="微软雅黑"/>
        <charset val="134"/>
      </rPr>
      <t>5.25 查验完成 报关单已放行</t>
    </r>
  </si>
  <si>
    <t>230520260056550017</t>
  </si>
  <si>
    <t>COSU6501469990</t>
  </si>
  <si>
    <t>5.22 审结未放行，做人工放行</t>
  </si>
  <si>
    <t>5.22 申请人工放行，海关操作成功，报关单已放行</t>
  </si>
  <si>
    <t>230820260086620692</t>
  </si>
  <si>
    <t>COSU6501505890</t>
  </si>
  <si>
    <t>5.22 原拼票（COSU650150589001）审结未放行，反查为拼票无预配，置空重发后，代理反馈因系统原因，拼票预配未发送成功，需两票再次置空后重发，主单已放行，需置空</t>
  </si>
  <si>
    <t>远海通/海关系统</t>
  </si>
  <si>
    <r>
      <t>5.22 申请改配，海关操作成功，代理重发预配。代理反馈因系统原因，拼票预配未发送成功。下周一再安排置空</t>
    </r>
    <r>
      <rPr>
        <sz val="11"/>
        <color rgb="FF000000"/>
        <rFont val="微软雅黑"/>
        <charset val="134"/>
      </rPr>
      <t xml:space="preserve">
</t>
    </r>
    <r>
      <rPr>
        <sz val="11"/>
        <color rgb="FF000000"/>
        <rFont val="微软雅黑"/>
        <charset val="134"/>
      </rPr>
      <t>5.25 置空已好，代理重发预配后置回，人工放行。报关单已放行</t>
    </r>
  </si>
  <si>
    <t>230820260086620698</t>
  </si>
  <si>
    <t>COSU650150589001</t>
  </si>
  <si>
    <t>5.22 原拼票（COSU650150589001）审结未放行，反查为拼票无预配，置空重发后，代理反馈因系统原因，拼票预配未发送成功，需两票再次置空后重发，拼票未放行，需改单</t>
  </si>
  <si>
    <t>5.25 代理重发预配后改配，人工放行。报关单已放行</t>
  </si>
  <si>
    <t>010120260000282349</t>
  </si>
  <si>
    <t>99992431264_92431264</t>
  </si>
  <si>
    <t>5.24 查验</t>
  </si>
  <si>
    <r>
      <t>5.24 磁铁 已提交查验计划</t>
    </r>
    <r>
      <rPr>
        <sz val="11"/>
        <color rgb="FF000000"/>
        <rFont val="微软雅黑"/>
        <charset val="134"/>
      </rPr>
      <t xml:space="preserve">
</t>
    </r>
    <r>
      <rPr>
        <sz val="11"/>
        <color rgb="FF000000"/>
        <rFont val="微软雅黑"/>
        <charset val="134"/>
      </rPr>
      <t>5.25 查验已放行</t>
    </r>
  </si>
  <si>
    <t>230520260056551257</t>
  </si>
  <si>
    <t>HLCUNK2260525740</t>
  </si>
  <si>
    <t>5.25 查验</t>
  </si>
  <si>
    <r>
      <t>5.25 提交查验计划</t>
    </r>
    <r>
      <rPr>
        <sz val="11"/>
        <color rgb="FF000000"/>
        <rFont val="微软雅黑"/>
        <charset val="134"/>
      </rPr>
      <t xml:space="preserve">
</t>
    </r>
    <r>
      <rPr>
        <sz val="11"/>
        <color rgb="FF000000"/>
        <rFont val="微软雅黑"/>
        <charset val="134"/>
      </rPr>
      <t>5.26 办理机检预约后，因今日现场卸船调度人力不足，查验箱因位于堆垛最内侧无法拖出，16时15分拖出后，因送往场地的路线拥堵，抵达场地时海关已下班，又原路拖回，明天一早可机检</t>
    </r>
    <r>
      <rPr>
        <sz val="11"/>
        <color rgb="FF000000"/>
        <rFont val="微软雅黑"/>
        <charset val="134"/>
      </rPr>
      <t xml:space="preserve">
</t>
    </r>
    <r>
      <rPr>
        <sz val="11"/>
        <color rgb="FF000000"/>
        <rFont val="微软雅黑"/>
        <charset val="134"/>
      </rPr>
      <t>5.27 查验完成 报关单已放行</t>
    </r>
  </si>
  <si>
    <t>230520260056551369</t>
  </si>
  <si>
    <t>JNG0318315</t>
  </si>
  <si>
    <t>5.25 申报审结，涉许可证，需人工审单</t>
  </si>
  <si>
    <r>
      <t>5.25 申请人工放行</t>
    </r>
    <r>
      <rPr>
        <sz val="11"/>
        <color rgb="FF000000"/>
        <rFont val="微软雅黑"/>
        <charset val="134"/>
      </rPr>
      <t xml:space="preserve">  </t>
    </r>
    <r>
      <rPr>
        <sz val="11"/>
        <color rgb="FF000000"/>
        <rFont val="微软雅黑"/>
        <charset val="134"/>
      </rPr>
      <t>海关操作成功，报关单已放行</t>
    </r>
  </si>
  <si>
    <t>230520260056551372</t>
  </si>
  <si>
    <t>JNG0318315A</t>
  </si>
  <si>
    <t>5.25 申报审结，涉电机，需人工审单</t>
  </si>
  <si>
    <t>230520260056551446</t>
  </si>
  <si>
    <t>ONEYNK5GL7575500</t>
  </si>
  <si>
    <r>
      <t>5.25 提交查验计划</t>
    </r>
    <r>
      <rPr>
        <sz val="11"/>
        <color rgb="FF000000"/>
        <rFont val="微软雅黑"/>
        <charset val="134"/>
      </rPr>
      <t xml:space="preserve">
</t>
    </r>
    <r>
      <rPr>
        <sz val="11"/>
        <color rgb="FF000000"/>
        <rFont val="微软雅黑"/>
        <charset val="134"/>
      </rPr>
      <t>5.26 查验完成，报关单已放行</t>
    </r>
  </si>
  <si>
    <t>230820260086620515</t>
  </si>
  <si>
    <t>NJGCW26001046</t>
  </si>
  <si>
    <r>
      <t>5.21 申报放行</t>
    </r>
    <r>
      <rPr>
        <sz val="11"/>
        <color rgb="FF000000"/>
        <rFont val="微软雅黑"/>
        <charset val="134"/>
      </rPr>
      <t xml:space="preserve">  </t>
    </r>
    <r>
      <rPr>
        <sz val="11"/>
        <color rgb="FF000000"/>
        <rFont val="微软雅黑"/>
        <charset val="134"/>
      </rPr>
      <t>5.25代理通知改单换靠区</t>
    </r>
  </si>
  <si>
    <t>5.25 准备资料改单 海关操作成功</t>
  </si>
  <si>
    <t>230820260086622765</t>
  </si>
  <si>
    <t>177TJWJWJ052383S</t>
  </si>
  <si>
    <t>230820260086619406</t>
  </si>
  <si>
    <t>177WJUJUJ061653W</t>
  </si>
  <si>
    <t>5.21 申报放行 5.25 代理通知改配</t>
  </si>
  <si>
    <r>
      <t>5.25 申请改配 待海关操作</t>
    </r>
    <r>
      <rPr>
        <sz val="11"/>
        <color rgb="FF000000"/>
        <rFont val="微软雅黑"/>
        <charset val="134"/>
      </rPr>
      <t xml:space="preserve">
</t>
    </r>
    <r>
      <rPr>
        <sz val="11"/>
        <color rgb="FF000000"/>
        <rFont val="微软雅黑"/>
        <charset val="134"/>
      </rPr>
      <t>5.26 海关操作成功</t>
    </r>
  </si>
  <si>
    <t>230820260086616705</t>
  </si>
  <si>
    <t>177WJUJUJ061654W</t>
  </si>
  <si>
    <t>230820260086617162</t>
  </si>
  <si>
    <t>177WJUJUJ061655W</t>
  </si>
  <si>
    <t>230820260086617308</t>
  </si>
  <si>
    <t>177WJUJUJ061661W</t>
  </si>
  <si>
    <t>230820260086616847</t>
  </si>
  <si>
    <t>177WJUJUJ061662W</t>
  </si>
  <si>
    <t>230820260086622846</t>
  </si>
  <si>
    <t>177TJWJWJ052373S</t>
  </si>
  <si>
    <r>
      <t>5.25 提交查验计划，追加人工查验</t>
    </r>
    <r>
      <rPr>
        <sz val="11"/>
        <color rgb="FF000000"/>
        <rFont val="微软雅黑"/>
        <charset val="134"/>
      </rPr>
      <t xml:space="preserve">
</t>
    </r>
    <r>
      <rPr>
        <sz val="11"/>
        <color rgb="FF000000"/>
        <rFont val="微软雅黑"/>
        <charset val="134"/>
      </rPr>
      <t>5.26 提交查验计划，查验完成，报关单已放行</t>
    </r>
  </si>
  <si>
    <t>230820260086623169</t>
  </si>
  <si>
    <t>JNG0320718I</t>
  </si>
  <si>
    <r>
      <t>5.25 申请人工放行，待海关操作</t>
    </r>
    <r>
      <rPr>
        <sz val="11"/>
        <color rgb="FF000000"/>
        <rFont val="微软雅黑"/>
        <charset val="134"/>
      </rPr>
      <t xml:space="preserve">
</t>
    </r>
    <r>
      <rPr>
        <sz val="11"/>
        <color rgb="FF000000"/>
        <rFont val="微软雅黑"/>
        <charset val="134"/>
      </rPr>
      <t>5.26 海关对许可证数量提出质疑（数量与实际出口相差过大），经与现场沟通后，联系海关审单放行。</t>
    </r>
  </si>
  <si>
    <t>230820260086623155</t>
  </si>
  <si>
    <t>JNG0320718G</t>
  </si>
  <si>
    <r>
      <t>5.25 申请人工放行</t>
    </r>
    <r>
      <rPr>
        <sz val="11"/>
        <color rgb="FF000000"/>
        <rFont val="微软雅黑"/>
        <charset val="134"/>
      </rPr>
      <t xml:space="preserve">  </t>
    </r>
    <r>
      <rPr>
        <sz val="11"/>
        <color rgb="FF000000"/>
        <rFont val="微软雅黑"/>
        <charset val="134"/>
      </rPr>
      <t>待海关操作</t>
    </r>
    <r>
      <rPr>
        <sz val="11"/>
        <color rgb="FF000000"/>
        <rFont val="微软雅黑"/>
        <charset val="134"/>
      </rPr>
      <t xml:space="preserve">
</t>
    </r>
    <r>
      <rPr>
        <sz val="11"/>
        <color rgb="FF000000"/>
        <rFont val="微软雅黑"/>
        <charset val="134"/>
      </rPr>
      <t>5.26 海关操作成功 报关单已放行</t>
    </r>
  </si>
  <si>
    <t>230820260086623154</t>
  </si>
  <si>
    <t>JNG0320718F</t>
  </si>
  <si>
    <t>230820260086623129</t>
  </si>
  <si>
    <t>JNG0320718D</t>
  </si>
  <si>
    <t>230820260086623090</t>
  </si>
  <si>
    <t>JNG0320718B</t>
  </si>
  <si>
    <t>230820260086623086</t>
  </si>
  <si>
    <t>JNG0320718A</t>
  </si>
  <si>
    <t>230520260056551553</t>
  </si>
  <si>
    <t>PCSLJVL412260520</t>
  </si>
  <si>
    <t>5.26 申请人工放行 海关操作成功，报关单已放行</t>
  </si>
  <si>
    <t>222920260002086005</t>
  </si>
  <si>
    <t>COAU7269203020</t>
  </si>
  <si>
    <t>5.26 提交查验计划，机检查验完成 追加人工查验，人工查验完成，报关单已放行</t>
  </si>
  <si>
    <t>230820260086621965</t>
  </si>
  <si>
    <t>5.22 申报，5.25 放行，5.26 接代理通知，此票货物与单号285474709的货物装反，需删单办重出 箱号：MSKU5438612</t>
  </si>
  <si>
    <r>
      <t>5.26 准备资料，美的和代理安排盖章</t>
    </r>
    <r>
      <rPr>
        <sz val="11"/>
        <color rgb="FF000000"/>
        <rFont val="微软雅黑"/>
        <charset val="134"/>
      </rPr>
      <t xml:space="preserve">
</t>
    </r>
    <r>
      <rPr>
        <sz val="11"/>
        <color rgb="FF000000"/>
        <rFont val="微软雅黑"/>
        <charset val="134"/>
      </rPr>
      <t>5.27 代理提供盖章资料，删单资料海关盖章。发起删单，海关审批质疑：是否集装箱号申报错误，要求走改单流程。提供船公司往来邮件证明两票不满足换箱申报条件（一箱一票一一对应且目的港不一样），现场和海关沟通后重新发起删单，海关操作成功，删单已好。</t>
    </r>
    <r>
      <rPr>
        <sz val="11"/>
        <color rgb="FF000000"/>
        <rFont val="微软雅黑"/>
        <charset val="134"/>
      </rPr>
      <t xml:space="preserve">
</t>
    </r>
    <r>
      <rPr>
        <sz val="11"/>
        <color rgb="FF000000"/>
        <rFont val="微软雅黑"/>
        <charset val="134"/>
      </rPr>
      <t>5.28 办理安排重出手续，重出已好</t>
    </r>
  </si>
  <si>
    <r>
      <t>未申报</t>
    </r>
    <r>
      <rPr>
        <sz val="11"/>
        <color rgb="FF000000"/>
        <rFont val="微软雅黑"/>
        <charset val="134"/>
      </rPr>
      <t xml:space="preserve">               </t>
    </r>
  </si>
  <si>
    <t>5.25 接代理通知，此票货物与单号285474620的货物装反，需办重出 箱号：MSKU7144833</t>
  </si>
  <si>
    <r>
      <t>5.26 准备资料，美的和代理安排盖章</t>
    </r>
    <r>
      <rPr>
        <sz val="11"/>
        <color rgb="FF000000"/>
        <rFont val="微软雅黑"/>
        <charset val="134"/>
      </rPr>
      <t xml:space="preserve">
</t>
    </r>
    <r>
      <rPr>
        <sz val="11"/>
        <color rgb="FF000000"/>
        <rFont val="微软雅黑"/>
        <charset val="134"/>
      </rPr>
      <t>5.27 代理提供盖章资料，285474620删单已好。现场安排重出手续。MSKU7144833 重出已办好</t>
    </r>
  </si>
  <si>
    <t>230820260086620624</t>
  </si>
  <si>
    <t>5.22 申报审结，未预配。5.26 接代理通知改配</t>
  </si>
  <si>
    <t>5.26 代理按原船名航次发送预配后放行，申请改配，海关操作成功</t>
  </si>
  <si>
    <t>230520260056551620</t>
  </si>
  <si>
    <t>PCSLJVL411260520</t>
  </si>
  <si>
    <t>5.26 申报审结，涉及电机 需要人工审单</t>
  </si>
  <si>
    <r>
      <t>5.26 申请人工放行</t>
    </r>
    <r>
      <rPr>
        <sz val="11"/>
        <color rgb="FF000000"/>
        <rFont val="微软雅黑"/>
        <charset val="134"/>
      </rPr>
      <t xml:space="preserve">  </t>
    </r>
    <r>
      <rPr>
        <sz val="11"/>
        <color rgb="FF000000"/>
        <rFont val="微软雅黑"/>
        <charset val="134"/>
      </rPr>
      <t>海关操作成功，报关单已放行</t>
    </r>
  </si>
  <si>
    <t>222920260002086022</t>
  </si>
  <si>
    <t>CPL0455889</t>
  </si>
  <si>
    <r>
      <t>申报审结，5.26</t>
    </r>
    <r>
      <rPr>
        <sz val="11"/>
        <color rgb="FF000000"/>
        <rFont val="微软雅黑"/>
        <charset val="134"/>
      </rPr>
      <t xml:space="preserve"> </t>
    </r>
    <r>
      <rPr>
        <sz val="11"/>
        <color rgb="FF000000"/>
        <rFont val="微软雅黑"/>
        <charset val="134"/>
      </rPr>
      <t>接美的通知，此票更新运输方式为陆运，货物需退回工厂，要删单</t>
    </r>
  </si>
  <si>
    <r>
      <t>5.26</t>
    </r>
    <r>
      <rPr>
        <sz val="11"/>
        <color rgb="FF000000"/>
        <rFont val="微软雅黑"/>
        <charset val="134"/>
      </rPr>
      <t xml:space="preserve"> </t>
    </r>
    <r>
      <rPr>
        <sz val="11"/>
        <color rgb="FF000000"/>
        <rFont val="微软雅黑"/>
        <charset val="134"/>
      </rPr>
      <t>准备资料发起删单申请，海关已操作成功</t>
    </r>
  </si>
  <si>
    <t>230520260056552080</t>
  </si>
  <si>
    <t>PCSLJVL404260527</t>
  </si>
  <si>
    <t>5.26 申报审结，涉电机，需人工审单</t>
  </si>
  <si>
    <t>223120260002155438</t>
  </si>
  <si>
    <t>CHN3359135</t>
  </si>
  <si>
    <t>5.27 机检查验</t>
  </si>
  <si>
    <t>5.27 提交查验计划，查验完成，报关单已放行</t>
  </si>
  <si>
    <t>230520250055601453</t>
  </si>
  <si>
    <t>OOLU2316774070</t>
  </si>
  <si>
    <t>25.12.25 申报放行，1.1 结关。补传许可证</t>
  </si>
  <si>
    <r>
      <t>5.27 提交许可证改单，待海关受理</t>
    </r>
    <r>
      <rPr>
        <sz val="11"/>
        <color rgb="FF000000"/>
        <rFont val="微软雅黑"/>
        <charset val="134"/>
      </rPr>
      <t xml:space="preserve">
</t>
    </r>
    <r>
      <rPr>
        <sz val="11"/>
        <color rgb="FF000000"/>
        <rFont val="微软雅黑"/>
        <charset val="134"/>
      </rPr>
      <t>5.28</t>
    </r>
    <r>
      <rPr>
        <sz val="11"/>
        <color rgb="FF000000"/>
        <rFont val="微软雅黑"/>
        <charset val="134"/>
      </rPr>
      <t xml:space="preserve">  </t>
    </r>
    <r>
      <rPr>
        <sz val="11"/>
        <color rgb="FF000000"/>
        <rFont val="微软雅黑"/>
        <charset val="134"/>
      </rPr>
      <t>操作成功</t>
    </r>
  </si>
  <si>
    <t>230520250055603138</t>
  </si>
  <si>
    <t>177IJWJWJ2006280S</t>
  </si>
  <si>
    <t>25.12.30 申报放行，1.23 结关。补传许可证</t>
  </si>
  <si>
    <t>5.27 提交许可证改单，待海关受理</t>
  </si>
  <si>
    <t>230520250055602774</t>
  </si>
  <si>
    <t>NOSZJ26LB86135</t>
  </si>
  <si>
    <t>25.12.29 申报放行，1.12 结关。补传许可证</t>
  </si>
  <si>
    <t>230520260056539808</t>
  </si>
  <si>
    <t>EGLV145699814012</t>
  </si>
  <si>
    <t>4.24 申报放行，5.27 代理通知大船换靠区（6.8号大船）</t>
  </si>
  <si>
    <r>
      <t>5.27 准备资料，提交改单。海关受理</t>
    </r>
    <r>
      <rPr>
        <sz val="11"/>
        <color rgb="FF000000"/>
        <rFont val="微软雅黑"/>
        <charset val="134"/>
      </rPr>
      <t xml:space="preserve">
</t>
    </r>
    <r>
      <rPr>
        <sz val="11"/>
        <color rgb="FF000000"/>
        <rFont val="微软雅黑"/>
        <charset val="134"/>
      </rPr>
      <t>5.28 改单已好</t>
    </r>
  </si>
  <si>
    <t>230820260086624951</t>
  </si>
  <si>
    <t>ONEYNK6GF1417500</t>
  </si>
  <si>
    <t>5.27 申报放行，海放未码放。反查代理预配件毛重有误，需置空船名航次 删预配 重发后置回</t>
  </si>
  <si>
    <t>5.27 置空船名航次，代理删除预配重发。报关单已放行</t>
  </si>
  <si>
    <t>090820260000233227</t>
  </si>
  <si>
    <t>177UESESD62211*C</t>
  </si>
  <si>
    <t>5.28 17:54 机检查验</t>
  </si>
  <si>
    <t>5.29 提交查验计划 机检查验后追加人工，查验后放行</t>
  </si>
  <si>
    <t>查验/删改单/退柜</t>
  </si>
  <si>
    <t>470220260000001913</t>
  </si>
  <si>
    <t>COAU7269271940</t>
  </si>
  <si>
    <t>5.28 机检查验 6.2 接美的通知因警示标贴提示标贴测试不合格 需要删单退关</t>
  </si>
  <si>
    <r>
      <t>5.28 提交查验计划，查验完成，报关单已放行</t>
    </r>
    <r>
      <rPr>
        <sz val="11"/>
        <color rgb="FF000000"/>
        <rFont val="微软雅黑"/>
        <charset val="134"/>
      </rPr>
      <t xml:space="preserve">
</t>
    </r>
    <r>
      <rPr>
        <sz val="11"/>
        <color rgb="FF000000"/>
        <rFont val="微软雅黑"/>
        <charset val="134"/>
      </rPr>
      <t>6.2 准备删单申请资料</t>
    </r>
  </si>
  <si>
    <t>230820260086625714</t>
  </si>
  <si>
    <t>NSSLANKG26E00084</t>
  </si>
  <si>
    <t>5.27 20:10 机检查验</t>
  </si>
  <si>
    <t>5.28 提交查验计划，查验完成，报关单已放行</t>
  </si>
  <si>
    <t>230820260086625987</t>
  </si>
  <si>
    <t>TLNJLCJU26051041A</t>
  </si>
  <si>
    <t>5.28 机检查验</t>
  </si>
  <si>
    <r>
      <t>5.28 提交查验计划，机检查验完成，追加人工查验，提交查验计划，待开箱</t>
    </r>
    <r>
      <rPr>
        <sz val="11"/>
        <color rgb="FF000000"/>
        <rFont val="微软雅黑"/>
        <charset val="134"/>
      </rPr>
      <t xml:space="preserve">
</t>
    </r>
    <r>
      <rPr>
        <sz val="11"/>
        <color rgb="FF000000"/>
        <rFont val="微软雅黑"/>
        <charset val="134"/>
      </rPr>
      <t>5.29 查验完成，报关单已放行</t>
    </r>
  </si>
  <si>
    <t>230520260056552561</t>
  </si>
  <si>
    <t>OOLU232827995001</t>
  </si>
  <si>
    <t>5.27 申报审结，含电机，需人工放行</t>
  </si>
  <si>
    <t>5.28 申请人工放行 海关操作成功，报关单已放行</t>
  </si>
  <si>
    <t>230520260056552883</t>
  </si>
  <si>
    <t>278295025B</t>
  </si>
  <si>
    <t>5.28 申报审结，含电机，需人工放行</t>
  </si>
  <si>
    <t>230820260086626900</t>
  </si>
  <si>
    <t>OOLU2169368890</t>
  </si>
  <si>
    <t>5.28 20:21 机检查验</t>
  </si>
  <si>
    <t>5.29 提交查验计划，查验完成，报关单已放行</t>
  </si>
  <si>
    <t>230820260086627435</t>
  </si>
  <si>
    <t>JNG0322816A</t>
  </si>
  <si>
    <t>5.28 申报审结，涉许可证，需人工审单</t>
  </si>
  <si>
    <t>5.29 申请人工放行 海关操作成功，报关单已放行</t>
  </si>
  <si>
    <t>230820260086627432</t>
  </si>
  <si>
    <t>JNG0322816C</t>
  </si>
  <si>
    <t>230820260086627429</t>
  </si>
  <si>
    <t>JNG0322816E</t>
  </si>
  <si>
    <t>230820260086627410</t>
  </si>
  <si>
    <t>JNG0320854C</t>
  </si>
  <si>
    <t>230820260086627407</t>
  </si>
  <si>
    <t>JNG0320854A</t>
  </si>
  <si>
    <t>230820260086627995</t>
  </si>
  <si>
    <t>177FJAJAJ010552Z</t>
  </si>
  <si>
    <r>
      <t>5.29</t>
    </r>
    <r>
      <rPr>
        <sz val="11"/>
        <color rgb="FF000000"/>
        <rFont val="微软雅黑"/>
        <charset val="134"/>
      </rPr>
      <t xml:space="preserve">  </t>
    </r>
    <r>
      <rPr>
        <sz val="11"/>
        <color rgb="FF000000"/>
        <rFont val="微软雅黑"/>
        <charset val="134"/>
      </rPr>
      <t>机检查验</t>
    </r>
  </si>
  <si>
    <r>
      <t>5.29 提交查验计划</t>
    </r>
    <r>
      <rPr>
        <sz val="11"/>
        <color rgb="FF000000"/>
        <rFont val="微软雅黑"/>
        <charset val="134"/>
      </rPr>
      <t xml:space="preserve">
</t>
    </r>
    <r>
      <rPr>
        <sz val="11"/>
        <color rgb="FF000000"/>
        <rFont val="微软雅黑"/>
        <charset val="134"/>
      </rPr>
      <t>6.1 查验完成，报关单已放行</t>
    </r>
  </si>
  <si>
    <t>330120260000024855</t>
  </si>
  <si>
    <t>HLCUNK2260464397</t>
  </si>
  <si>
    <r>
      <t>5.29</t>
    </r>
    <r>
      <rPr>
        <sz val="11"/>
        <color rgb="FF000000"/>
        <rFont val="微软雅黑"/>
        <charset val="134"/>
      </rPr>
      <t xml:space="preserve">  </t>
    </r>
    <r>
      <rPr>
        <sz val="11"/>
        <color rgb="FF000000"/>
        <rFont val="微软雅黑"/>
        <charset val="134"/>
      </rPr>
      <t>人工查验</t>
    </r>
  </si>
  <si>
    <t>222520261000120041</t>
  </si>
  <si>
    <t>OOLU2168992460</t>
  </si>
  <si>
    <r>
      <t>5.28 申报审结 5.29 10:55</t>
    </r>
    <r>
      <rPr>
        <sz val="11"/>
        <color rgb="FF000000"/>
        <rFont val="微软雅黑"/>
        <charset val="134"/>
      </rPr>
      <t xml:space="preserve">  </t>
    </r>
    <r>
      <rPr>
        <sz val="11"/>
        <color rgb="FF000000"/>
        <rFont val="微软雅黑"/>
        <charset val="134"/>
      </rPr>
      <t>机检查验</t>
    </r>
  </si>
  <si>
    <r>
      <t>5.29 提交查验计划，因未理货暂时未能安排查验计划，资料已发给现场，等理货后安排后续查验工作</t>
    </r>
    <r>
      <rPr>
        <sz val="11"/>
        <color rgb="FF000000"/>
        <rFont val="微软雅黑"/>
        <charset val="134"/>
      </rPr>
      <t xml:space="preserve">
</t>
    </r>
    <r>
      <rPr>
        <sz val="11"/>
        <color rgb="FF000000"/>
        <rFont val="微软雅黑"/>
        <charset val="134"/>
      </rPr>
      <t>6.1 追加人工查验，查验完成，报关单已放行</t>
    </r>
  </si>
  <si>
    <t>331020260000032243</t>
  </si>
  <si>
    <t>EGLV143661419500</t>
  </si>
  <si>
    <r>
      <t>5.29 14:35</t>
    </r>
    <r>
      <rPr>
        <sz val="11"/>
        <color rgb="FF000000"/>
        <rFont val="微软雅黑"/>
        <charset val="134"/>
      </rPr>
      <t xml:space="preserve">  </t>
    </r>
    <r>
      <rPr>
        <sz val="11"/>
        <color rgb="FF000000"/>
        <rFont val="微软雅黑"/>
        <charset val="134"/>
      </rPr>
      <t>机检查验</t>
    </r>
  </si>
  <si>
    <t>230520260056553527</t>
  </si>
  <si>
    <t>HLCUNK2260528760</t>
  </si>
  <si>
    <t>5.29 申报审结，含电机，需人工放行</t>
  </si>
  <si>
    <t>230520260056553601</t>
  </si>
  <si>
    <t>JNG0321398A</t>
  </si>
  <si>
    <t>230820260086627450</t>
  </si>
  <si>
    <t>ONEYNK5GG3538400</t>
  </si>
  <si>
    <t>5.29 审结未放行，做人工放行</t>
  </si>
  <si>
    <t>230820260086627863</t>
  </si>
  <si>
    <t>EGLV145699208570</t>
  </si>
  <si>
    <t>223120260002217565</t>
  </si>
  <si>
    <t>COSU6501933340</t>
  </si>
  <si>
    <t>5.31机检查验</t>
  </si>
  <si>
    <t>5.31 提交查验计划，查验完成，报关单已放行</t>
  </si>
  <si>
    <t>330120260000025241</t>
  </si>
  <si>
    <t>6.1 机检查验</t>
  </si>
  <si>
    <t>6.1 提交查验计划，查验完成，报关单已放行</t>
  </si>
  <si>
    <t>230820260086629948</t>
  </si>
  <si>
    <t>EGLV145699724616</t>
  </si>
  <si>
    <t>6.1 16:54 机检查验</t>
  </si>
  <si>
    <t>6.2 提交查验计划</t>
  </si>
  <si>
    <t>230820260086629349</t>
  </si>
  <si>
    <t>EGLV145699209355</t>
  </si>
  <si>
    <t>6.1 提交查验计划</t>
  </si>
  <si>
    <t>230520260056554302</t>
  </si>
  <si>
    <t>JNG0323725</t>
  </si>
  <si>
    <t>6.1 18:26 机检查验</t>
  </si>
  <si>
    <t>230520260056554164</t>
  </si>
  <si>
    <t>OOLU2328828950</t>
  </si>
  <si>
    <t>230520260056554041</t>
  </si>
  <si>
    <t>177YJWJWJ2007409AS</t>
  </si>
  <si>
    <t>6.1 申报审结，含电机，需人工放行</t>
  </si>
  <si>
    <t>6.1 申请人工放行 海关操作成功，报关单已放行</t>
  </si>
  <si>
    <t>230520260056554313</t>
  </si>
  <si>
    <t>JNG0324223B</t>
  </si>
  <si>
    <r>
      <t>6.1</t>
    </r>
    <r>
      <rPr>
        <sz val="11"/>
        <color rgb="FF000000"/>
        <rFont val="微软雅黑"/>
        <charset val="134"/>
      </rPr>
      <t xml:space="preserve">  </t>
    </r>
    <r>
      <rPr>
        <sz val="11"/>
        <color rgb="FF000000"/>
        <rFont val="微软雅黑"/>
        <charset val="134"/>
      </rPr>
      <t>18:53 机检查验</t>
    </r>
  </si>
  <si>
    <t>230820260086630399</t>
  </si>
  <si>
    <t>CAJ0166801</t>
  </si>
  <si>
    <r>
      <t>6.1</t>
    </r>
    <r>
      <rPr>
        <sz val="11"/>
        <color rgb="FF000000"/>
        <rFont val="微软雅黑"/>
        <charset val="134"/>
      </rPr>
      <t xml:space="preserve">  </t>
    </r>
    <r>
      <rPr>
        <sz val="11"/>
        <color rgb="FF000000"/>
        <rFont val="微软雅黑"/>
        <charset val="134"/>
      </rPr>
      <t>20:48 机检查验</t>
    </r>
  </si>
  <si>
    <t>230520260056554334</t>
  </si>
  <si>
    <t>ONEYNKGG10512300A</t>
  </si>
  <si>
    <r>
      <t>6.1</t>
    </r>
    <r>
      <rPr>
        <sz val="11"/>
        <color rgb="FF000000"/>
        <rFont val="微软雅黑"/>
        <charset val="134"/>
      </rPr>
      <t xml:space="preserve">  </t>
    </r>
    <r>
      <rPr>
        <sz val="11"/>
        <color rgb="FF000000"/>
        <rFont val="微软雅黑"/>
        <charset val="134"/>
      </rPr>
      <t>申报审结，含电机，需人工放行</t>
    </r>
  </si>
  <si>
    <t>6.2 申请人工放行 待海关操作</t>
  </si>
  <si>
    <t>230820260086630065</t>
  </si>
  <si>
    <t>NOSNJ26HF47273</t>
  </si>
  <si>
    <r>
      <t>6.1</t>
    </r>
    <r>
      <rPr>
        <sz val="11"/>
        <color rgb="FF000000"/>
        <rFont val="微软雅黑"/>
        <charset val="134"/>
      </rPr>
      <t xml:space="preserve"> </t>
    </r>
    <r>
      <rPr>
        <sz val="11"/>
        <color rgb="FF000000"/>
        <rFont val="微软雅黑"/>
        <charset val="134"/>
      </rPr>
      <t>申报审结，箱状态显示异常（报关单未放行，运抵回执显示集装箱已核销）</t>
    </r>
    <r>
      <rPr>
        <sz val="11"/>
        <color rgb="FF000000"/>
        <rFont val="微软雅黑"/>
        <charset val="134"/>
      </rPr>
      <t xml:space="preserve"> </t>
    </r>
    <r>
      <rPr>
        <sz val="11"/>
        <color rgb="FF000000"/>
        <rFont val="微软雅黑"/>
        <charset val="134"/>
      </rPr>
      <t>海关人工放行</t>
    </r>
  </si>
  <si>
    <t>230520260056554246</t>
  </si>
  <si>
    <t>OOLU232974754002</t>
  </si>
  <si>
    <t>230520260056554321</t>
  </si>
  <si>
    <t>JNG0325696</t>
  </si>
  <si>
    <r>
      <t>6.1</t>
    </r>
    <r>
      <rPr>
        <sz val="11"/>
        <color rgb="FF000000"/>
        <rFont val="微软雅黑"/>
        <charset val="134"/>
      </rPr>
      <t xml:space="preserve">  </t>
    </r>
    <r>
      <rPr>
        <sz val="11"/>
        <color rgb="FF000000"/>
        <rFont val="微软雅黑"/>
        <charset val="134"/>
      </rPr>
      <t>申报审结，涉许可证，需人工放行</t>
    </r>
  </si>
  <si>
    <t>通关代表</t>
  </si>
  <si>
    <t>冷义峰</t>
  </si>
  <si>
    <t>广州华凌制冷设备有限公司</t>
  </si>
  <si>
    <t>佛山市美的开利制冷设备有限公司</t>
  </si>
  <si>
    <t>张焯良</t>
  </si>
  <si>
    <t>吴梅菊</t>
  </si>
  <si>
    <t>海南美智沧海电子商务服务有限公司</t>
  </si>
  <si>
    <t>广东威特真空电子制造有限公司</t>
  </si>
  <si>
    <t>佛山市顺德区美的电热电器制造有限公司</t>
  </si>
  <si>
    <t>生活电器</t>
  </si>
  <si>
    <t>黄婷玉</t>
  </si>
  <si>
    <t>广东美的生活电器制造有限公司</t>
  </si>
  <si>
    <t>广东美的酷晨生活电器制造有限公司</t>
  </si>
  <si>
    <t>广东美的卡菲咖啡机制造有限公司</t>
  </si>
  <si>
    <t>佛山市顺德区美的洗涤电器制造有限公司</t>
  </si>
  <si>
    <t>林泳贤</t>
  </si>
  <si>
    <t>佛山市顺德区美的饮水机制造有限公司</t>
  </si>
  <si>
    <t>佛山市麦克罗美的滤芯设备制造有限公司</t>
  </si>
  <si>
    <t>佛山市威灵洗涤电机制造有限公司</t>
  </si>
  <si>
    <t>梁绮霞</t>
  </si>
  <si>
    <t>广东美芝制冷设备有限公司</t>
  </si>
  <si>
    <t>广东美的环境科技有限公司</t>
  </si>
  <si>
    <t>北京合康新能变频技术有限公司</t>
  </si>
  <si>
    <t>姜俊辰</t>
  </si>
  <si>
    <t>北京华泰润达节能科技有限公司</t>
  </si>
  <si>
    <t>广东美的环境电器制造有限公司</t>
  </si>
  <si>
    <t>美智光电科技股份有限公司</t>
  </si>
  <si>
    <t>美智光电</t>
  </si>
  <si>
    <t>合肥美联博空调设备有限公司</t>
  </si>
  <si>
    <t>广东美西科技有限公司</t>
  </si>
  <si>
    <t>美西</t>
  </si>
  <si>
    <t>广东美的日用电器进出口贸易有限公司</t>
  </si>
  <si>
    <t>美的国际</t>
  </si>
  <si>
    <t>美智纵横科技有限责任公司</t>
  </si>
  <si>
    <t>束智信</t>
  </si>
  <si>
    <t>美的集团武汉制冷设备有限公司</t>
  </si>
  <si>
    <t>安徽美芝精密制造有限公司</t>
  </si>
  <si>
    <t>淮安威灵电机制造有限公司</t>
  </si>
  <si>
    <t>颜仕佳</t>
  </si>
  <si>
    <t>浙江美芝压缩机有限公司</t>
  </si>
  <si>
    <t>广东美创希科技有限公司</t>
  </si>
  <si>
    <t>美创希</t>
  </si>
  <si>
    <t>异常费用（CNY）</t>
  </si>
  <si>
    <t>230820250085582226</t>
  </si>
  <si>
    <t>177IJWJWJ045030S</t>
  </si>
  <si>
    <t>申报：177IJWJWJ045030S,外港，靠区申报错误，需要改单</t>
  </si>
  <si>
    <t>4.16日改单完成</t>
  </si>
  <si>
    <t>230820250085584107</t>
  </si>
  <si>
    <t>177TJWJWJ045218S</t>
  </si>
  <si>
    <t>申报：177TJWJWJ045218S,船名航次漏报，需要改单</t>
  </si>
  <si>
    <t>4.18日改单完成</t>
  </si>
  <si>
    <t>222920250001383470</t>
  </si>
  <si>
    <t>SXH1C25042828</t>
  </si>
  <si>
    <t>申报：SXH1C25042828,未通知申报，需要删单</t>
  </si>
  <si>
    <t>4.25删单完成</t>
  </si>
  <si>
    <t>230520250055531028</t>
  </si>
  <si>
    <t>EGLV145599055283</t>
  </si>
  <si>
    <t>申报：EGLV145599055283,船名航次申报错误，需要改单</t>
  </si>
  <si>
    <t>4.21改单完成</t>
  </si>
  <si>
    <t>230820250085583139</t>
  </si>
  <si>
    <t>177MJCJCJ025914W</t>
  </si>
  <si>
    <t>177MJCJCJ025914W,改配</t>
  </si>
  <si>
    <t>330120250000015079</t>
  </si>
  <si>
    <t>HLCUNK22504APCY0</t>
  </si>
  <si>
    <t>HLCUNK22504APCY0,船名错误，需要改船名航次</t>
  </si>
  <si>
    <t>4.18处理完成</t>
  </si>
  <si>
    <t>222920250001409473</t>
  </si>
  <si>
    <t>APN0123580</t>
  </si>
  <si>
    <t>APN0123580,舱单船名错，需要删单</t>
  </si>
  <si>
    <t>骅佑</t>
  </si>
  <si>
    <t>230520250055531175</t>
  </si>
  <si>
    <t>ONEYNK5GR0306300</t>
  </si>
  <si>
    <t>ONEYNK5GR0306300,落装改配</t>
  </si>
  <si>
    <t>船公司</t>
  </si>
  <si>
    <t>4.29改单完成</t>
  </si>
  <si>
    <t>230520250055531030</t>
  </si>
  <si>
    <t>EGLV145599055194</t>
  </si>
  <si>
    <t>申报：EGLV145599055194,船名航次申报错误，需要改单</t>
  </si>
  <si>
    <t>230820250085587629</t>
  </si>
  <si>
    <t>CAJ0137585</t>
  </si>
  <si>
    <t>申报：CAJ0137585,船名申报错误，需要改单</t>
  </si>
  <si>
    <t>4.23改单完成</t>
  </si>
  <si>
    <t>230520250055532570</t>
  </si>
  <si>
    <t>COSU641557281002</t>
  </si>
  <si>
    <t>COSU641557281002,改配</t>
  </si>
  <si>
    <t>230520250055532571</t>
  </si>
  <si>
    <t>COSU641557281001</t>
  </si>
  <si>
    <t>COSU641557281001,改配</t>
  </si>
  <si>
    <t>230820250055532572</t>
  </si>
  <si>
    <t>COSU6415572810</t>
  </si>
  <si>
    <t>COSU6415572810,改配</t>
  </si>
  <si>
    <t>230820250085589784</t>
  </si>
  <si>
    <t>NKAI50019400</t>
  </si>
  <si>
    <t>NKAI50019400,船名提供错误，需要改单</t>
  </si>
  <si>
    <t>航华</t>
  </si>
  <si>
    <t>223120250001519884</t>
  </si>
  <si>
    <t>177TJWJWSA10767</t>
  </si>
  <si>
    <t>177TJWJWSA10767,车队进港错，需要删单</t>
  </si>
  <si>
    <t>4.29删单完成</t>
  </si>
  <si>
    <t>222920250001512466</t>
  </si>
  <si>
    <t>AHACB25021979</t>
  </si>
  <si>
    <t>AHACB25021979，无码放，删单</t>
  </si>
  <si>
    <t>330120250000015828</t>
  </si>
  <si>
    <t>COSU6413341670</t>
  </si>
  <si>
    <t>COSU6413341670,运抵异常，需要删单</t>
  </si>
  <si>
    <t>4.27日删单完成</t>
  </si>
  <si>
    <t>232820250285532561</t>
  </si>
  <si>
    <t>JJCSHTHA512257</t>
  </si>
  <si>
    <t>申报：JJCSHTHA512257,无勾选水运中转，需要删单</t>
  </si>
  <si>
    <t>4.28删单完成</t>
  </si>
  <si>
    <t>230820250085596198</t>
  </si>
  <si>
    <t>COSU6415850800</t>
  </si>
  <si>
    <t>申报：COSU6415850800,船名申报错误，需要改单</t>
  </si>
  <si>
    <t>5.7日完成改单</t>
  </si>
  <si>
    <t>230820250085596789</t>
  </si>
  <si>
    <t>CAJ0138492</t>
  </si>
  <si>
    <t>申报：CAJ0138492,航次号漏申报，需要改单</t>
  </si>
  <si>
    <t>230820250085597222</t>
  </si>
  <si>
    <t>CAJ0137623</t>
  </si>
  <si>
    <t>CAJ0137623，外港，申报地错误，单据为南京，出运表未显示起运港，实际应为荆州，需要删单；</t>
  </si>
  <si>
    <t>船务</t>
  </si>
  <si>
    <t>5.12报关单已删，5.12已重报放行</t>
  </si>
  <si>
    <t>222920250001617653</t>
  </si>
  <si>
    <t>FITFLCYY10018</t>
  </si>
  <si>
    <t>FITFLCYY10018，合肥一体化，代理通知申报地为“泸州海关”，发送未修改，申报为航交办，3个柜已结关，影响代理补贴450元/柜，代理索赔1350元；</t>
  </si>
  <si>
    <t>无需删改单，费用如何处理</t>
  </si>
  <si>
    <t>232820250285535159</t>
  </si>
  <si>
    <t>COSU6415739500</t>
  </si>
  <si>
    <t>COSU6415739500，洋山，代理空箱当重箱进港，造成无货申报，需要删单并提离港区；</t>
  </si>
  <si>
    <t>报关单已删，5.13车队开具未上船证明，已办理提离港区</t>
  </si>
  <si>
    <t>222920250001616255</t>
  </si>
  <si>
    <t>177IJWJWSA10820</t>
  </si>
  <si>
    <t>177IJWJWSA10820，外港，车队进港晚，没赶上大船，需要删单并提离港区；</t>
  </si>
  <si>
    <t>5.9报关单已删，5.13车队开具未上船证明，已办理提离港区</t>
  </si>
  <si>
    <t>222920250001616258</t>
  </si>
  <si>
    <t>177IJWJWSA10821</t>
  </si>
  <si>
    <t>177IJWJWSA10821，外港，车队进港晚，没赶上大船，需要删单并提离港区；</t>
  </si>
  <si>
    <t>230820250085597184</t>
  </si>
  <si>
    <t>COSU6416701190</t>
  </si>
  <si>
    <t>COSU6416701190，洋山，驳船业务，预配舱单错误，目前删单和改单均被海关驳回，南京中远物流在和海关沟通中。</t>
  </si>
  <si>
    <t>5.8改船名，仍未放行，等现场联系海关处理，5.15已删单重报，已放行</t>
  </si>
  <si>
    <t>230520250055536061</t>
  </si>
  <si>
    <t xml:space="preserve">OOLU2759910080 </t>
  </si>
  <si>
    <t>OOLU2759910080  张家港驳船  按出运表申报审结后张家港外代通知改提单号，预配舱单提单号为OOLU275991008001</t>
  </si>
  <si>
    <t>5.9报关单已删，已放行</t>
  </si>
  <si>
    <t>222920250001627262</t>
  </si>
  <si>
    <t>285750046  外港，上海飞远，进港晚，未赶上大船，申请删单（不办提离港区）</t>
  </si>
  <si>
    <t>5.12报关单已删</t>
  </si>
  <si>
    <t>223120250001565904</t>
  </si>
  <si>
    <t>177TASASS103540</t>
  </si>
  <si>
    <t>177TASASS103540  洋山，上海飞远，进港晚，未赶上大船，申请删单</t>
  </si>
  <si>
    <t>5.12已发起删单申请，因情况说明上的原因和未上船证明上不一致，被海关退回，5.13重新提供说明，已删单</t>
  </si>
  <si>
    <t>230820250085592135</t>
  </si>
  <si>
    <t>YMJAW241134683</t>
  </si>
  <si>
    <t>YMJAW241134683 南京驳船，要求退运</t>
  </si>
  <si>
    <t>5.12已删单</t>
  </si>
  <si>
    <t>230820250085596991</t>
  </si>
  <si>
    <t>COSU6416678720</t>
  </si>
  <si>
    <t>COSU6416678720 南京驳船，审结后做运抵，箱子未场，不能发送运抵，车队也未通知进港时间，放行后换船</t>
  </si>
  <si>
    <t>已现场处理换船</t>
  </si>
  <si>
    <t>230820250085596986</t>
  </si>
  <si>
    <t>COSU6416678830</t>
  </si>
  <si>
    <t>COSU6416678830 南京驳船，审结后做运抵，箱子未场，不能发送运抵，车队也未通知进港时间，放行后换船</t>
  </si>
  <si>
    <t>230820250085595006</t>
  </si>
  <si>
    <t>ONEYNK4GF6732800</t>
  </si>
  <si>
    <t>ONEYNK4GF6732800 南京驳船，查验放行后换船</t>
  </si>
  <si>
    <t>230820250085595206</t>
  </si>
  <si>
    <t>177IJWJWJ045145S</t>
  </si>
  <si>
    <t>177IJWJWJ045145S 南京驳船，由于订舱代理更改驳船，放行后换船</t>
  </si>
  <si>
    <t>230820250085596168</t>
  </si>
  <si>
    <t>177IJWJWJ045562S</t>
  </si>
  <si>
    <t>177IJWJWJ045562S 南京驳船，由于订舱代理更改驳船，放行后换船</t>
  </si>
  <si>
    <t>222920250001803522
（提单号CKCOSHA2101917）</t>
  </si>
  <si>
    <t>CKCOSHA4102902</t>
  </si>
  <si>
    <t>未收到报关指令，未申报</t>
  </si>
  <si>
    <t>（1）此单改配提单号为：CKCOSHA2101917
（2）5.19已报关放行</t>
  </si>
  <si>
    <t>230820250085596559</t>
  </si>
  <si>
    <t>ONEYNKGF01480600</t>
  </si>
  <si>
    <t>代理要求先按照LINGZHENG16 25618S报关，等放行后改驳船航次，已改完</t>
  </si>
  <si>
    <t>230820250085598846</t>
  </si>
  <si>
    <t>SNLFNJPXSWY0306</t>
  </si>
  <si>
    <t>放行后代理要求换船</t>
  </si>
  <si>
    <t>230820250085599197</t>
  </si>
  <si>
    <t>SNLFNJPXSWY0307</t>
  </si>
  <si>
    <t>230820250085599204</t>
  </si>
  <si>
    <t>放行后换船</t>
  </si>
  <si>
    <t>5.12已现场处理换船</t>
  </si>
  <si>
    <t>230820250085596142</t>
  </si>
  <si>
    <t>230820250085599466</t>
  </si>
  <si>
    <t>230820250085599618</t>
  </si>
  <si>
    <t xml:space="preserve"> 230820250085601095</t>
  </si>
  <si>
    <t>COSU6416184220</t>
  </si>
  <si>
    <r>
      <rPr>
        <sz val="11"/>
        <color theme="1"/>
        <rFont val="微软雅黑"/>
        <charset val="134"/>
      </rPr>
      <t>申报：船名报错，少个空格</t>
    </r>
    <r>
      <rPr>
        <sz val="11"/>
        <color rgb="FF000000"/>
        <rFont val="微软雅黑"/>
        <charset val="134"/>
      </rPr>
      <t xml:space="preserve">
改单放行后改配</t>
    </r>
  </si>
  <si>
    <t>5.13联系现场处理，改单完成，已放行</t>
  </si>
  <si>
    <t>223120250001670182</t>
  </si>
  <si>
    <t>车队进港晚，没赶上船（邮件通知）</t>
  </si>
  <si>
    <t>5.14已删单</t>
  </si>
  <si>
    <t>230820250085600374</t>
  </si>
  <si>
    <t>SNLFNJJL001601</t>
  </si>
  <si>
    <t>机检查验</t>
  </si>
  <si>
    <t>5.12已机检查验放行</t>
  </si>
  <si>
    <t>230720250075511198</t>
  </si>
  <si>
    <t>COSU6417391100</t>
  </si>
  <si>
    <t>人工查验</t>
  </si>
  <si>
    <t>5.13查验，包装不符、品牌有问题，美的已提供情况说明，待现场联系海关处理，代理未提供新的铅封，5.19提供资料，接受海关处罚，缴纳罚款2000元，已改单放行</t>
  </si>
  <si>
    <t>223120250001762309</t>
  </si>
  <si>
    <t>HDMUSHAE24308800</t>
  </si>
  <si>
    <t>指定代理舱单发送错误， 现需要删除报关单后删除舱单，重新发正确舱单并重新报关</t>
  </si>
  <si>
    <t>5.16已完成删单</t>
  </si>
  <si>
    <t>230820250085601668</t>
  </si>
  <si>
    <t>NJGCB25001235</t>
  </si>
  <si>
    <t>5.13已机检查验放行</t>
  </si>
  <si>
    <t>230820250085581380</t>
  </si>
  <si>
    <t>HLCUNK2250307931</t>
  </si>
  <si>
    <t>未及时申报，额外费用1055.5
4.14代理 17：20催加急报，18点截关，18：15申报，4.15换船改配</t>
  </si>
  <si>
    <t>230820250085604084</t>
  </si>
  <si>
    <t>177MJWJWJ045576S</t>
  </si>
  <si>
    <t>5.16已机检查验放行</t>
  </si>
  <si>
    <t>230820250085603590</t>
  </si>
  <si>
    <t>EGLV145599720163</t>
  </si>
  <si>
    <t>232820250285533576</t>
  </si>
  <si>
    <t>177IJWJWSA10811</t>
  </si>
  <si>
    <t>申报：此单第16项品名未按报关草单修改第二法定数量，产生申报错误，现苏州吴中海关提出质疑。报关草单提供的米数是 1776134.01米，申报为1650米</t>
  </si>
  <si>
    <t>5.19发起改单申请，5.21已完成改单</t>
  </si>
  <si>
    <t>232820250285539218</t>
  </si>
  <si>
    <t>CPL0312449
（CPL0318537、CPL0323159）</t>
  </si>
  <si>
    <t>CPL0312449、CPL0312449P1，外港，两票自拼箱申报地为苏吴中，5.16申报，主单放行，拼单审结，报关单信息、舱单 信息、港区信息都一致，无法放行</t>
  </si>
  <si>
    <t>海关总署研判</t>
  </si>
  <si>
    <t>5.19联系苏吴中海关现场，CPL0312449P1被海关总署研判，待通知处理，可能要删单
5.20大船已开，远海通联系港区开具在港证明，船代出未上船证明，办理删单
5.21海关放行，发起删单申请，海关待受理
5.22完成删单
5.22更新提单号、船名航次重新申报，CPL0318537 和CPL0318537P1，仍然是主单放行，拼单审结，被海关总署研判，待通知处理
5.28放行，远海通开具在港证明，发起删单
5.29已删单
待新配船有舱单信息后重新申报，提单号CPL0323159，CPL0323159P1
6.5日完成申报，无运抵暂未放行
6.6日联系苏吴中海关，海关总署研判，待通知处理
6.19放行
6.19准备删单、提离资料
6.23收到提离申请等资料
6.24办好提离手续，正本交车队</t>
  </si>
  <si>
    <t>232820250285539217</t>
  </si>
  <si>
    <t>CPL0312449P1
（CPL0318537P1、CPL0323159P1）</t>
  </si>
  <si>
    <t>331020250000019547</t>
  </si>
  <si>
    <t>FBCL91340A</t>
  </si>
  <si>
    <t>箱未进，截关：2025-05-17 13:00，5/17 22:08:16代理在群里通知申报，5/17 22:11:16通知要等通知再报，远海通于22：14分已发送申报（申报人员未及时看到暂停申报的通知），原大船已离泊</t>
  </si>
  <si>
    <t>远海通/代理</t>
  </si>
  <si>
    <t>5.19联系代理是否可以改配，还是需要删单处理，代理让再等等
5.28联系代理，改太仓口岸换船公司出运，重箱已拆箱还空，货物已重新装箱
6.4待代理提供未上船证明后申请删报关单
6.16下午收到未上船证明
6.17申请删单，海关审核不通过
6.18再次发起删单申请，报关单删单成功</t>
  </si>
  <si>
    <t>230520250055538632</t>
  </si>
  <si>
    <t>JNG0248840</t>
  </si>
  <si>
    <t>5.19已机检查验放行</t>
  </si>
  <si>
    <t>230520250055538865</t>
  </si>
  <si>
    <t>177FJUJUJ206151W</t>
  </si>
  <si>
    <t>5.21已机检查验放行</t>
  </si>
  <si>
    <t>230820250085602885</t>
  </si>
  <si>
    <t>JNG0248706</t>
  </si>
  <si>
    <t>5.14报关单放行，5.16晚19点代理反馈无码放</t>
  </si>
  <si>
    <t>海关系统/代理</t>
  </si>
  <si>
    <t>5.19上午海关现场查询，造成未码放的原因是海关系统问题，下午提供情况说明给海关，要求发起改单申请，下午发起改单，5.20上午10：12海关操作成功，暂无码放数据，下午15：53海关回复”底账未全部到货“，发现代理于5.16晚18：50把我们发的核碰正常的运抵删了，重新发的运抵船名航次不对，无法核碰，代理未通知远海通，16:16删除错误运抵，再次发送运抵，17:33运抵核碰正常，海关放行，码头接收到放行信息。</t>
  </si>
  <si>
    <t>230820250085602873</t>
  </si>
  <si>
    <t>177FJMJMJ006032X</t>
  </si>
  <si>
    <t>5.19上午海关现场查询，造成未码放的原因是海关系统问题，下午提供情况说明给海关，要求发起改单申请，下午发起改单，5.20上午10：12海关操作成功，11：06码放</t>
  </si>
  <si>
    <t>230820250085605759</t>
  </si>
  <si>
    <t>COSU6417468900</t>
  </si>
  <si>
    <t>5.17报关单放行，代理反馈无码放</t>
  </si>
  <si>
    <t>5.19上午海关现场沟通，造成未码放的原因是海关系统问题，下午提供情况说明给海关，海关系统查询到未码放的原因是报关单重量超进港重量，
5.20上午跟海关现场沟通，反馈件重超范围，报关单5064，底账5040，代理回复：这票第一次发EMF的时候毛重按照5040发的，然后美的关务做了EMF更正改成了5064。
5.21跟海关申请报关船名置空，代理删除预配舱单重发，再次跟海关申请报关单船名航次改成 ZHONGXINGTUNAN/B070E，重发运抵，已码放</t>
  </si>
  <si>
    <t>222920250001797881</t>
  </si>
  <si>
    <t>JJCSHCNY500989</t>
  </si>
  <si>
    <t>5.19上午8：35代理通知申报，10：19箱进港，10：41收到报关资料，13：49可申报，无舱单，15：00查到舱单，15：02申报，15：21海关挂起，要求补传无人机资料，16：30补传，海关已下班，5.20上午9：14放行，代理通知船公司已截单，要盯箱</t>
  </si>
  <si>
    <t>5.20美的通知代理安排盯箱，已码放
5.21已装船出场</t>
  </si>
  <si>
    <t>230520250055538563</t>
  </si>
  <si>
    <t>SITGZJJTY03383</t>
  </si>
  <si>
    <t>5.16下午14：02收到的报关资料，14：27收到的出运表，20：56申报，21：13放行
5.19美的通知，因申报晚，造成箱子未上船
5.19下午三点开始，积压了很多急单，有很多单的出运表跟报关资料倒挂，这些倒挂的单子都是急单，我们急于处理这些急单跟前道单证的沟通确认，疏忽了这两票单子的跟进</t>
  </si>
  <si>
    <t>已改配5.29大船，已码放</t>
  </si>
  <si>
    <t>230520250055538562</t>
  </si>
  <si>
    <t>SITGZJJTY03383A</t>
  </si>
  <si>
    <t>未报关</t>
  </si>
  <si>
    <t>CULVSHA2509559</t>
  </si>
  <si>
    <t>5.20上午10：47代理通知大船已开 未报关  有两个柜子在外一  需要提离港区 请协助办理</t>
  </si>
  <si>
    <t>取消订单</t>
  </si>
  <si>
    <t>5.22已办好提离申请，资料已交代理</t>
  </si>
  <si>
    <t>CPL0315122</t>
  </si>
  <si>
    <t>5.205.20下午15：16代理通知退运，未报关，柜子已卸上海港码头  要办理提离港区</t>
  </si>
  <si>
    <t>退运</t>
  </si>
  <si>
    <t>5.27提供在港证明、未上船证明，
5.28已办理港区提离手续，已交车队</t>
  </si>
  <si>
    <t>230820250085607043</t>
  </si>
  <si>
    <t>COSU6418092910</t>
  </si>
  <si>
    <t>5.19报关单放行，21：23代理通知出运表做错了，正确为535件，出运表为534件，按534件申报，预配舱单错申报为534件</t>
  </si>
  <si>
    <t>5.20已发起改单申请，更改件数为535件
5.21报关单件数已改为535件，等代理跟指代沟通舱单如何处理后，做进一步操作（跟海关申请置空船名，代理申请改预配舱单，然后再改正确船名）
，已多次跟代理沟通舱单问题，代理回复订舱为美的指代，指代没有进一步通知，转关单已做，大船预计6月13日离泊，已结关。</t>
  </si>
  <si>
    <t>230820250085607191</t>
  </si>
  <si>
    <t>COSU6418143540</t>
  </si>
  <si>
    <t>5.19收到出运表后申报，无预配，5.20下午15：18报关单放行，14：15代理通知需更新船名为：ZHONGXINGTUNAN B070E</t>
  </si>
  <si>
    <t>5.20下午现场联系海关更改船名，海关回复不存在，16：06代理再次通知改船名和靠区：新船名航次靠区   LINGZHENG16  25621S    宁波梅山岛，5.21已完成改单</t>
  </si>
  <si>
    <t>延船</t>
  </si>
  <si>
    <t>230820250085607997</t>
  </si>
  <si>
    <t>ANH0107151</t>
  </si>
  <si>
    <t>5.20上午10：37代理发送出运表并标注今天截关，并于10点20分，17点20分两次告知这些单今天要放行但还未放行，19点54分驳船代理通知船等不了货，这五票推驳船。</t>
  </si>
  <si>
    <t>已改配5.30大船</t>
  </si>
  <si>
    <t>230820250085607999</t>
  </si>
  <si>
    <t>JNG0250940</t>
  </si>
  <si>
    <t>已改配5.27大船</t>
  </si>
  <si>
    <t>230820250085607998</t>
  </si>
  <si>
    <t>JNG0250933</t>
  </si>
  <si>
    <t>230820250085608000</t>
  </si>
  <si>
    <t>177FJMJMJ006073X</t>
  </si>
  <si>
    <t>已改配5.31大船</t>
  </si>
  <si>
    <t>230820250085608001</t>
  </si>
  <si>
    <t>JJMNJMNHNC500668</t>
  </si>
  <si>
    <t>已改配6.1大船</t>
  </si>
  <si>
    <t>232820250285535222</t>
  </si>
  <si>
    <t>HLCUSHA2504ASVW0</t>
  </si>
  <si>
    <t>申报：报关单第4项商品吸尘器用线束的法定第二数量申报错误，应申报为：26米，误申报为1.4米</t>
  </si>
  <si>
    <t>232820250285530065</t>
  </si>
  <si>
    <t>SNLFSHVLK906347</t>
  </si>
  <si>
    <t>申报：报关单第13项商品吸尘器用线束的法定第二数量申报错误，应申报为：1449米，误申报为36.8米</t>
  </si>
  <si>
    <t>232820250285539100</t>
  </si>
  <si>
    <t>CPL0312446</t>
  </si>
  <si>
    <t>申报：报关单第12项商品吸尘器用线束的法定第二数量申报错误，应申报为：1848.825米，误申报为49.88米</t>
  </si>
  <si>
    <t>232820250285531767</t>
  </si>
  <si>
    <t>SNLFSHVLK905774</t>
  </si>
  <si>
    <t>申报：报关单第9项商品吸尘器用线束的法定第二数量申报错误，应申报为：1307.2米，误申报为32.64米</t>
  </si>
  <si>
    <t>230820250085601071</t>
  </si>
  <si>
    <t>OOLU2759761650</t>
  </si>
  <si>
    <t>申报：靠区报错，正确为外港，错报为洋山</t>
  </si>
  <si>
    <t>5.21已完成改单</t>
  </si>
  <si>
    <t>230820250085608559</t>
  </si>
  <si>
    <t>COSU6417969300</t>
  </si>
  <si>
    <t>船名航次错报为5.19收到的BC（船名航次：ZHONGXINGTUNAN/B070E），正确为5.21收到的BC（船名航次：HUAI AN HAI JI/B512E）</t>
  </si>
  <si>
    <t>5.22已改船名</t>
  </si>
  <si>
    <t>223120250001915971</t>
  </si>
  <si>
    <t>申报：箱号报错，正确为MRKU6312951，按虚拟箱号错申报为FAOA1000055</t>
  </si>
  <si>
    <t>5.24已删单，已重新申报，22:48已放行</t>
  </si>
  <si>
    <t>230520250055540483</t>
  </si>
  <si>
    <t>SNLFZGJLDZ0185</t>
  </si>
  <si>
    <t>核注清单版本号未改，需重新申报</t>
  </si>
  <si>
    <t>5.23已重新申报，报关单放行</t>
  </si>
  <si>
    <t>230520250055540486</t>
  </si>
  <si>
    <t>SNLFZGJLDZ0185C</t>
  </si>
  <si>
    <t>230820250085611396</t>
  </si>
  <si>
    <t>COSU6418457410</t>
  </si>
  <si>
    <t>5.23晚20：33跳机检查验，5.26追加人工查验</t>
  </si>
  <si>
    <t>5.26上午机检，下午追加人工查验
5.27调箱进查验平台，申请人工查验
5.28人工查验，型号报错
5.29发起改单，
5.30报关单放行，码放
6.4代理通知改船名航次，已完成</t>
  </si>
  <si>
    <t>230720250075512369</t>
  </si>
  <si>
    <t>COSU6418417920</t>
  </si>
  <si>
    <t>5.26 11:14外运邮件通知暂停报关，17:55邮件回复可以报关，驳船已开，改配新船</t>
  </si>
  <si>
    <t>5.27 12:22通知船名航次请改成ANYANG66 25622S，5.27已完成改单，已通知代理发预配舱单
5.28代理回复已发预配，已放行</t>
  </si>
  <si>
    <t>222920250001891648</t>
  </si>
  <si>
    <t>货代自拖，5.23晚 21:41邮件发送报关资料，代理未通知报关，5.26上午9:31代理询问未报关，9:54报关单放行，未上船</t>
  </si>
  <si>
    <t>5.27办理未上船证明、在港证明，
5.28已删单
待删除舱单后，提供新的船名航次再重新申报
6.3要求提离港区，空运出
6.4办理提离港区手续，
6.4下午15:53收到代理邮件通知按原计划做改配走海运，提供新的船名信息
6.5新舱单已查到，港区信息仍是原船名信息，已通知代理修改港区信息
6.5号申报放行</t>
  </si>
  <si>
    <t>230820250085612909</t>
  </si>
  <si>
    <t>ONEYNK5GL0797400</t>
  </si>
  <si>
    <t>5.26晚 18:00跳机检查验</t>
  </si>
  <si>
    <t>5.27机检查验，放行</t>
  </si>
  <si>
    <t>330120250000019920</t>
  </si>
  <si>
    <t>5.26晚 22:21跳机检查验，5.27追加人工查验</t>
  </si>
  <si>
    <t>5.27上午机检，下午追加人工查验，5.27放行</t>
  </si>
  <si>
    <t>230520250055540723</t>
  </si>
  <si>
    <t>EGLV145599413210</t>
  </si>
  <si>
    <t>5.26机检查验</t>
  </si>
  <si>
    <t>5.26机检查验，放行</t>
  </si>
  <si>
    <t>230820250085613279</t>
  </si>
  <si>
    <t>ZIMUNNJ2140285</t>
  </si>
  <si>
    <t>5.27机检查验</t>
  </si>
  <si>
    <t>230820250085613339</t>
  </si>
  <si>
    <t>OOLU2760991930</t>
  </si>
  <si>
    <t>申报：正确航次2523E，错报为2523</t>
  </si>
  <si>
    <t>5.28申请改航次，
5.29改单成功，已放行</t>
  </si>
  <si>
    <t>230520250055540658</t>
  </si>
  <si>
    <t xml:space="preserve">COSU6418058930 </t>
  </si>
  <si>
    <t>5.26申报，运抵核碰正常，码头无运抵信息，未放行，未上船，换驳船</t>
  </si>
  <si>
    <t>5.27联系码头删运抵，
5.28码头删除运抵后重新发送，报关单放行
5.28发起改单申请，已放行</t>
  </si>
  <si>
    <t>230520250055540657</t>
  </si>
  <si>
    <t>COSU6418376520</t>
  </si>
  <si>
    <t>230820250085614704</t>
  </si>
  <si>
    <t>ONEYNK4GF5202600</t>
  </si>
  <si>
    <t>毛重错，5.28下午13:49收到报关资料，毛重为11440KGS，14:19收到出运表，毛重一致，14:36申报，16:04收到更新资料，毛重修改为10570KGS，18:12已放行，换船</t>
  </si>
  <si>
    <t>华南外运</t>
  </si>
  <si>
    <t>5.29经联系美的，按取消订单删单处理，待删单后按新的出运表申报
5.29发起删单申请，
5.30已删单，重报放行</t>
  </si>
  <si>
    <t>230820250085615289</t>
  </si>
  <si>
    <t>COSU6418447220</t>
  </si>
  <si>
    <t>按收到的BC申报，代理未通知推驳船， 放行后改船名航次</t>
  </si>
  <si>
    <t>5.29已改船名航次，已放行</t>
  </si>
  <si>
    <t>223320250000844100</t>
  </si>
  <si>
    <t>176-06197575</t>
  </si>
  <si>
    <t>5.27申报放行，5.28代理通知：品名吸尘器配件，含电池，和鉴定证书品名不一致，要求退关</t>
  </si>
  <si>
    <t>待代理提供空运在港证明、情况说明，在预配舱单系统做落货申请后办理退关
6.4代理在准备资料，正本需寄浦东机场
6.16资料齐全，发起删单申请，报关单已删，资料交代理</t>
  </si>
  <si>
    <t>223120250002005079</t>
  </si>
  <si>
    <t>ONEYSHAF71399400</t>
  </si>
  <si>
    <t>5.28机检查验</t>
  </si>
  <si>
    <t>洋山，5.29机检查验，追加人工查验，ONE专用封
5.30箱送上岛，放行</t>
  </si>
  <si>
    <t>230820250085614426</t>
  </si>
  <si>
    <t>5.28申报，箱子未进港，5.29箱进港运抵后跳机检查验</t>
  </si>
  <si>
    <t>5.29机检查验，已放行</t>
  </si>
  <si>
    <t>230520250055541916</t>
  </si>
  <si>
    <t>COSU6418363440</t>
  </si>
  <si>
    <t>5.29机检查验</t>
  </si>
  <si>
    <t>230820250085614801</t>
  </si>
  <si>
    <t>HDMUNKGZ90533300</t>
  </si>
  <si>
    <t>5.29要求安排退关，货物返回仓库，不出了</t>
  </si>
  <si>
    <t>5.29发起删单退关申请，
5.30已删单</t>
  </si>
  <si>
    <t>威赛家用电器(太仓)有限公司</t>
  </si>
  <si>
    <t>232820250285542131</t>
  </si>
  <si>
    <t>E142553994207A01</t>
  </si>
  <si>
    <t>申报：核注清单未关联</t>
  </si>
  <si>
    <t>5.29发起改单，海关审核不通过
7.8删单重报，已结关</t>
  </si>
  <si>
    <t>230720250075512924</t>
  </si>
  <si>
    <t>JJMZHLCHNC500702</t>
  </si>
  <si>
    <t>出运表上毛重与报关资料不一致，报关单放行，码放不掉</t>
  </si>
  <si>
    <t>6.3申请置空船名，代理修改预配舱单，再改回正确船名，已发起改单
6.4海关通关科要求发预配的代理联系物流监管科，先确定预配舱单是否可以改，然后通关科处理改单，
6.5代理提供预配舱单错情况说明，完成改单，重发预配舱单，海放码放</t>
  </si>
  <si>
    <t>232820250285544941</t>
  </si>
  <si>
    <t xml:space="preserve">EGLV142552727175 </t>
  </si>
  <si>
    <t>未赶上船，要求删单重新配船</t>
  </si>
  <si>
    <t>6.3办理在港证明
6.4已删单</t>
  </si>
  <si>
    <t>223120250002064613</t>
  </si>
  <si>
    <t>COSU6418571080</t>
  </si>
  <si>
    <t>代理通知装错货，要求删单+提离港区</t>
  </si>
  <si>
    <t>待提供在港证明、未上船证明后办理删单
6.6日发起删单，删单成功
6.9舱单删除
6.10申请办理提离港区，已办理提锂</t>
  </si>
  <si>
    <t>230820250085618325</t>
  </si>
  <si>
    <t xml:space="preserve">HLCUNK2250525544 </t>
  </si>
  <si>
    <t>6.3机检查验，已放行</t>
  </si>
  <si>
    <t>230820250085618923</t>
  </si>
  <si>
    <t>ZIMUNNJ2140320</t>
  </si>
  <si>
    <t>远海通已申报，代理通知更新出运表，</t>
  </si>
  <si>
    <t>6.3已改船名航次，已放行</t>
  </si>
  <si>
    <t>230820250085618124</t>
  </si>
  <si>
    <t>COSU6418142160</t>
  </si>
  <si>
    <t>申报：代理通知删BC换船，无报关资料，收到资料后远海通申报</t>
  </si>
  <si>
    <t>6.3发起改单，
6.4海关受理，完成改单，报关单放行
6.4放行后改船名航次，已完成</t>
  </si>
  <si>
    <t>230820250085618402</t>
  </si>
  <si>
    <t>177PJWJWJ046042S</t>
  </si>
  <si>
    <t>6.3申报，未放行，报关信息跟预配信息一致</t>
  </si>
  <si>
    <t>6.4申请海关人工放行，报关单放行</t>
  </si>
  <si>
    <t>230820250085618905</t>
  </si>
  <si>
    <t>115F503769</t>
  </si>
  <si>
    <t>人工+机检查验</t>
  </si>
  <si>
    <t>6.4申请查验
6.5机检查验+人工查验，放行</t>
  </si>
  <si>
    <t>230820250085619302</t>
  </si>
  <si>
    <t>HLCUNK2250506723</t>
  </si>
  <si>
    <t>6.4申报，未放行，报关信息跟预配信息一致</t>
  </si>
  <si>
    <t>6.4申请海关人工放行，海关发现系统里运输工具有误，经查询发现是复制的出运表中字符问题，发起报关单改单
6.5完成改单，运抵重发，报关单仍审结，申请人工放行，报关单放行</t>
  </si>
  <si>
    <t>230820250085619301</t>
  </si>
  <si>
    <t>HLCUNK2250506745</t>
  </si>
  <si>
    <t>6.4申请海关人工放行，海关发现系统里运输工具有误，经查询发现是复制的出运表中字符问题，发起报关单改单
6.5完成改单，运抵重发，报关单仍审结，，申请人工放行，报关单放行</t>
  </si>
  <si>
    <t>291020250000017887</t>
  </si>
  <si>
    <t>5.26申报放行，杭州机场出，
6.4代理通知删单，改从上海出运</t>
  </si>
  <si>
    <t>6.4准备删单资料
6.5发起删单，已完成</t>
  </si>
  <si>
    <t>230820250085620255</t>
  </si>
  <si>
    <t>HLCUNK2250521565</t>
  </si>
  <si>
    <t>按出运表申报后，代理通知暂停报关，放行后换船</t>
  </si>
  <si>
    <t>待代理通知改船名航次，查询该报关单已结关</t>
  </si>
  <si>
    <t>223320250000903631</t>
  </si>
  <si>
    <t>15704954154_3042501</t>
  </si>
  <si>
    <t>申报：系统推送运输方式为：其他运输方式，实际为航空运输，申报环节遗漏修改，需要删单</t>
  </si>
  <si>
    <t>6.6日发起删单，6.6日删单完成</t>
  </si>
  <si>
    <t>230820250085621372</t>
  </si>
  <si>
    <t>COSU6418043910</t>
  </si>
  <si>
    <t>申报：正确航次B514E，错申报为B513E</t>
  </si>
  <si>
    <t>6.6已完成改单，报关单放行</t>
  </si>
  <si>
    <t>230820250085622705</t>
  </si>
  <si>
    <t>EGLV145599723308</t>
  </si>
  <si>
    <t>6.9机检查验，已放行</t>
  </si>
  <si>
    <t>230820250085622587</t>
  </si>
  <si>
    <t>230820250085622597</t>
  </si>
  <si>
    <t>申报：正确航次2545E，漏报</t>
  </si>
  <si>
    <t>6.9已完成改单，报关单放行</t>
  </si>
  <si>
    <t>230820250085622961</t>
  </si>
  <si>
    <t>SNLFNJJL001858</t>
  </si>
  <si>
    <t>6.10机检查验，已放行</t>
  </si>
  <si>
    <t>230820250085624203</t>
  </si>
  <si>
    <t>OOLU2159692770</t>
  </si>
  <si>
    <t>6.11机检查验，已放行</t>
  </si>
  <si>
    <t>230820250085624452</t>
  </si>
  <si>
    <t>230520250055544338</t>
  </si>
  <si>
    <t>177FJTJTJ203822X</t>
  </si>
  <si>
    <t>申报：正确出境关别:洋山港区, 错申报为:洋山海关</t>
  </si>
  <si>
    <t>6.10已完成改单，报关单放行</t>
  </si>
  <si>
    <t>230820250085624584</t>
  </si>
  <si>
    <t>EGLV145599509242</t>
  </si>
  <si>
    <t>由于车队提供的箱号有误，现需要删除报关单重新发正确舱单，然后再重新报关。</t>
  </si>
  <si>
    <t>6.11准备删单资料
6.12发起删单
6.13删单完成，报关单放行</t>
  </si>
  <si>
    <t>230520250055545330</t>
  </si>
  <si>
    <t>177IJWJWJ046117S</t>
  </si>
  <si>
    <t>申报地海关新生圩关错误申报为张家港关</t>
  </si>
  <si>
    <t>车队//远海通</t>
  </si>
  <si>
    <t>6.12发起删单
6.13删单完成，报关单放行</t>
  </si>
  <si>
    <t>230820250085625820</t>
  </si>
  <si>
    <t>COSU6420502750</t>
  </si>
  <si>
    <t>6.13已改船名航次，报关单放行</t>
  </si>
  <si>
    <t>230820250085626562</t>
  </si>
  <si>
    <t>ONEYNK2WF2964700</t>
  </si>
  <si>
    <t>代理预配的毛重发送有误，推驳船换船名航次</t>
  </si>
  <si>
    <t>230820250085626097</t>
  </si>
  <si>
    <t>177FJWJWJ046385S</t>
  </si>
  <si>
    <t>230820250085626988</t>
  </si>
  <si>
    <t>HLCUNK2250614174</t>
  </si>
  <si>
    <t>6.13申报，未放行，报关信息跟预配信息一致</t>
  </si>
  <si>
    <t>6.13船名航次复制的出运表中字符问题，发起报关单改单
6.13已完成改单，运抵重发，报关单仍审结，申请人工放行，报关单放行</t>
  </si>
  <si>
    <t>230820250085626751</t>
  </si>
  <si>
    <t>6.12出运表靠区外五，6.13代理通知更正靠区为洋三，需改单</t>
  </si>
  <si>
    <t>6.13已完成改单，报关单放行</t>
  </si>
  <si>
    <t>223120250002254810</t>
  </si>
  <si>
    <t>6.13上午代理通知报关，比对舱单数据后申报，下午查询港区船名信息发现与申报不一致，后经核实此票有改配纪录，船代未更新舱单数据，需删单重报</t>
  </si>
  <si>
    <t>6.17收到情况说明，发起删单申请，海关审核不通过
6.18更新情况说明，再次发起删单，报关单已删</t>
  </si>
  <si>
    <t>230820250085628199</t>
  </si>
  <si>
    <t>177USKJUJ056111W</t>
  </si>
  <si>
    <t>6.16已改船名航次，报关单放行</t>
  </si>
  <si>
    <t>230820250085628188</t>
  </si>
  <si>
    <t>177USKJUJ056114W</t>
  </si>
  <si>
    <t>230820250085626555</t>
  </si>
  <si>
    <t>EGLV145599509306</t>
  </si>
  <si>
    <t>6.17申请改船名航次</t>
  </si>
  <si>
    <t>230820250085624062</t>
  </si>
  <si>
    <t>ONEYNK2WF2949300</t>
  </si>
  <si>
    <t>6.9晚收到出运表，6.10上午09：34申报，多次催代理发预配舱单，6.16代理发送预配，卡审结，6.17超7天通关时效，需删单</t>
  </si>
  <si>
    <t>6.18收到情况说明，发起删单申请
6.19报关单删单</t>
  </si>
  <si>
    <t>230820250085629379</t>
  </si>
  <si>
    <t>177IJWJWJ046293BS</t>
  </si>
  <si>
    <t>6.17机检查验</t>
  </si>
  <si>
    <t>6.17申请查验，码头无查验箱位，
6.18查验，报关单放行</t>
  </si>
  <si>
    <t>CPL0322606</t>
  </si>
  <si>
    <t>6.16代理通知提离，未收到报关资料，未报关</t>
  </si>
  <si>
    <t>6.17下午收到未上船证明
6.18办理提离港区，正本寄代理
6.21提离证明上船名航次错，需重新办理
6.23代理提供未上船证明，待确定新预配是否为外二船，等通知办理提离手续
6.24新配船为外二，无需办理提离手续</t>
  </si>
  <si>
    <t>230820250085630289</t>
  </si>
  <si>
    <t>6.18查验，报关单放行</t>
  </si>
  <si>
    <t>230820250085630371</t>
  </si>
  <si>
    <t>ONEYNK4GF5262500</t>
  </si>
  <si>
    <t>国内单证：毛重错，报关资料22774KGS，6.17申报放行，6.18收到邮件，要求更新毛重为21854KGS</t>
  </si>
  <si>
    <t>资料已齐全，待箱子到龙潭港，退关申请盖章后发起删单
6.20发起删单申请，报关单删单</t>
  </si>
  <si>
    <t>230820250085631359</t>
  </si>
  <si>
    <t>TLNJLCJE25141013</t>
  </si>
  <si>
    <t>6.18机检查验</t>
  </si>
  <si>
    <t>6.19申请查验
6.19追加人工查验
6.20海关查验，冰箱安装组件需要提供详细清单，包装与实际不符
6.23报关单放行</t>
  </si>
  <si>
    <t>230820250085630970</t>
  </si>
  <si>
    <t>JNG0257145</t>
  </si>
  <si>
    <t>运抵核碰正常，一直审结，需申请海关人工放行</t>
  </si>
  <si>
    <t>系统</t>
  </si>
  <si>
    <t>6.19申请海关人工放行，报关单放行</t>
  </si>
  <si>
    <t>230820250085631115</t>
  </si>
  <si>
    <t>HDMUNKGE78540000</t>
  </si>
  <si>
    <t>6.19机检查验</t>
  </si>
  <si>
    <t>6.19查验，报关单放行</t>
  </si>
  <si>
    <t>330120250000023105</t>
  </si>
  <si>
    <t>177FJUJUJ511328W</t>
  </si>
  <si>
    <t>6.19代理通知芜湖出运，要退关出区，箱子已在洋山</t>
  </si>
  <si>
    <t xml:space="preserve">
6.27申请提离、删单，删运抵</t>
  </si>
  <si>
    <t>330120250000023131</t>
  </si>
  <si>
    <t>177FJUJUJ511330W</t>
  </si>
  <si>
    <t>330120250000023129</t>
  </si>
  <si>
    <t>177FJUJUJ511386W</t>
  </si>
  <si>
    <t>330120250000023121</t>
  </si>
  <si>
    <t>177FJUJUJ511387W</t>
  </si>
  <si>
    <t>230820250085633147</t>
  </si>
  <si>
    <t>COSU6421791220</t>
  </si>
  <si>
    <t>报关单放行，无码放</t>
  </si>
  <si>
    <t>6.23申请海关人工处理，已码放</t>
  </si>
  <si>
    <t>230820250085632950</t>
  </si>
  <si>
    <t>COSU6420941530</t>
  </si>
  <si>
    <t>230820250085632973</t>
  </si>
  <si>
    <t>COSU6421316800</t>
  </si>
  <si>
    <t>230820250085632942</t>
  </si>
  <si>
    <t>COSU6420941140</t>
  </si>
  <si>
    <t>230820250085632794</t>
  </si>
  <si>
    <t>SNLFNJAXCD00086</t>
  </si>
  <si>
    <t>报关单放行，无码放，经与代理核实，件数毛重与预配不符，代理反馈此票与SNLFNJAXCD00091拼箱，SNLFNJAXCD00091两件已报关，需要删单</t>
  </si>
  <si>
    <t>6.24上午报关单删单
6.24下午重新申报，报关单放行</t>
  </si>
  <si>
    <t>230820250085635245</t>
  </si>
  <si>
    <t>HLCUNK2250408161</t>
  </si>
  <si>
    <t>代理提供出运表船名错，需改单</t>
  </si>
  <si>
    <t>6.24发起改单申请，改单成功，未放行，需申请海关人工放行
6.25海关人工放行</t>
  </si>
  <si>
    <t>30820250085635151</t>
  </si>
  <si>
    <t>SNLFNJJL001874</t>
  </si>
  <si>
    <t>6.23机检查验</t>
  </si>
  <si>
    <t>6.24查验，报关单放行</t>
  </si>
  <si>
    <t>230820250085634345</t>
  </si>
  <si>
    <t>177UJUJUJ056190W</t>
  </si>
  <si>
    <t>报关单放行，代理将预配舱单毛重报错，导致码头未接收到此票的放行信息，未配上预定驳船</t>
  </si>
  <si>
    <t>6.24置空船名，代理重发舱单，再次修改回原船名</t>
  </si>
  <si>
    <t>230820250085635603</t>
  </si>
  <si>
    <t>177TJWJWJ046420S</t>
  </si>
  <si>
    <t>进港晚，未赶上船，放行后代理要求换船</t>
  </si>
  <si>
    <t>6.24申请改船名航次</t>
  </si>
  <si>
    <t>230820250085635787</t>
  </si>
  <si>
    <t>SLSNJA00049</t>
  </si>
  <si>
    <t>6.24上午跳人工查验，下午加机检</t>
  </si>
  <si>
    <t>6.25上午机检，下午申请人工查验，
6.27人工查验，需要提供抽油烟机在箱子的具体位置6.30掏箱查验，报关单放行
7.1申请改船名航次，报关单放行</t>
  </si>
  <si>
    <t>230820250085636085</t>
  </si>
  <si>
    <t>EGLV145599310933</t>
  </si>
  <si>
    <t>6.24机检查验</t>
  </si>
  <si>
    <t>6.27机检，报关单放行</t>
  </si>
  <si>
    <t>230820250085635398</t>
  </si>
  <si>
    <t>177WJCJCJ026523U</t>
  </si>
  <si>
    <t>报关单放行，代理通知推驳船了，需更改船名航次</t>
  </si>
  <si>
    <t>6.25申请改船名航次</t>
  </si>
  <si>
    <t>330120250000024280</t>
  </si>
  <si>
    <t>177AVKJUJ511408W</t>
  </si>
  <si>
    <t>6.25下午16:21跳机检查验</t>
  </si>
  <si>
    <t>6.26机检查验，报关单放行</t>
  </si>
  <si>
    <t>223120250002454332</t>
  </si>
  <si>
    <t>6.25晚22：52跳查验</t>
  </si>
  <si>
    <t>6.26申请机检查验，报关单放行</t>
  </si>
  <si>
    <t>230820250085637988</t>
  </si>
  <si>
    <t>NJGCW25001825</t>
  </si>
  <si>
    <t>6.26上午10：24收到邮件，要求“请速报关”，10：40申报，10：47代理通知提单号错，需改单</t>
  </si>
  <si>
    <t>6.26申请更改提单号，放行</t>
  </si>
  <si>
    <t>330120250000024606</t>
  </si>
  <si>
    <t>177MJCJCJ526624BX</t>
  </si>
  <si>
    <t>6.26人工加机检，7.1报关单放行。</t>
  </si>
  <si>
    <t>6.27查验，包装有问题，需要整改
7.1申请在海关监管区内将实木包装拆除并带回工厂，待海关审批。7.1整改结束报关单放行</t>
  </si>
  <si>
    <t>230520250055549276</t>
  </si>
  <si>
    <t>ONEYNKGF05034500</t>
  </si>
  <si>
    <t>6.26机检查验</t>
  </si>
  <si>
    <t>NJGCW25001825C</t>
  </si>
  <si>
    <t>6.27已改船名航次，7.1再次申请换船改配，海关连续改错三次，
7.2改好</t>
  </si>
  <si>
    <t>230820250085638009</t>
  </si>
  <si>
    <t>NJGCW25001825A</t>
  </si>
  <si>
    <t>230820250085638014</t>
  </si>
  <si>
    <t>NJGCW25001825B</t>
  </si>
  <si>
    <t>232820250285557200</t>
  </si>
  <si>
    <t>SNLFSHVLK901752</t>
  </si>
  <si>
    <t>申报：6.27箱号报错，按虚拟箱号错申报，下午删单重报后一直审结，经查第26项品名贴片磁珠：海关核查是否涉及两用物项出口限制，是否含限制出口的稀土成分</t>
  </si>
  <si>
    <t>6.30提供情况说明，现场交海关后需要修改，另需提供MSDS（要具体的成分含量）
7.1申请开具在港证明
7.1删单结束</t>
  </si>
  <si>
    <t>230820250085639298</t>
  </si>
  <si>
    <t>JNG0257914</t>
  </si>
  <si>
    <t>6.27已改船名航次</t>
  </si>
  <si>
    <t>230820250085640188</t>
  </si>
  <si>
    <t>6.27下午查验</t>
  </si>
  <si>
    <t>6.30申请查验，报关单已放行</t>
  </si>
  <si>
    <t>230820250085639503</t>
  </si>
  <si>
    <t>JNG0260452A</t>
  </si>
  <si>
    <t>6.27查验</t>
  </si>
  <si>
    <t>6.30报关单已放行</t>
  </si>
  <si>
    <t>230820250085640817</t>
  </si>
  <si>
    <t>COSU6422065880</t>
  </si>
  <si>
    <t>6.28申报，海放未码放，6.30申请人工放行，改配</t>
  </si>
  <si>
    <t>6.30已提交修改船名航次，EMF有更正数据，预配舱单件数重量与报关数据不一致，代理删预配重新发送，码头放行</t>
  </si>
  <si>
    <t>331020250000026401</t>
  </si>
  <si>
    <t>OOLU2159818250</t>
  </si>
  <si>
    <t>6.29晚代理通知申报，申报后一直审结，海关总署舱单显示未运抵，无法放行</t>
  </si>
  <si>
    <t>6.30核查发现代理进港数据箱属录错，错录为内贸箱，修改箱属后报关单放行，但已过截关时间，无法码放，代理需申请加载，
6.30代理申请船公司改配</t>
  </si>
  <si>
    <t>230820250085641078</t>
  </si>
  <si>
    <t>6.30机检查验</t>
  </si>
  <si>
    <t>7.1查验，报关单放行</t>
  </si>
  <si>
    <t>230520250055550706</t>
  </si>
  <si>
    <t>COSU642068651001</t>
  </si>
  <si>
    <t>6.30晚17.41跳查验</t>
  </si>
  <si>
    <t>7.1申请机检查验，已经报关单放行</t>
  </si>
  <si>
    <t>230820250085641247</t>
  </si>
  <si>
    <t>OOLU2160451640</t>
  </si>
  <si>
    <t>7.1报关单放行，代理通知推驳船了，需更改船名航次</t>
  </si>
  <si>
    <t>7.1申请改船名航次，改配已好，已放行</t>
  </si>
  <si>
    <t>230820250085641173</t>
  </si>
  <si>
    <t>COSU6422206310</t>
  </si>
  <si>
    <t>6.30上午11：51报关，代理下午15：25通知换船，舱单按新船名发送，需改单</t>
  </si>
  <si>
    <t>7.1申请改单，7.1改单成功，未放行
陆改水，需删理货，然后再删原船预配舱单
7.1驳船公司申请删理货
7.1报关单放行</t>
  </si>
  <si>
    <t>230820250085642980</t>
  </si>
  <si>
    <t>EGLV143500287709</t>
  </si>
  <si>
    <t>7.1放行后代理通知退运，需要删单</t>
  </si>
  <si>
    <t>7.1准备资料，需要客户提供的资料已发给客户，
7.2待现场收到资料后办相关手续
7.2删单申请驳回海关需要提供往来邮件，已提供海关审核。
7.3已经删单成功，7.4办理重出。7.4现场已收到重出资料，周一办理
7.7重出已办</t>
  </si>
  <si>
    <t>230820250085643299</t>
  </si>
  <si>
    <t>HLCUNK2250109919</t>
  </si>
  <si>
    <t>7.1机检查验</t>
  </si>
  <si>
    <t>7.2查验结束，报关单放行，码头放行
7.3晚装船时代理反馈箱子未归位，联系码头处理，未赶上驳船
7.4现场咨询港口技术部门，处理查验箱归位流程问题
7.4上船出运</t>
  </si>
  <si>
    <t>230820250085642626</t>
  </si>
  <si>
    <t>YMJAW241135494</t>
  </si>
  <si>
    <t>7.2查验结束，报关单放行</t>
  </si>
  <si>
    <t>230820250085641891</t>
  </si>
  <si>
    <t>CAJ0143339</t>
  </si>
  <si>
    <t>230820250085642480</t>
  </si>
  <si>
    <t>177SJWJWJ046472S</t>
  </si>
  <si>
    <t>7.1查验结束，报关单放行</t>
  </si>
  <si>
    <t>230820250085642490</t>
  </si>
  <si>
    <t>JNG0260192</t>
  </si>
  <si>
    <t>23082025008564145</t>
  </si>
  <si>
    <t>EGLV145599311620</t>
  </si>
  <si>
    <t>7.1报关单放行，7.2代理通知换驳船，需更改船名航次</t>
  </si>
  <si>
    <t>7.2申请改船名航次，已改好</t>
  </si>
  <si>
    <t xml:space="preserve">HLCUNK2250109919 </t>
  </si>
  <si>
    <t>代理通知推驳船了，需更改船名航次</t>
  </si>
  <si>
    <t xml:space="preserve"> 230820250085643671</t>
  </si>
  <si>
    <t>177FJWJWJ046675S</t>
  </si>
  <si>
    <t>7.2下午跳查验</t>
  </si>
  <si>
    <t>7.3上午安排查验</t>
  </si>
  <si>
    <t>222920250002362539</t>
  </si>
  <si>
    <t>HDMUSHAA97465611</t>
  </si>
  <si>
    <t>该货物集装箱拼7票，我司只负责申报一票，但因为其中一票货查验了，导致7票货物未赶上原船，故申请删单</t>
  </si>
  <si>
    <t>7.2资料已准备好，等代理查验那一票处理好，该票才能申请删单。7.3代理未通知删单。7.4已发起删单申请7.4删单成功</t>
  </si>
  <si>
    <t xml:space="preserve">330120250000025493 </t>
  </si>
  <si>
    <t>OOLU2762560050</t>
  </si>
  <si>
    <t>7.2晚八点查验</t>
  </si>
  <si>
    <t>7.3安排查验，报关单放行</t>
  </si>
  <si>
    <t xml:space="preserve"> 230820250085644301</t>
  </si>
  <si>
    <t>177BJCJCJ026683U</t>
  </si>
  <si>
    <t>国内单证：国内单证人员制作资料错误，导致重量申报错误，毛重应为：17040KG; 错误申报为:81380KG;。7.3经跟海关沟通，需改单</t>
  </si>
  <si>
    <t>7.3准备正确的相关资料，
7.4发起改单申请，待海关审批
7.7口岸现场跟海关法规科沟通处理流程
7.8经沟通，已发起改单等待受理
7.9报关单重量已完成改单
7.9已置空报关单船名航次，待代理删预配后重发，报关单再改回正确的船名，
7.9接代理通知大船已改配到23号，驳船预配要再等等删单重发。
7.15代理重发预配舱单，删运抵重发，已码放</t>
  </si>
  <si>
    <t>232820250285558927</t>
  </si>
  <si>
    <t>EGLV142552779842</t>
  </si>
  <si>
    <t>6.30日申报放行，7.3仓库通知多装了10件货，溢装，需要删单。</t>
  </si>
  <si>
    <t>7.4开具在港证明，下午发起删单7.4已删单完成</t>
  </si>
  <si>
    <t>230820250085643637</t>
  </si>
  <si>
    <t>EGLV145599112619</t>
  </si>
  <si>
    <t>7.4代理通知更改靠区，换新的BC</t>
  </si>
  <si>
    <t>收到新的BC后开始办理7.4已更改完成</t>
  </si>
  <si>
    <t>230820250085641355</t>
  </si>
  <si>
    <t>EGLV145599112601</t>
  </si>
  <si>
    <t>470220250000002295</t>
  </si>
  <si>
    <t>EGLV152580075192</t>
  </si>
  <si>
    <t>待收到新的BC后开始办理（需要在荆州删除），还未收到完整资料
7.7下午收到资料，审核后在荆州发起
7.8准备在荆州发起改单，已发起，已更改成功</t>
  </si>
  <si>
    <t>230820250085645487</t>
  </si>
  <si>
    <t xml:space="preserve">ONEYNK5GL1686900 </t>
  </si>
  <si>
    <t>7.4机检查验</t>
  </si>
  <si>
    <t>7.4口岸机检查验
7.7查验放行
7.7更改船名航次改配</t>
  </si>
  <si>
    <t>230820250085645444</t>
  </si>
  <si>
    <t>177SJWJWJ046581S </t>
  </si>
  <si>
    <t>7.7报关单放行</t>
  </si>
  <si>
    <t>230820250085645626</t>
  </si>
  <si>
    <t>HLCUNK2250615685</t>
  </si>
  <si>
    <t>7.4口岸机检查验
7.7查验放行</t>
  </si>
  <si>
    <t>230820250085640762</t>
  </si>
  <si>
    <t>ONEYNK4GF5451500</t>
  </si>
  <si>
    <t>国内单证：国内单证人员制作资料错误，导致重量申报错误，毛重错误申报总毛重：16800KGS 实际总毛重：17540KGS</t>
  </si>
  <si>
    <t>7.4接到通知准备发起改单
7.7口岸现场跟海关法规科沟通处理流程
7.7未发起改单 收到出运表时海关已经下班
7.8报关单重量已完成改单，置空船名航次
7.8 代理删预配舱单重发，报关单改回正确船名航次</t>
  </si>
  <si>
    <t>30120250000025687</t>
  </si>
  <si>
    <t>COSU6422312200</t>
  </si>
  <si>
    <t>7.4通知口岸机检查验,报关单放行</t>
  </si>
  <si>
    <t>230820250085639601</t>
  </si>
  <si>
    <t>ONEYNK4GF5453700</t>
  </si>
  <si>
    <t>国内单证，国内单证人员制作资料错误，导致重量申报错误，申报总毛重：8500KGS 需要更改单柜进港毛重</t>
  </si>
  <si>
    <t>总毛重一致，单箱重量错，按改船名航次的方式，
7.7待代理提供新船名后发起换船申请，释放预配舱单后，代理修改舱单
7.7 改配 更改船名航次置空
7.8 代理删预配舱单重发，报关单改回正确船名航次</t>
  </si>
  <si>
    <t>230820250085647764</t>
  </si>
  <si>
    <t>COSU6423271080</t>
  </si>
  <si>
    <t>7.7下午跳查验</t>
  </si>
  <si>
    <t>7.8查验，报关单放行</t>
  </si>
  <si>
    <t xml:space="preserve"> 230820250085646909</t>
  </si>
  <si>
    <t>JNG0259423</t>
  </si>
  <si>
    <t>7.7机检查验</t>
  </si>
  <si>
    <t>230820250085646795</t>
  </si>
  <si>
    <t>EGLV145599311425</t>
  </si>
  <si>
    <t>230820250085643407</t>
  </si>
  <si>
    <t>HLCUNK2250410261</t>
  </si>
  <si>
    <t>7.7通知更改靠区</t>
  </si>
  <si>
    <t>7.8发起更改靠区，已处理完成。</t>
  </si>
  <si>
    <t>230820250085647856</t>
  </si>
  <si>
    <t>7.7晚通知航次是B2528E，明天去改预配。代理提供出运表错误</t>
  </si>
  <si>
    <t>7.8准备放行后，改配</t>
  </si>
  <si>
    <t>330120250000026159</t>
  </si>
  <si>
    <t>720941106B</t>
  </si>
  <si>
    <t>7.8查验</t>
  </si>
  <si>
    <t>7.9上午申请查验1报关单放行</t>
  </si>
  <si>
    <t>230820250085648889</t>
  </si>
  <si>
    <t>COSU6423391180</t>
  </si>
  <si>
    <t>7.8运抵核碰正常未放行，代理未更新出运表未告知改船</t>
  </si>
  <si>
    <t>7.9发起改单，已改单完成，审结未放行，需要做人工放行
7.10申请海关人工放行，已放行</t>
  </si>
  <si>
    <t>230820250085649071</t>
  </si>
  <si>
    <t>COSU6421631450</t>
  </si>
  <si>
    <t>7.9审结未放行，代理预配发错，该票为两个柜子，预配舱单少发一个柜子，需改单，报关单置空船名航次，代理删预配舱单重发</t>
  </si>
  <si>
    <t>7.9发起改单，
7.10已置空，待代理删预配重发，再改回正确船名7.10再次发起改单，已改正确船名</t>
  </si>
  <si>
    <t>230820250085648111</t>
  </si>
  <si>
    <t>预配运抵正常，审结未放行，需要做人工放行</t>
  </si>
  <si>
    <t>7.8做人工放行，报关单已放行</t>
  </si>
  <si>
    <t>230820250085647215</t>
  </si>
  <si>
    <t>HLCUNK2250618493</t>
  </si>
  <si>
    <t>放行，代理要求换船，改配</t>
  </si>
  <si>
    <t>7.10已发改配</t>
  </si>
  <si>
    <t>330120250000026511</t>
  </si>
  <si>
    <t>HLCUNK2250617289</t>
  </si>
  <si>
    <t>7.10，17:11机检查验</t>
  </si>
  <si>
    <t>7.11查验，放行</t>
  </si>
  <si>
    <t>230820250085650250</t>
  </si>
  <si>
    <t xml:space="preserve">SNLFNJPXSWY0427  </t>
  </si>
  <si>
    <t>7.10已放行</t>
  </si>
  <si>
    <t>230820250085642574</t>
  </si>
  <si>
    <t>COSU6422378120</t>
  </si>
  <si>
    <t>7.1放行，7.10接美的通知要删单退关，7.8卸上海外港</t>
  </si>
  <si>
    <t>7.14出口转关货物退运申请表，海关审批好已交代理，待驳船将货柜带回南京后申请删单
7.17再次确认进度
7.22箱子卸龙潭港，待美的寄出删单资料及退关重出资料
7.23待代理修改箱状态、删关封后，申请删单。
7.23箱状态未改好，明日确认删单。
7.24箱状态已好，关封已删
7.25下午船代通知进口转关单核销好
7.25发起删单，海关受理中
7.28待删单成功后申请重出空回
7.28海关审核不同意，需要提供外方取消订单证明，美的方提供了聊天记录
7.29重新发起删单，删单成功，下午申请重出空回审批
7.29重出已办</t>
  </si>
  <si>
    <t>230520250055550849</t>
  </si>
  <si>
    <t>COSU6422381280</t>
  </si>
  <si>
    <t>7.1放行，7.10接美的通知要删单退关   7.8卸上海外港</t>
  </si>
  <si>
    <t>资料待准备，待驳船将货柜带回张家港后申请删单
7.17再次确认进度
7.28 已经通知代理提供在港证明 货物预计7.29晚卸张家港
7.29准备资料，情况说明，提离申请已发给美的盖章
7.30暂未收到在港证明，台风，码头封港了，箱子还没卸下来
7.31受台风影响，暂未卸下来
8.1跟进状态，暂未卸船
8.4卸船未提供在港证明
8.5代理提供在港证明，申请删单删单成功，删单成功</t>
  </si>
  <si>
    <t>230520250055550912</t>
  </si>
  <si>
    <t>COSU642238128001</t>
  </si>
  <si>
    <t>资料待准备，待驳船将货柜带回张家港后申请删单
7.17再次确认进度
7.28 已经通知代理提供在港证明 货物预计7.29晚卸张家港
7.29准备资料，情况说明，提离申请已发给美的盖章
7.30暂未收到在港证明台风，码头封港了，箱子还没卸下来
7.31受台风影响，暂未卸下来
8.1跟进状态，暂未卸船
8.4卸船未提供在港证明
8.5代理提供在港证明，申请删单，删单成功</t>
  </si>
  <si>
    <t>230820250085652445</t>
  </si>
  <si>
    <t>177IJUJUJ056477W</t>
  </si>
  <si>
    <t>单证制作及推送错误，申报未能审核出来。应为"U"，申报为“u”</t>
  </si>
  <si>
    <t>远海通/船务</t>
  </si>
  <si>
    <t>7.14申请改单，已完成，无码放
7.15申请海关人工放行，还是无码放，申请海关重审
7.16 报关单放行</t>
  </si>
  <si>
    <t>330120250000026784</t>
  </si>
  <si>
    <t>HLCUNK2250317905</t>
  </si>
  <si>
    <t>7/11 17:01机检查验</t>
  </si>
  <si>
    <t>7.14查验，放行</t>
  </si>
  <si>
    <t>230720250075516557</t>
  </si>
  <si>
    <t>JJMZHLCHNC500792</t>
  </si>
  <si>
    <t>7/11 17:36人工查验</t>
  </si>
  <si>
    <t>7.14查验，提供的包装种类为天然木托，实际为天然木托+包袋，经现场沟通后验货相符，但运抵提单号错，代理删运抵重发后放行</t>
  </si>
  <si>
    <t>230820250085652439</t>
  </si>
  <si>
    <t>HLCUNK2250604760</t>
  </si>
  <si>
    <t>7/11 18:58人工查验</t>
  </si>
  <si>
    <t>7.14安排查验，箱子在江北集，需要代理安排箱子运到龙潭后再申请查验
7.16箱卸龙潭，申请查验，报关单放行</t>
  </si>
  <si>
    <t>230820250085652766</t>
  </si>
  <si>
    <t>COSU642327148001</t>
  </si>
  <si>
    <t>国内单证：COSU6423271480分两票报关，预配EMF只有一票，无法放行</t>
  </si>
  <si>
    <t>7.15已申请置空船名，删理货，删预配后重新发送
7.15申请改单，改船名航次，海放、码放</t>
  </si>
  <si>
    <t>230820250085650175</t>
  </si>
  <si>
    <t>7.10放行，7.14代理通知多装错，需要删单重报</t>
  </si>
  <si>
    <t>7.15资料已寄出
7.16申请删单。7.16删单结束
7.17办理换箱结束
后续倒箱操作完成了，还需要把外理单开好拿给我们现场同事，需要去找海关办理核销手续。</t>
  </si>
  <si>
    <t>230820250085651533</t>
  </si>
  <si>
    <t>NJGCW25002210</t>
  </si>
  <si>
    <t>7.11放行，代理通知更改靠区，需改单</t>
  </si>
  <si>
    <t>7.14申请改单，已完成</t>
  </si>
  <si>
    <t>230820250085652863</t>
  </si>
  <si>
    <t>177SJWJWJ046786S</t>
  </si>
  <si>
    <t>07-14 11:51:27机检查验</t>
  </si>
  <si>
    <t>7.14查验，7.15放行，改船名航次</t>
  </si>
  <si>
    <t>230820250085652693</t>
  </si>
  <si>
    <t>COSU6422863860</t>
  </si>
  <si>
    <t>07-14 11:32:30机检查验</t>
  </si>
  <si>
    <t>7.14查验，7.15放行</t>
  </si>
  <si>
    <t>330120250000027229</t>
  </si>
  <si>
    <t>177FJUJUJ511543W</t>
  </si>
  <si>
    <t>7.15机检查验</t>
  </si>
  <si>
    <t>7.16安排查验
7.16报关单放行</t>
  </si>
  <si>
    <t>230820250085654370</t>
  </si>
  <si>
    <t>177GGEGEN38967A</t>
  </si>
  <si>
    <t>7.15收到代理资料为南京驳船，出运表信息为南京-北仑驳船，7.16 17.00收到代理信息告知为大船，代理提供申报信息有误，导致需要删单。</t>
  </si>
  <si>
    <t>7.16已通知代理需要准备删单资料
7.17待代理提供在港证明、情况说明等资料后发起删单7.17 已删单重报放行</t>
  </si>
  <si>
    <t>222920250002609171</t>
  </si>
  <si>
    <t>CPL0335614</t>
  </si>
  <si>
    <t>7.16代理舱单航次上错，导致报关单无法放行，外港 需要删单</t>
  </si>
  <si>
    <t>7.17代理提供在港证明、未上船证明，下午寄出给上海同事，
7.18申请删单，海关审核不同意，原因：船未开
需等大船开航后再申请删单
7.21大船离泊，重新发起删单，海关审核不同意，要求提供舱单错误原因的情况说明，要求查验
7.22科长布控查验，后续口岸删单（外港）
7.22补查验信息，7.23预计查验。
7.23查验结束，已寄出资料给现场办理删单
7.24删单成功</t>
  </si>
  <si>
    <t>230820250085655559</t>
  </si>
  <si>
    <t>JNG0264613</t>
  </si>
  <si>
    <t>申报：7.16航次报错，需要改单</t>
  </si>
  <si>
    <t>7.17已完成改单，做人工放行，报关单已放行。</t>
  </si>
  <si>
    <t>230820250085654106</t>
  </si>
  <si>
    <t>7.16代理通知改配，报关单放行</t>
  </si>
  <si>
    <t>7.17船名名航次已改好</t>
  </si>
  <si>
    <t>230520250055555151</t>
  </si>
  <si>
    <t>PCSLZGINC2542402</t>
  </si>
  <si>
    <t>7.17查验通知</t>
  </si>
  <si>
    <t>7.18准备查验，报关单放行</t>
  </si>
  <si>
    <t>230820250085656205</t>
  </si>
  <si>
    <t>SNLFNJPXSWY0449</t>
  </si>
  <si>
    <t>7.17 11点申报 未放行</t>
  </si>
  <si>
    <t>7.18申请人工放行</t>
  </si>
  <si>
    <t>230520250055555234</t>
  </si>
  <si>
    <t>177SJTJTJ203912X</t>
  </si>
  <si>
    <t>232820250285569639</t>
  </si>
  <si>
    <t>TLTCOSJA25132501</t>
  </si>
  <si>
    <t>申报：未添加备注：关区内一体化，补传是否涉及两用物项</t>
  </si>
  <si>
    <t>7.21发起改单申请，已改单成功，补发运抵仍未放行，现场跟海关沟通，需提供情况说明核实是否涉及两用物项。
7.22 补传情况说明，现场跟海关沟通后放行。
关于挂起吸尘器后续：现场海关老师表示此票单系统拦截，口岸也是被动接受去处理，目前也才碰到这一单，无法判断后续是否都要上传情况说明。
7.18周五下午17：04申报，海关已下班，周一改单+现场人工审单，产生代理改配费USD50+CNY500
后续还会有集装箱超期费和码头堆存费，已减免</t>
  </si>
  <si>
    <t>330120250000027960</t>
  </si>
  <si>
    <t>7.18申报 请核实第7项商品是否涉及两用物项。</t>
  </si>
  <si>
    <t>7.21联系美的提供补传资料，7.22报关单放行</t>
  </si>
  <si>
    <t>222920250002669885</t>
  </si>
  <si>
    <t>JJCSHLCA538378</t>
  </si>
  <si>
    <t>7.20机检查验</t>
  </si>
  <si>
    <t>7.20下午机检查验，追加人工查验
7.21申请海关人工查验。报关单放行</t>
  </si>
  <si>
    <t>232820250285570919</t>
  </si>
  <si>
    <t>HLCUSHA2507AXVS6</t>
  </si>
  <si>
    <t>7.21接到美的通知删单</t>
  </si>
  <si>
    <t>7.21删单完成</t>
  </si>
  <si>
    <t>223320250001187273</t>
  </si>
  <si>
    <t>11237695372_JCAF2507060B</t>
  </si>
  <si>
    <t>7.21代理邮件通知因拼票货物查验，赶不上原计划，所以需要删单，拼票我司只申报一票。</t>
  </si>
  <si>
    <t>7.21代理准备资料中 费用已同步通知，缺少资料，代理在准备。
7.23在港证明寄出，情况说明因其中一家查验导致查验不符，标签贴错，需要A/B删单，需要用同一个理由去和海关沟通删单，在准备情况说明中。
7.24寄出资料，现场已收到远海通资料，还差客户资料
7.25沟通删单，周一处理删单8.2号航班
7.28代理通知，需等另一票查验的办好扣货手续后再删这票，等代理通知中。
7.28代理通知可删单，美的寄出委托书，收到后准备发起删单
7.30收到委托书后申请删单，因需要全套正本资料，已通知美的补寄出
7.31删单成功</t>
  </si>
  <si>
    <t>223120250002776903</t>
  </si>
  <si>
    <t>EGLV142502087776</t>
  </si>
  <si>
    <t>7.21接到美的通知删单，需办理提离洋山</t>
  </si>
  <si>
    <t>7.21代理准备资料中 费用已同步通知，缺少未上船，7.23下午四点收到未上船证明，
7.24发起删单，删单成功
7.24办好提离，正本资料已交代理</t>
  </si>
  <si>
    <t>223120250002776802</t>
  </si>
  <si>
    <t>E142502087776A01</t>
  </si>
  <si>
    <t>223120250002776786</t>
  </si>
  <si>
    <t>E142502087776A02</t>
  </si>
  <si>
    <t>223120250002776840</t>
  </si>
  <si>
    <t>E142502087776A03</t>
  </si>
  <si>
    <t>223120250002776782</t>
  </si>
  <si>
    <t>E142502087776A04</t>
  </si>
  <si>
    <t>230820250085659265</t>
  </si>
  <si>
    <t>7.21机检查验</t>
  </si>
  <si>
    <t>7.21下午15.33跳查验， 查验没查完 推船
7.22安排查验，报关单放行，申请改船名航次。</t>
  </si>
  <si>
    <t>230820250085654834</t>
  </si>
  <si>
    <t>JNG0265525</t>
  </si>
  <si>
    <t>7.21，代理通知这票推船了，需跟海关申请修改驳船船名航次，</t>
  </si>
  <si>
    <t>7.22申请改船名航次，7.22更改完成</t>
  </si>
  <si>
    <t>230520250055556027</t>
  </si>
  <si>
    <t>177MJCJCJ226819T</t>
  </si>
  <si>
    <t>7.22 代理通知更改靠区</t>
  </si>
  <si>
    <t>7.22发起改单，已更改完成</t>
  </si>
  <si>
    <t>230520250055556023</t>
  </si>
  <si>
    <t>177MJCJCJ226819AT</t>
  </si>
  <si>
    <t>230820250085660404</t>
  </si>
  <si>
    <t>CAJ0143470</t>
  </si>
  <si>
    <t>7.22核碰正常 未放行 找海关处理</t>
  </si>
  <si>
    <t>7.22报关单放行</t>
  </si>
  <si>
    <t>230520250055555731</t>
  </si>
  <si>
    <t>COSU6424971540</t>
  </si>
  <si>
    <t>7.23张家港 机检查验</t>
  </si>
  <si>
    <t>7.23报关单放行</t>
  </si>
  <si>
    <t>230820250085661216</t>
  </si>
  <si>
    <t>HLCUNK2250412044</t>
  </si>
  <si>
    <t>7.23南京 机检 查验</t>
  </si>
  <si>
    <t>7.24查验结束报关单放行</t>
  </si>
  <si>
    <t>223120250002710767</t>
  </si>
  <si>
    <t>177MJPJPS810084</t>
  </si>
  <si>
    <t>7.23美的方通知删单，未赶上原船</t>
  </si>
  <si>
    <t>7.23接到通知，代理未开出在港证明和未上船证明，收到后准备发起删单。
7.25发起删单，已删单成功</t>
  </si>
  <si>
    <t>222920250002640027</t>
  </si>
  <si>
    <t>7.23接到美的方通知有可能删单，也可能做漏装</t>
  </si>
  <si>
    <t>做漏装</t>
  </si>
  <si>
    <t>222920250002640466</t>
  </si>
  <si>
    <t>222920250002640683</t>
  </si>
  <si>
    <t>232820250285570932</t>
  </si>
  <si>
    <t>177IVKVKS86282</t>
  </si>
  <si>
    <t>7.24代理，美的方通知删单未赶上原船</t>
  </si>
  <si>
    <t>7.24 删单成功</t>
  </si>
  <si>
    <t>230820250085662061</t>
  </si>
  <si>
    <t>COSU642465670001</t>
  </si>
  <si>
    <t>国内单证：COSU6424656700分两票报关，预配EMF只有一票，无法放行</t>
  </si>
  <si>
    <t>7.24申请改单，改船名航次为空，代理删预配重发
7.25申请改单，改正确船名航次</t>
  </si>
  <si>
    <t>230820250085662059</t>
  </si>
  <si>
    <t>COSU6424656700</t>
  </si>
  <si>
    <t>7.24置空船名，代理删预配重发
7.25申请改配</t>
  </si>
  <si>
    <t>230820250085659633</t>
  </si>
  <si>
    <t>JNG0265232</t>
  </si>
  <si>
    <t>代理通知，没有及时提供SI所需的ECTN，导致推船。</t>
  </si>
  <si>
    <t>7.25申请改配，已成功</t>
  </si>
  <si>
    <t>230820250085657121</t>
  </si>
  <si>
    <t>JNG0265235</t>
  </si>
  <si>
    <t>230820250085658077</t>
  </si>
  <si>
    <t>JNG0265238</t>
  </si>
  <si>
    <t xml:space="preserve"> 230820250085663442</t>
  </si>
  <si>
    <t>7.24南京    机检查验</t>
  </si>
  <si>
    <t>7.25查验，报关单放行</t>
  </si>
  <si>
    <t>230520250055556859</t>
  </si>
  <si>
    <t>COSU6424835640</t>
  </si>
  <si>
    <t>7.24张家港 机检查验</t>
  </si>
  <si>
    <t>230820250085662242</t>
  </si>
  <si>
    <t>EGLV145599827073</t>
  </si>
  <si>
    <t>无异常未放行，做人工放行</t>
  </si>
  <si>
    <t>7.25申请人工放行</t>
  </si>
  <si>
    <t>230520250055556777</t>
  </si>
  <si>
    <t>NGBG16087</t>
  </si>
  <si>
    <t>客服：客服未甄别邮件内容，将出运方式、船名航次等出运信息按驳船申报，导致错误的按张家港驳船出运的方式勾选水运中转，报关单申报错误</t>
  </si>
  <si>
    <t>7.25申请删单，报关单删除成功</t>
  </si>
  <si>
    <t>230520250055556867</t>
  </si>
  <si>
    <t>COSU6424540300</t>
  </si>
  <si>
    <t>国内单证：舱单毛重发错，需做报关单改配新船名释放舱单。</t>
  </si>
  <si>
    <t>7.25发起改单，更改成功
7.28代理无法删预配，需删报关单
7.28待代理提供在港后发起删单
7.28现场排队处理，海关受理状态，
7.29跟进删单状态，代理通知已推驳船
7.29删单成功，重报已放行</t>
  </si>
  <si>
    <t>230820250085662222</t>
  </si>
  <si>
    <t>OOLU2161131140</t>
  </si>
  <si>
    <t>国内单证组：单证及出运表件数都是55件，按55件申报，正确件数为56件，加拼一票申报OOLU216113114001</t>
  </si>
  <si>
    <t>7.25申请将OOLU2161131140船名航次置空，代理删预配舱单重发，申报加拼报关单放行</t>
  </si>
  <si>
    <t>223120250002942883</t>
  </si>
  <si>
    <t>CHN2520487</t>
  </si>
  <si>
    <t>7.25接美的通知，取消订单，需要删单+提离</t>
  </si>
  <si>
    <t>7.29待车队提供在港证明+未上船证明后申请删单
7.30收到在港证明，删单成功。
7.31办提离手续，代理舱单未删除
8.1 代理15.50删除舱单，下周一办提离
8.4提离已寄出办好</t>
  </si>
  <si>
    <t>230820250085663732</t>
  </si>
  <si>
    <t>7.25查验</t>
  </si>
  <si>
    <t>7.28安排查验，报关单放行</t>
  </si>
  <si>
    <t xml:space="preserve">230820250085663695 </t>
  </si>
  <si>
    <t>CAJ0145607</t>
  </si>
  <si>
    <t>230820250085664401</t>
  </si>
  <si>
    <t>JNG0265838</t>
  </si>
  <si>
    <t>7.25查验，7.30代理通知改配。</t>
  </si>
  <si>
    <t>7.28安排查验，报关单放行，7.30改配成功</t>
  </si>
  <si>
    <t>223120250002972625</t>
  </si>
  <si>
    <t>177ZASASS104541</t>
  </si>
  <si>
    <t>7.28未赶上原船，需要删单</t>
  </si>
  <si>
    <t>7.29等待车队的在港+未上船
7.30代理通知付费漏装，无需删单</t>
  </si>
  <si>
    <t>223120250002972660</t>
  </si>
  <si>
    <t>177ZASASS104515</t>
  </si>
  <si>
    <t>230820250085664751</t>
  </si>
  <si>
    <t>COSU6425369480</t>
  </si>
  <si>
    <t>7.28查验，7.29代理通知改配</t>
  </si>
  <si>
    <t>7.29准备查验，报关单放行，7.29已改船名航次。</t>
  </si>
  <si>
    <t>230520250055557709</t>
  </si>
  <si>
    <t>YMJAM241096366</t>
  </si>
  <si>
    <t>7.28 海关挂起，需要提供情况说明，要求提供图片，近景+远景，近景要有清楚的铭牌号，写清楚每个型号每个字母代表的意思，具体的功率，对照着管制要求自查是否属于管制商品，提供具体多少功率</t>
  </si>
  <si>
    <t>7.28已通知美的准备，7.29报关单放行</t>
  </si>
  <si>
    <t>230520250055557776</t>
  </si>
  <si>
    <t>177TJWJWJ2005484S</t>
  </si>
  <si>
    <t>7.28申报，核碰正常，7.29人工放行</t>
  </si>
  <si>
    <t>7.29报关单已放行</t>
  </si>
  <si>
    <t>230520250055558014</t>
  </si>
  <si>
    <t>JNG0266294C</t>
  </si>
  <si>
    <t>7.29申报，被海关挂起，海关质疑可能是拆单报的，所以要提供合同证明是同一批 ，已提供样品说明</t>
  </si>
  <si>
    <t>7.30申请海关人工放行，目前未放行
7.31删单成功，8.1申请提离，众诚办理</t>
  </si>
  <si>
    <t>230520250055558010</t>
  </si>
  <si>
    <t>JNG0266294A</t>
  </si>
  <si>
    <t>230520250055558005</t>
  </si>
  <si>
    <t>JNG0266252C</t>
  </si>
  <si>
    <t>230520250055558002</t>
  </si>
  <si>
    <t>JNG0266252A</t>
  </si>
  <si>
    <t>230520250055558108</t>
  </si>
  <si>
    <t>COSU6425601110</t>
  </si>
  <si>
    <t>客服：7.29申报组出运表按旧BC上计划（代理邮件更新过BC），船名航次错误</t>
  </si>
  <si>
    <t>7.30发起改单，海关待受理，接现场同事反馈，张家港改单两个工作日。
7.31改单完成</t>
  </si>
  <si>
    <t>330120250000029400</t>
  </si>
  <si>
    <t>177FJWJWJ506204S</t>
  </si>
  <si>
    <t>第9项：带嵌入式烟机的电磁灶，随附上传了说明。一直卡审结，已联系现场找海关处理</t>
  </si>
  <si>
    <t>7.30报关单已放行</t>
  </si>
  <si>
    <t>230820250085668110</t>
  </si>
  <si>
    <t>SNLFNJJL002174</t>
  </si>
  <si>
    <t>7.30机检查验</t>
  </si>
  <si>
    <t>7.31查验，报关单放行</t>
  </si>
  <si>
    <t>230520250055558006</t>
  </si>
  <si>
    <t>JNG0266252D</t>
  </si>
  <si>
    <t>7.31因拼票货物被海关被挂起，需一起删单</t>
  </si>
  <si>
    <t>7.31删单成功，8.1申请提离，众诚办理</t>
  </si>
  <si>
    <t>230520250055558004</t>
  </si>
  <si>
    <t>JNG0266252B</t>
  </si>
  <si>
    <t>230520250055558011</t>
  </si>
  <si>
    <t>JNG0266294B</t>
  </si>
  <si>
    <t>230520250055558016</t>
  </si>
  <si>
    <t>JNG0266294D</t>
  </si>
  <si>
    <t>230520250055558473</t>
  </si>
  <si>
    <t>COSU642431101001</t>
  </si>
  <si>
    <t>国内单证：COSU6424311010分两票报关，预配EMF只发一票，主单放行，拼单无法放行</t>
  </si>
  <si>
    <t xml:space="preserve">8.1准备发起改单，改船名航次，8.1更改成功，做人工放行。
海关提出要求：以后报洗衣机安装组件，要求在备注栏或者规格型号栏写清楚具体品名，比如:X洗衣机底座
</t>
  </si>
  <si>
    <t>230520250055558472</t>
  </si>
  <si>
    <t>COSU6424311010</t>
  </si>
  <si>
    <t>7.31发起删单，海关受理，要求解释安装组件
8.1删单成功</t>
  </si>
  <si>
    <t>330120250000029706</t>
  </si>
  <si>
    <t>YMJAZ241087157</t>
  </si>
  <si>
    <t>7.31查验机检</t>
  </si>
  <si>
    <t>8.1安排查验，报关单放行</t>
  </si>
  <si>
    <t>230520250055558739</t>
  </si>
  <si>
    <t>JNG0262094</t>
  </si>
  <si>
    <t>230520250055558662</t>
  </si>
  <si>
    <t>ONEYNKGF07608700</t>
  </si>
  <si>
    <t>7.31查验</t>
  </si>
  <si>
    <t>7.31报关单查验，报关单放行</t>
  </si>
  <si>
    <t xml:space="preserve"> 合肥华凌股份有限公司</t>
  </si>
  <si>
    <t>230820250085668709</t>
  </si>
  <si>
    <t>预配、运抵核碰正常，一直审结，需海关人工放行</t>
  </si>
  <si>
    <t>8.1报关单已放行</t>
  </si>
  <si>
    <t>230820250085668760</t>
  </si>
  <si>
    <t>JNG0266833</t>
  </si>
  <si>
    <t>7.31申报，代理通知改配驳船</t>
  </si>
  <si>
    <t>7.31船名航次已改</t>
  </si>
  <si>
    <t>230820250085669645</t>
  </si>
  <si>
    <t>177MJCJCJ026936U</t>
  </si>
  <si>
    <t>7.31机检查验，8.1放行后更改船名航次</t>
  </si>
  <si>
    <t>8.1安排查验，报关单放行，船名航次改好。</t>
  </si>
  <si>
    <t>230820250085669530</t>
  </si>
  <si>
    <t>JNG0267504</t>
  </si>
  <si>
    <t>230820250085670189</t>
  </si>
  <si>
    <t>JNG0264779</t>
  </si>
  <si>
    <t>申报：箱号大小写报错，应为SELU4473609，错报为SELu4473609</t>
  </si>
  <si>
    <t>8.4提交改单申请（新生圩关）8.4更改完成，报关单放行</t>
  </si>
  <si>
    <t>223120250003057438</t>
  </si>
  <si>
    <t>EGLV142502032114</t>
  </si>
  <si>
    <t>8.1晚20:55机检查验</t>
  </si>
  <si>
    <t>8.2洋山上岛查验，上午联系口岸现场加急搞定查验，上午11:27报关单放行</t>
  </si>
  <si>
    <t>223120250003057184</t>
  </si>
  <si>
    <t>HDMUSHAZPRZ82900</t>
  </si>
  <si>
    <t>8.2机检查验</t>
  </si>
  <si>
    <t>8.2洋山上岛查验，报关单放行</t>
  </si>
  <si>
    <t>230520250055559268</t>
  </si>
  <si>
    <t>COSU9503351780</t>
  </si>
  <si>
    <t>COSU9503351780分两票报关，代理预配舱单只发一票，主单放行，拼单无法放行</t>
  </si>
  <si>
    <t>8.4提交删单申请（张家港关），报关单已删除</t>
  </si>
  <si>
    <t>230520250055559269</t>
  </si>
  <si>
    <t>COSU9503351781</t>
  </si>
  <si>
    <t>8.4报关单放行</t>
  </si>
  <si>
    <t>232820250285576446</t>
  </si>
  <si>
    <t>CHN2537371</t>
  </si>
  <si>
    <t>大船早开一天，驳船箱子没来得及卸</t>
  </si>
  <si>
    <t>8.4待收到代理提供未上船证明后申请删单（苏吴中办）
8.4发起删单，删单成功</t>
  </si>
  <si>
    <t>230820250085670724</t>
  </si>
  <si>
    <t>JNG0266762</t>
  </si>
  <si>
    <t>运抵核碰正常未放行</t>
  </si>
  <si>
    <t>8.4申请人工放行，报关单放行</t>
  </si>
  <si>
    <t>230820250085671118</t>
  </si>
  <si>
    <t>JNG0266039</t>
  </si>
  <si>
    <t>8.4机检查验，8.5追加人工查验。</t>
  </si>
  <si>
    <t>8.4机检查验，
8.5追加人工查验，码头暂未调箱到查验点
8.6报关单放行
8.7更改船名航次</t>
  </si>
  <si>
    <t>230820250085671128</t>
  </si>
  <si>
    <t>JNG0266039A</t>
  </si>
  <si>
    <t>8.7代理通知更改船名航次</t>
  </si>
  <si>
    <t>230820250085670906</t>
  </si>
  <si>
    <t>JNG0266894</t>
  </si>
  <si>
    <t>8.4机检查验</t>
  </si>
  <si>
    <t>8.4机检查验，报关单放行</t>
  </si>
  <si>
    <t>230520250055559347</t>
  </si>
  <si>
    <t>COSU6425872440</t>
  </si>
  <si>
    <t>330120250000026860</t>
  </si>
  <si>
    <t>COSU6423022760</t>
  </si>
  <si>
    <t>接美的通知此票因经工厂抽检发现，该批货物可能存在品质不良，为保障消费者使用安全，需退回工厂进行整改后重新出口。</t>
  </si>
  <si>
    <t>8.4准备删单资料/重出资料，待现场海关审批后申请删单
8.5发起删单，待海关受理
8.6海关受理状态
8.7海关操作成功，货物提离</t>
  </si>
  <si>
    <t xml:space="preserve"> 232720250275648698</t>
  </si>
  <si>
    <t>TLTCLCJA25151018</t>
  </si>
  <si>
    <t>8.5机检查验，报关单放行</t>
  </si>
  <si>
    <t>230820250085670031</t>
  </si>
  <si>
    <t>177TJWJWJ047093S</t>
  </si>
  <si>
    <t>8.4代理通知更改船名航次</t>
  </si>
  <si>
    <t>8.4申请改船名航次</t>
  </si>
  <si>
    <t>230820250085672161</t>
  </si>
  <si>
    <t>COSU6424818410</t>
  </si>
  <si>
    <t>8.5代理通知更改船名航次</t>
  </si>
  <si>
    <t>8.5申请改船名航次</t>
  </si>
  <si>
    <t>230520250055559554</t>
  </si>
  <si>
    <t>COSU6425147100</t>
  </si>
  <si>
    <t>8.5已经发起改单，更改成功</t>
  </si>
  <si>
    <t>深圳市拓日新能源科技股份有限公司</t>
  </si>
  <si>
    <t>230820250085671990</t>
  </si>
  <si>
    <t>COSU642399265001</t>
  </si>
  <si>
    <t>国内单证：拼票业务，客户资料数据跟系统数据不一致，直接按系统数据出资料，周六客户告知资料的毛净重正确的，系统数据有问题，未更新报关资料上毛净重，按照毛重67.2申报，预配发成33.6，无法码放。</t>
  </si>
  <si>
    <t>8.5通知单证组联系业务是否可以按报关单资料去更改提单信息，置空船名，删除预配。 
沟通结果：按照置空船名删预配来，客户同意修改提单重量
8.6申请置空船名，待代理删预配舱单重发，
8.7删掉预配后 集运无法重新上传舱单，发起改单更换提单号，改单成功。</t>
  </si>
  <si>
    <t>230820250085671963</t>
  </si>
  <si>
    <t>COSU6423992650</t>
  </si>
  <si>
    <t>8.6置空船名，待代理删预配舱单重发，待代理删预配舱单重发，
8.7删掉预配后 集运无法重新上传舱单，发起改单更换提单号，改单成功。</t>
  </si>
  <si>
    <t>230820250085672437</t>
  </si>
  <si>
    <t>177FJMJMJ007188X</t>
  </si>
  <si>
    <t>8.5查验8.6追加人工检查</t>
  </si>
  <si>
    <t>8.5机检查验
8.6申请人工查验，码头暂未调箱到查验点
8.7查验完毕，报关单放行</t>
  </si>
  <si>
    <t>223120250003086859</t>
  </si>
  <si>
    <t>HLCUSHA2507BLRU8</t>
  </si>
  <si>
    <t>8.6代理邮件通知未赶上大船需要删单</t>
  </si>
  <si>
    <t>8.6资料已准备
8.7发起删单，删单成功</t>
  </si>
  <si>
    <t>230820250085673516</t>
  </si>
  <si>
    <t>OOLU2161419540</t>
  </si>
  <si>
    <t>8.6机检查验</t>
  </si>
  <si>
    <t>8.7查验，报关单放行</t>
  </si>
  <si>
    <t>230820250085673928</t>
  </si>
  <si>
    <t>177MJCJCJ026975U</t>
  </si>
  <si>
    <t>8.6晚机检查验</t>
  </si>
  <si>
    <t>230820250085674647</t>
  </si>
  <si>
    <t>HLCUNK2250733384</t>
  </si>
  <si>
    <t>8.7查验</t>
  </si>
  <si>
    <t>8.7机检查验，
8.8追加人工查验，报关单放行</t>
  </si>
  <si>
    <t>230820250085674776</t>
  </si>
  <si>
    <t>HLCUNK2250110234</t>
  </si>
  <si>
    <t>8.8核碰正常，报关单未放行</t>
  </si>
  <si>
    <t>8.8申请人工放行，海关要求风险甄别，待海关发起查验
8.11经联系现场海关通知改单重审，发起改单被驳回（原因：有布控不能改单），目前系统暂未收到查验指令，正在联系现场海关处理
8.12已查验放行，更改船名航次</t>
  </si>
  <si>
    <t>230820250085675201</t>
  </si>
  <si>
    <t>JNG0269923</t>
  </si>
  <si>
    <t>8.8代理通知大船改靠区</t>
  </si>
  <si>
    <t>8.8改单完成</t>
  </si>
  <si>
    <t>230820250085675558</t>
  </si>
  <si>
    <t>8.8申报后审结，代理通知改船名航次</t>
  </si>
  <si>
    <t>8.11申请放行后更改船名航次</t>
  </si>
  <si>
    <t>230520250055561205</t>
  </si>
  <si>
    <t>COSU6424633230</t>
  </si>
  <si>
    <t>申报：代理更新BC，未按照新BC船名航次申报</t>
  </si>
  <si>
    <t>8.11改单成功，人工放行</t>
  </si>
  <si>
    <t>330120250000029550</t>
  </si>
  <si>
    <t>ONEYNK5GL2494700</t>
  </si>
  <si>
    <t>接邮件通知，预计13号到芜湖，请到芜湖后安排退关，拉回合肥</t>
  </si>
  <si>
    <t>8.11跟通关代表确认是否办理退关手续
8.12准备退关资料
8.13提交资料海关审批，货物卸货时间为16.37未安排查验手续
8.14完成查验，发起删单申请，待海关受理
8.15删单完成，申请提离，正本资料交代理</t>
  </si>
  <si>
    <t>230820250085678133</t>
  </si>
  <si>
    <t>COSU6426003990</t>
  </si>
  <si>
    <t>国内单证：舱单发错，毛重应为：29921.2 错发为27900。</t>
  </si>
  <si>
    <t>8.12申请置空船名，代理删预配舱单重发
8.13舱单重发，更改船名航次，已码放</t>
  </si>
  <si>
    <t>230820250085671893</t>
  </si>
  <si>
    <t>HLCUNK2250724252</t>
  </si>
  <si>
    <t>代理通知大船更改靠区，故提交更改出境关别，离境口岸</t>
  </si>
  <si>
    <t>8.14发起改单，已改好，报关单放行</t>
  </si>
  <si>
    <t>230820250085680019</t>
  </si>
  <si>
    <t>NOSNJ25MN41032</t>
  </si>
  <si>
    <t>代理通知更改提单号为NOSNJ25MS48053</t>
  </si>
  <si>
    <t>8.14已完成改单，报关单未放行
8.15申请海关人工放行，码放</t>
  </si>
  <si>
    <t>230520250055562553</t>
  </si>
  <si>
    <t>COSU6426913140</t>
  </si>
  <si>
    <t>8.14机检查验后跳人工查验</t>
  </si>
  <si>
    <t>8.14机检查验，下午追加人工查验
8.15安排人工查验，报关单放行</t>
  </si>
  <si>
    <t>330120250000031562</t>
  </si>
  <si>
    <t>177MJCJCJ527124X</t>
  </si>
  <si>
    <t>客服：运抵少发送一个箱子，删除运抵后重发，报关单仍未放行。</t>
  </si>
  <si>
    <t>8.14两次删除运抵重新发送，“已发送”状态，海关收不到回执
8.15跟现场海关沟通，无法放行需删单
8.15删单重报，报关单放行</t>
  </si>
  <si>
    <t>230820250085678294</t>
  </si>
  <si>
    <t>HLCUNK2250628182</t>
  </si>
  <si>
    <t>8.15申请改单，改单完成，报关单放行</t>
  </si>
  <si>
    <t>230520250055562456</t>
  </si>
  <si>
    <t>COSU6426132470</t>
  </si>
  <si>
    <t>国内单证组：COSU6426132470分两票报关，分单COSU642613247001预配EMF毛重发错，正确应为3780，错发为3528，报关单放行，分单无法码放。</t>
  </si>
  <si>
    <t>8.19申请改单，已置空船名航次
8.20代理删预配重发，
8.20再次发起改单，改回正确船名次，海关受理中
8.21已改好</t>
  </si>
  <si>
    <t>230520250055562457</t>
  </si>
  <si>
    <t>COSU642613247001</t>
  </si>
  <si>
    <t>8.19申请改单，置空船名航次，海关受理中
8.20已置空船名航次，代理删预配重发，重新发起改单
8.20代理删预配重发，
8.20再次发起改单，改回正确航次，海关受理中
8.21已改好</t>
  </si>
  <si>
    <t>230820250085683974</t>
  </si>
  <si>
    <t>COSU6427456740</t>
  </si>
  <si>
    <t>推驳船未通知，美的船务通知代理，未通知报关行，按旧船名报关，代理预配舱单按新船名发送，无法放行</t>
  </si>
  <si>
    <t>美的船务/代理</t>
  </si>
  <si>
    <t>8.19发起改单，人工放行</t>
  </si>
  <si>
    <t>230820250085684299</t>
  </si>
  <si>
    <t>SNLFNJTXN620192</t>
  </si>
  <si>
    <t>代理通知出运表船名航次提供错，货物放行后更改船名航次</t>
  </si>
  <si>
    <t>8.20申请更改船名航次，已完成</t>
  </si>
  <si>
    <t>230520250055561252</t>
  </si>
  <si>
    <t>JNG0269727</t>
  </si>
  <si>
    <t>代理通知该票货物要加拼柜子</t>
  </si>
  <si>
    <t>8.19待通关代表确认
8.20确认加拼，船名航次改为新船名，准备改单资料
8.21发起改单更改了航次
8.25申请更改船名，已更改</t>
  </si>
  <si>
    <t>230820250085681147</t>
  </si>
  <si>
    <t>TLNJHCJA25151004</t>
  </si>
  <si>
    <t>代理通知因为TCLC 改船，要删单重新报</t>
  </si>
  <si>
    <t>8.19待通关代表确认
8.20确认删单，删单退关资料已寄出
8.21申请删单</t>
  </si>
  <si>
    <t>230820250085681142</t>
  </si>
  <si>
    <t>TLNJHCJR25101001</t>
  </si>
  <si>
    <t>230820250085681143</t>
  </si>
  <si>
    <t>TLNJHCJR25091002</t>
  </si>
  <si>
    <t>230820250085684913</t>
  </si>
  <si>
    <t>8.19查验</t>
  </si>
  <si>
    <t>8.20机检查验，报关单放行</t>
  </si>
  <si>
    <t>230720250075519855</t>
  </si>
  <si>
    <t>COSU6427469250</t>
  </si>
  <si>
    <t>8.20申请人工查验，实物上无型号，只有规格，海关认为申报型号与实物不一致，要求美的出具情况说明
8.21现场沟通，报关单放行</t>
  </si>
  <si>
    <t>230820250085685731</t>
  </si>
  <si>
    <t>TLNJLCJJ25151004</t>
  </si>
  <si>
    <t>8.20查验</t>
  </si>
  <si>
    <t>8.21申请查验，已放行</t>
  </si>
  <si>
    <t>230820250085684232</t>
  </si>
  <si>
    <t>NOSNJ25HF47199</t>
  </si>
  <si>
    <t>代理提供靠区提供错误</t>
  </si>
  <si>
    <t>8.21申请改单，已改好</t>
  </si>
  <si>
    <t xml:space="preserve"> 232720250275661883</t>
  </si>
  <si>
    <t>JJCTCKEY500444</t>
  </si>
  <si>
    <t>因电子口岸系统问题导致卸货港数据错误，代理通知需要置空报关单删除预配重新发送</t>
  </si>
  <si>
    <t>8.21运输方式由水路改为其他，改单成功，代理删预配舱单
8.22申请改回水路运输，已更改完成</t>
  </si>
  <si>
    <t>230520250055564247</t>
  </si>
  <si>
    <t>JNG0269726</t>
  </si>
  <si>
    <t>代理通知更改船名航次</t>
  </si>
  <si>
    <t>8.21已发起改单，海关受理中
8.22已更改完成</t>
  </si>
  <si>
    <t>230820250085687059</t>
  </si>
  <si>
    <t>JNG0271766</t>
  </si>
  <si>
    <t>代理通知靠区由洋山改成外港，原因是船公司换大船</t>
  </si>
  <si>
    <t>8.21已发起改单，已完成</t>
  </si>
  <si>
    <t>230820250085687016</t>
  </si>
  <si>
    <t>177TJWJWJ047410S</t>
  </si>
  <si>
    <t>8.21查验</t>
  </si>
  <si>
    <t>8.22安排查验，已放行</t>
  </si>
  <si>
    <t>230820250085687196</t>
  </si>
  <si>
    <t>177FJUJUJ056819W</t>
  </si>
  <si>
    <t>运抵核碰正常，一直审结</t>
  </si>
  <si>
    <t>8.22申请人工放行，改船名航次</t>
  </si>
  <si>
    <t>230820250085687639</t>
  </si>
  <si>
    <t>8.22申请人工放行</t>
  </si>
  <si>
    <t>230820250085683503</t>
  </si>
  <si>
    <t>JNG0271854</t>
  </si>
  <si>
    <t>申报组：船名错报为大船名，报关单放行，无码放</t>
  </si>
  <si>
    <t>8.22申请改船名航次，已码放</t>
  </si>
  <si>
    <t>230820250085683091</t>
  </si>
  <si>
    <t>177GJWJWJ047532S</t>
  </si>
  <si>
    <t>8.22申请更改船名航次，已更改好</t>
  </si>
  <si>
    <t>223320250001406240</t>
  </si>
  <si>
    <t>16099851010_NKG77010290</t>
  </si>
  <si>
    <t>空运货物里面有电机的，已经上传了非无人机的证明，但是没有准卡通知</t>
  </si>
  <si>
    <t>8.22线下咨询海关，跳出准卡通知，可能会跳查验等信息
8.24报关单结关</t>
  </si>
  <si>
    <t>230820250085688520</t>
  </si>
  <si>
    <t>8.22查验</t>
  </si>
  <si>
    <t>8.25安排查验
8.25报关单放行</t>
  </si>
  <si>
    <t>230820250085687739</t>
  </si>
  <si>
    <t>COSU6427887260</t>
  </si>
  <si>
    <t>运抵核碰正常，一直审结，做下人工放行</t>
  </si>
  <si>
    <t>8.22已放行</t>
  </si>
  <si>
    <t>330120250000032856</t>
  </si>
  <si>
    <t>CAJ0146438</t>
  </si>
  <si>
    <t>230820250085688806</t>
  </si>
  <si>
    <t>TLNJBKJR25101019</t>
  </si>
  <si>
    <t>单单不符，件数为13件代理舱单发了11件，邮件通知我们申报</t>
  </si>
  <si>
    <t>8.22已邮件告知风险与责任问题
8.22放行</t>
  </si>
  <si>
    <t>230820250085688862</t>
  </si>
  <si>
    <t>YMJAW241136327</t>
  </si>
  <si>
    <t>223320250001401141</t>
  </si>
  <si>
    <t>00116333295</t>
  </si>
  <si>
    <t>8.22查验，磁铁需提供情况说明，
涉及稀土永磁材料的，如果不涉及出口管制，要在备注栏输入：不含钐，钆，铽，镝，镥，钪，钇元素</t>
  </si>
  <si>
    <t>8.23查验
8.25“磁铁”情况说明等资料已寄出上海
8.26资料交现场海关，经审核需要改单（备注），资料已寄出
8.27准备解释报告
8.28发起改单，更改完成货物放行。
8.29代结监管仓库仓储费220+450，货物送安检口</t>
  </si>
  <si>
    <t>330120250000032958</t>
  </si>
  <si>
    <t>115F506145</t>
  </si>
  <si>
    <t>报了限温器，上传了情况说明，目前还是审结</t>
  </si>
  <si>
    <t>8.25申请人工放行，报关单放行</t>
  </si>
  <si>
    <t>230820250085685625</t>
  </si>
  <si>
    <t>TLNJHCJU25101010</t>
  </si>
  <si>
    <t>代理提供出运表错误（按驳船提供出运表），勾选水路中转申报，实际为大船出运，需删单</t>
  </si>
  <si>
    <t>8.25通关代表确认，资料已寄出
8.26申请删单，删单完成</t>
  </si>
  <si>
    <t>230820250085685616</t>
  </si>
  <si>
    <t>TLNJHCJU25101004</t>
  </si>
  <si>
    <t>芜湖口岸暂时进出围板箱（旧），查验</t>
  </si>
  <si>
    <t>8.25安排查验，现场海关发现壁虎，蜘蛛等活物，需要熏蒸；申报件数810个，货物实际散装，箱底没有810个，需要确认件数，待海关的最终决定
8.26等海关取样结果，
8.27蚊子的检测报告为吸血蚊
8.28待其他活物的检测报告全部出来后（时间为一周），等所有的报告出后申请熏蒸流程。
9.3待吸血蚊的病毒检测报告结果
9.12经联系海关科长，病毒检测报告预计下周才能出
9.15现场海关回复，柜子里查出来的生物品种太多，海关要研究怎么处置，用什么药水处理，等具体通知。
9.16预计周四出最终结果
9.18下午已安排熏蒸，
9.23联系现场海关，做手动放行，报关单已结关。</t>
  </si>
  <si>
    <t>COSU6427329990</t>
  </si>
  <si>
    <t>国内单证：预配EMF毛重发错，需删舱单、删理货</t>
  </si>
  <si>
    <t>8.25待船代提供情况说明后申请删理货，理货已删除</t>
  </si>
  <si>
    <t>COSU6427963640</t>
  </si>
  <si>
    <t>8.26待船代提供情况说明后申请删理货，已处理完成</t>
  </si>
  <si>
    <t>230820250085689332</t>
  </si>
  <si>
    <t>OOLU2161682330</t>
  </si>
  <si>
    <t>8.25查验</t>
  </si>
  <si>
    <t>8.26安排查验，报关单放行</t>
  </si>
  <si>
    <t>230820250085690543</t>
  </si>
  <si>
    <t>177MJCJCJ027174U</t>
  </si>
  <si>
    <t>8.26申请人工放行，报关单放行</t>
  </si>
  <si>
    <t>230820250085689801</t>
  </si>
  <si>
    <t>OOLU2161714180</t>
  </si>
  <si>
    <t>230820250085691463</t>
  </si>
  <si>
    <t>HLCUNK2250735642</t>
  </si>
  <si>
    <t>国内单证：品名，税号提供错，经国内单证反馈，正确为冷柜套件，8418302900，错制单为：立式冷冻箱套件，8418402900</t>
  </si>
  <si>
    <t>8.26通关代表确认，需改单
8.27现场联系沟通
8.28已完成修改</t>
  </si>
  <si>
    <t>230820250085689329</t>
  </si>
  <si>
    <t>177FJWJWJ047521S</t>
  </si>
  <si>
    <t>8.26查验</t>
  </si>
  <si>
    <t>8.27安排查验，报关单放行</t>
  </si>
  <si>
    <t>230520250055565501</t>
  </si>
  <si>
    <t>JNG0269620</t>
  </si>
  <si>
    <t>国内单证：8.26海关挂起，暂无法放行
8.27日，经自查发现制单过程中出现6项商品，品名税号制单错误，“直流电机”错制单为“电机（交直流两用电动机）”税号应为8501200090，错制单为8501310000</t>
  </si>
  <si>
    <t>8.27准备资料，补传情况说明
8.28处理电机关员休假一周，联系现场海关后答复明日审核补传的说明。单证组重新提供了报关资料，同步准备删改单资料。
8.29联系现场关员接单审单，报关单已放行</t>
  </si>
  <si>
    <t>230820250085691507</t>
  </si>
  <si>
    <t>177TJWJWJ047623SA</t>
  </si>
  <si>
    <t>客服：代理更新出运表后，我司未及时更新出运表</t>
  </si>
  <si>
    <t>8.27准备改单资料，已发起改单，已更改完成</t>
  </si>
  <si>
    <t>230820250085691557</t>
  </si>
  <si>
    <t>YMJAW241136378</t>
  </si>
  <si>
    <t>国内单证：按四个柜预报关制单，实装三个柜，剩下的1个柜子YMMU6347381 工厂一直装不出来，驳船延不了了，业务让已经装走的3个先走掉，重新按3个柜子报关。需删单重报</t>
  </si>
  <si>
    <t xml:space="preserve">8.27准备删单资料，已发起删单
8.28删单已完成
8.28代理删预配舱单，经美的业务确认该票为短装，仍为4个柜子出运，单证组重新推资料，代理更新出运表，已重报，报关单已放行
</t>
  </si>
  <si>
    <t>230820250085691743</t>
  </si>
  <si>
    <t>NKAI50048100</t>
  </si>
  <si>
    <t>代理：放行后通知更改船名航次</t>
  </si>
  <si>
    <t>8.28已发起更改船名航次，已改好。</t>
  </si>
  <si>
    <t>230820250085693777</t>
  </si>
  <si>
    <t>JNG0272304</t>
  </si>
  <si>
    <t>国内单证：制单员通知件数错误，第二项户外遮阳伞正确为40把，单证错填制为8把，代理预配舱单按资料发送，报关单核碰正常，已海放，已码放</t>
  </si>
  <si>
    <t>8.28已联系通关代表，货物已上船出运</t>
  </si>
  <si>
    <t>222920250003232940</t>
  </si>
  <si>
    <t>TRLPENSHADRI00101</t>
  </si>
  <si>
    <t>代理16：43通知报关，17：12申报审结，17：25通知暂停报关，指代邮件收到国外客户的指令，其中一个柜子要改目的港。</t>
  </si>
  <si>
    <t>8.28指代与美的确认最终不删单</t>
  </si>
  <si>
    <t>230520250055566423</t>
  </si>
  <si>
    <t>NKAA50175400</t>
  </si>
  <si>
    <t>8.29查验</t>
  </si>
  <si>
    <t>8.29安排查验，报关单放行</t>
  </si>
  <si>
    <t>230820250085691812</t>
  </si>
  <si>
    <t>SNLFNJPXSWY0601</t>
  </si>
  <si>
    <t>8.29申请更改船名航次，已改好。</t>
  </si>
  <si>
    <t>230820250085694020</t>
  </si>
  <si>
    <t>177TJWJWJ047608S</t>
  </si>
  <si>
    <t>TLTCLCJU25101003</t>
  </si>
  <si>
    <t>由于台风延迟了船期，不能满足客户交期，需要拖回改用陆运给客户。此票舱单未申报，未报关，未放行，申请提离港区</t>
  </si>
  <si>
    <t>8.29已办好提离手续，正本交代理</t>
  </si>
  <si>
    <t>TLTCLCJU25101004</t>
  </si>
  <si>
    <t>230820250085692457</t>
  </si>
  <si>
    <t>COSU6427447150</t>
  </si>
  <si>
    <t>代理：未放行通知更改船名航次</t>
  </si>
  <si>
    <t>9.1发起改单申请，报关单放行</t>
  </si>
  <si>
    <t>CULVNGB2533489</t>
  </si>
  <si>
    <t>美的：该票货物漏装未报关，需要提离回工厂补装货物，赶9.5船期。</t>
  </si>
  <si>
    <t>9.1准备提离资料，美的安排寄出给现场
9.2提离申请已办，货物已提离</t>
  </si>
  <si>
    <t>230820250085695508</t>
  </si>
  <si>
    <t>OOLU2161866390</t>
  </si>
  <si>
    <t>8.29核碰正常未放行</t>
  </si>
  <si>
    <t>9.1人工放行，报关单已放行</t>
  </si>
  <si>
    <t>330120250000034090</t>
  </si>
  <si>
    <t>COSU6427262950</t>
  </si>
  <si>
    <t>8.29运抵已发送，未放行</t>
  </si>
  <si>
    <t>9.1申请人工放行，报关单放行</t>
  </si>
  <si>
    <t>230820250085695660</t>
  </si>
  <si>
    <t>SNLFNJKLPS1109</t>
  </si>
  <si>
    <t>9.1查验，报关单放行</t>
  </si>
  <si>
    <t>COSU6427712400</t>
  </si>
  <si>
    <t>运抵核碰正常，一直审结，需要人工放行</t>
  </si>
  <si>
    <t>9.1申请人工放行，已放行
9.2申请改配，已更改船名航次</t>
  </si>
  <si>
    <t>230820250085696095</t>
  </si>
  <si>
    <t>HLCUNK2250735569</t>
  </si>
  <si>
    <t>9.1核碰正常未放行</t>
  </si>
  <si>
    <t>9.1申请人工放行，已放行</t>
  </si>
  <si>
    <t>222920250003285139</t>
  </si>
  <si>
    <t>JJCSHKEY503578</t>
  </si>
  <si>
    <t>9.1船务17点通知短装，代理15点通知申报已申报审结，箱子未进港，仓库在准备补货</t>
  </si>
  <si>
    <t>9.2通关代表已确认，仓库已补货，不需处理。</t>
  </si>
  <si>
    <t>230820250085693910</t>
  </si>
  <si>
    <t>9.1机检查验</t>
  </si>
  <si>
    <t>9.2安排查验，报关单放行</t>
  </si>
  <si>
    <t>230720250075521426</t>
  </si>
  <si>
    <t>COAU7262175200</t>
  </si>
  <si>
    <t>9.2发起改单，报关单未放行
9.3申请人工放行，报关单已放行</t>
  </si>
  <si>
    <t>230720250075521418</t>
  </si>
  <si>
    <t>COAU7262175180</t>
  </si>
  <si>
    <t>代理：放行通知更改船名航次</t>
  </si>
  <si>
    <t>9.2发起改单，报关单放行</t>
  </si>
  <si>
    <t>230820250085697163</t>
  </si>
  <si>
    <t>COSU6428391830</t>
  </si>
  <si>
    <t>9.2申请人工放行，报关单已放行，更改船名航次。</t>
  </si>
  <si>
    <t>230820250085696884</t>
  </si>
  <si>
    <t>177FJMJMJ007444X</t>
  </si>
  <si>
    <t>9.2申请人工放行，报关单已放行</t>
  </si>
  <si>
    <t>230820250085697216</t>
  </si>
  <si>
    <t>177MJTJTJ053758X</t>
  </si>
  <si>
    <t>230820250085697209</t>
  </si>
  <si>
    <t>COSU6428531420</t>
  </si>
  <si>
    <t>9.1代理12点邮件提供出运表，船期为9.2日，18点申报放行，代理认为申报晚要求换船（按出运表船期内申报放行，非远海通责任）</t>
  </si>
  <si>
    <t>9.2申请更改船名航次，已改好</t>
  </si>
  <si>
    <t>230820250085697223</t>
  </si>
  <si>
    <t>COSU6428531900</t>
  </si>
  <si>
    <t>230820250085697261</t>
  </si>
  <si>
    <t>COSU6428531320</t>
  </si>
  <si>
    <t>230820250085697262</t>
  </si>
  <si>
    <t>COSU6428531160</t>
  </si>
  <si>
    <t>230820250085697751</t>
  </si>
  <si>
    <t>9.2查验</t>
  </si>
  <si>
    <t>9.3安排查验，报关单放行</t>
  </si>
  <si>
    <t>330120250000034483</t>
  </si>
  <si>
    <t>177IJWJWJ506363S</t>
  </si>
  <si>
    <t>国内单证组：
9.2下午17:35跳查验
9.3机检查验，海关对第一项品名POLO衫的件数重量提出疑问，申报为3件43.018KGS，总价150元。经核实与实际不符，应为3箱137件 ，单价50元/件，总价6850元，件数、金额错。</t>
  </si>
  <si>
    <t>9.3机检查验
9.4海关人工查验，开箱清点数量，实际件数155件，为男式POLO衫，HS编码、申报要素都不符合，需改单
9.5经现场沟通，待海关综合一科通知改单
9.5货物放行
9.10海关发起改单，报关单已更改
9.15海关现场通知，因前期海关操作改单可能存在数据传输问题，需再次执行改单动作。本次改单需明确报关单目的港（印度尼西亚具体港口）为雅加达，并补充备注 “指运港：雅加达”，目前改单操作已成功办结。</t>
  </si>
  <si>
    <t>230820250085695702</t>
  </si>
  <si>
    <t>EGLV145599316966</t>
  </si>
  <si>
    <t>8.30申报，9.3放行后代理通知更改船名航次</t>
  </si>
  <si>
    <t>9.3申请更改船名航次，已改好</t>
  </si>
  <si>
    <t>330120250000034472</t>
  </si>
  <si>
    <t>COAU7262005800</t>
  </si>
  <si>
    <t>申报：9.2申报放行，
9.3发现船名申报错误，应为“环球018”错申报为“环球0188”，代理通知明天更改船名航次为“宇通88，B112CE”</t>
  </si>
  <si>
    <t>9.3联系海关处理
9.4修改为更新后的船名航次，更改完成</t>
  </si>
  <si>
    <t>230820250085695675</t>
  </si>
  <si>
    <t xml:space="preserve">177FJMJMJ007451X </t>
  </si>
  <si>
    <t>HLCUNK2250730120</t>
  </si>
  <si>
    <t>美的：该柜未报关未出运，因客户未验货，现需要将货物退出监管区，代客户验货后重新出口</t>
  </si>
  <si>
    <t>9.4申请退关，已办好手续提离</t>
  </si>
  <si>
    <t>330120250000034620</t>
  </si>
  <si>
    <t>COAU7261968530</t>
  </si>
  <si>
    <t>9.3运抵已发送，报关单还是审结状态，未收到放行信息</t>
  </si>
  <si>
    <t>9.4申请人工放行，已放行</t>
  </si>
  <si>
    <t>230520250055568644</t>
  </si>
  <si>
    <t>JNG0273279</t>
  </si>
  <si>
    <t>国内单证/客服+代理：此票为3拼单，单证组发送邮件资料为2票单证资料+一票链接，客服下单未发现链接，下单2票，代理也未发现此票为3拼，出运表也只提供2票的数据，预配舱单只发送2票，造成拼柜CMAU6624781漏申报一票JNG0273279B</t>
  </si>
  <si>
    <t>9.5经现场沟通，JNG0273279/JNG0273279A做改单处理（改航次），释放预配舱单后船代删预配重新发送3票的预配，JNG0273279/JNG0273279A改回正确航次，申报JNG0273279B，已放行</t>
  </si>
  <si>
    <t>230520250055568642</t>
  </si>
  <si>
    <t>JNG0273279A</t>
  </si>
  <si>
    <t>230820250085699361</t>
  </si>
  <si>
    <t>HLCUNK2250641153</t>
  </si>
  <si>
    <t>9.4放行后更改船名航次</t>
  </si>
  <si>
    <t>9.4已更改完成</t>
  </si>
  <si>
    <t>230820250085698217</t>
  </si>
  <si>
    <t>9.2申报，审结。
9.4 代理17点通知换驳船，更改船名航次</t>
  </si>
  <si>
    <t>9.5发起改单，报关单放行</t>
  </si>
  <si>
    <t>223120250003619524</t>
  </si>
  <si>
    <t>W237236743</t>
  </si>
  <si>
    <t>9.5查验</t>
  </si>
  <si>
    <t>9.6安排查验，报关单放行</t>
  </si>
  <si>
    <t>230820250085700842</t>
  </si>
  <si>
    <t>CAJ0147825</t>
  </si>
  <si>
    <t>9.5查验，9.8更换船名航次</t>
  </si>
  <si>
    <t>9.8安排查验，报关单放行</t>
  </si>
  <si>
    <t>230820250085700413</t>
  </si>
  <si>
    <t>ONEYNK5GF1225800</t>
  </si>
  <si>
    <t>9.8安排查验，报关单放行
9.8申请更换船名航次，已更改</t>
  </si>
  <si>
    <t>574020250405559561</t>
  </si>
  <si>
    <t>HW01WF250905412</t>
  </si>
  <si>
    <t>230820250085700790</t>
  </si>
  <si>
    <t>PCSLJVL018250907</t>
  </si>
  <si>
    <t>9.5运抵核碰正常未放行，9.8跳查验</t>
  </si>
  <si>
    <t>9.5核碰正常未放行
9.8申请人工放行，现场反馈有风险甄别，查验，
9.8查验后未放行，经现场联系，需要海关审图中心查看图像传输是否有问题
9.9现场联系海关监管科处理，人工放行</t>
  </si>
  <si>
    <t>230820250085701222</t>
  </si>
  <si>
    <t>EGLV145599737830</t>
  </si>
  <si>
    <t>9.8联系代理删除预配重新发送，放行</t>
  </si>
  <si>
    <t>230820250085701224</t>
  </si>
  <si>
    <t>JNG0273213</t>
  </si>
  <si>
    <t>223120250003626181</t>
  </si>
  <si>
    <t>HLCUSHA250913090</t>
  </si>
  <si>
    <t>9.6查验</t>
  </si>
  <si>
    <t>9.7安排查验，报关单放行</t>
  </si>
  <si>
    <t>222920250003245440</t>
  </si>
  <si>
    <t>PASU516317539076</t>
  </si>
  <si>
    <t>拼箱，该票货物8.29申报，因进港晚，未赶上原船，申请删除</t>
  </si>
  <si>
    <t>9.8接到代理通知该票箱子共计17票需要删除，待通关代表确认
9.9发起删单申请，删单完成</t>
  </si>
  <si>
    <t>230820250085702229</t>
  </si>
  <si>
    <t>HLCUNK2250641259</t>
  </si>
  <si>
    <t>9.8申报，运抵核碰正常，一直审结，做人工放行</t>
  </si>
  <si>
    <t>9.8申请人工放行，报关单放行</t>
  </si>
  <si>
    <t>230820250085700841</t>
  </si>
  <si>
    <t>CAJ0147825A</t>
  </si>
  <si>
    <t>因拼票货物CAJ0147825查验，申请更换船名航次</t>
  </si>
  <si>
    <t>9.8申请更换船名航次</t>
  </si>
  <si>
    <t>230820250085700843</t>
  </si>
  <si>
    <t>CAJ0147825B</t>
  </si>
  <si>
    <t>574020250405559974</t>
  </si>
  <si>
    <t>HW01WF250908421</t>
  </si>
  <si>
    <t>9.8查验</t>
  </si>
  <si>
    <t>9.9机检查验，下午追加人工查验
9.10申请人工查验，报关单放行</t>
  </si>
  <si>
    <t>230820250085701769</t>
  </si>
  <si>
    <t>EGLV145599317288</t>
  </si>
  <si>
    <t>9.9申请查验，报关单放行</t>
  </si>
  <si>
    <t>230820250085701408</t>
  </si>
  <si>
    <t>HLCUNK2250736349</t>
  </si>
  <si>
    <t>9.9箱子在江北，需等箱子运送到龙潭港后申请查验
9.10箱子到龙潭，机检查验未完成
9.11申请查验，报关单放行，无码放申请人工放行
9.11海关发了三遍放行指令，码头系统均未接收到信息，18：00码头收到放行信息</t>
  </si>
  <si>
    <t>230820250085701412</t>
  </si>
  <si>
    <t>SNLFNJPXSWY0622</t>
  </si>
  <si>
    <t>9.9申请更换船名航次，已更改完成</t>
  </si>
  <si>
    <t>230520250055569739</t>
  </si>
  <si>
    <t>OOLU2311747620</t>
  </si>
  <si>
    <t>代理：9.9申报报关单为审结状态，10点代理通知需要更改靠区，船名航次，后又叫停，正在确认是否需要换外港的大船申报。</t>
  </si>
  <si>
    <t>9.9等待代理通知
9.10改回靠区外港，报关单放行，不需要做删改单</t>
  </si>
  <si>
    <t>470220250000003366</t>
  </si>
  <si>
    <t>CAJ0146923B</t>
  </si>
  <si>
    <t>9.9查验</t>
  </si>
  <si>
    <t>9.10机检查验，报关单放行</t>
  </si>
  <si>
    <t>330120250000035387</t>
  </si>
  <si>
    <t>HLCUNK2250814930</t>
  </si>
  <si>
    <t>9.9申报第1项：带嵌入式烟机的电磁灶，随附上传了说明。一直卡审结，需联系现场海关处理</t>
  </si>
  <si>
    <t>9.10现场联系海关，申请人工放行，已放行</t>
  </si>
  <si>
    <t>232820250285595120</t>
  </si>
  <si>
    <t>16000445034_SL25090810</t>
  </si>
  <si>
    <t>9.9申报第4项：单相交流电机，已上传无人机说明，一直卡审结，需联系现场海关处理</t>
  </si>
  <si>
    <t>9.10现场联系海关，申请人工放行
9.10补传声明已上传，货物进仓放行</t>
  </si>
  <si>
    <t>230820250085696708</t>
  </si>
  <si>
    <t>JNG0271797</t>
  </si>
  <si>
    <t>9.1申报放行，9.10代理通知更改船名航次</t>
  </si>
  <si>
    <t>9.11申请更换船名航次，已更改</t>
  </si>
  <si>
    <t>230820250085696487</t>
  </si>
  <si>
    <t>JNG0272835</t>
  </si>
  <si>
    <t>230820250085694370</t>
  </si>
  <si>
    <t>JNG0272840</t>
  </si>
  <si>
    <t>230820250085704323</t>
  </si>
  <si>
    <t xml:space="preserve">TLNJLCJR25111019 </t>
  </si>
  <si>
    <t>9.10申报运抵核碰正常，未放行</t>
  </si>
  <si>
    <t>9.11申请人工放行，报关单放行</t>
  </si>
  <si>
    <t>230820250085700284</t>
  </si>
  <si>
    <t>SNLFNJJL002546</t>
  </si>
  <si>
    <t>9.5申报，多次联系代理安排进港，代理一直未将箱子送进港，导致该票未放行，</t>
  </si>
  <si>
    <t>9.11代理通知船公司临时取消挂港，换船了，放行后改配
9.11申请更改船名航次，现场回复“舱单不存在 需要船代处理”该消息也已同步代理
9.12代理联系船代处理舱单问题，代理船代部门回复，由于海关新舱单发送完毕不能更改，此票船代部门会进行人工配船进行更改船名航次。</t>
  </si>
  <si>
    <t>222920250003434851</t>
  </si>
  <si>
    <t>COAU7262032390</t>
  </si>
  <si>
    <t>9.11下午17：25跳查验</t>
  </si>
  <si>
    <t>9.12安排查验，报关单放行</t>
  </si>
  <si>
    <t>223320250001530772</t>
  </si>
  <si>
    <t>15738700583_AASZX2509257</t>
  </si>
  <si>
    <t>9.11查验，品名：磁铁，需要海关人工审单</t>
  </si>
  <si>
    <t>9.11资料已寄出
9.12海关查验，查验环节无法确定发物是否涉两用物项和技术出口许可证管理，移送综合业务岗。
9.15流转通关处理后续，正本资料已现场交单，海关已受理，预计明天会有结果
9.16现场海关要求重新提供情况说明，业务答复函上有镝含量0.0366%，检测报告没有，有冲突，海关意思就直接按照检测报告来，业务答复函就不需要了，情况说明上要把业务答复函的内容去掉，正在处理中
9.17联系海关签扣单，报关单已放行
代理不结算仓库费用，经联系通关代表，由远海通代结，月结账单中跟美的收取
9.18现场结算仓库费用
9.18提货手续已办完，正常放行的货站没有费用，查验货物已到货站，交给地面代理操作</t>
  </si>
  <si>
    <t xml:space="preserve">330120250000036024 </t>
  </si>
  <si>
    <t>OOLU2764612890</t>
  </si>
  <si>
    <t>9.12下午16：55申报，运抵核碰正常，一直审结，需跟海关申请人工放行</t>
  </si>
  <si>
    <t>9.15联系现场海关申请人工放行，报关单已放行</t>
  </si>
  <si>
    <t>230820250085707756</t>
  </si>
  <si>
    <t>9.15查验</t>
  </si>
  <si>
    <t>9.16机检查验，追加人工查验
9.17申请人工查验，代理未送新铅封
9.17报关单已放行</t>
  </si>
  <si>
    <t>223120250003769040</t>
  </si>
  <si>
    <t>COSU6429872340</t>
  </si>
  <si>
    <t>9.15 19.00跳查验</t>
  </si>
  <si>
    <t>9.16申请查验，报关单已放行</t>
  </si>
  <si>
    <t>223320251000870498</t>
  </si>
  <si>
    <t>11237019614_3264295705</t>
  </si>
  <si>
    <t>9.16进口退运货物（空气源热泵内胆（旧）），海关挂起，需要补充产品原值依据、审价资料等，全套资料正本现场处理。</t>
  </si>
  <si>
    <t>9.16联系通关代表，全套资料正本已寄出
9.17需进行验估审价，验估资料已寄出
9.18已发起改单，申请更改为监管方式：其他进出口免费，关联报关单：无，货物属性：旧品。
9.19改单成功，查验，寄出资料给现场
9.22申请查验，查验结束旧品转通关处理。
9.23现场联系通关科处理，海关要求提供免CCC目录外自我声明，资料已寄出。
9.24联系现场海关处理，海关审批中
9.25已提供资质证明材料提供现场海关，报关单放行。
9.26扣单已经签好，已经通知代理安排提货。</t>
  </si>
  <si>
    <t>230520250055571902</t>
  </si>
  <si>
    <t>COSU6429138970</t>
  </si>
  <si>
    <t>国内单证/申报：单证资料及推送单一均为张家港，BC为南京，9.16申报，将申报地海关新生圩关错误申报为张家港关， 报关单已放行，码头收不到放行信息，无法码放，需删单重报。</t>
  </si>
  <si>
    <t>9.16准备资料
9.17提交删单，报关单已删除</t>
  </si>
  <si>
    <t>222920250002981758</t>
  </si>
  <si>
    <t>SHACB25046581</t>
  </si>
  <si>
    <t>国内单证/申报：8.11申报，经海关事后核查发现，报关单第九项，报关单申报成交数量为“51500个”，法定第二数量申报为“51500千个”，第二法定数量应申报为“51.5千个”，第二法定数量申报有误。造成申报错误的原因：关务系统制单，系统在成交数量及法定第二数量的转换逻辑方面出现BUG，输出单一数据后未能有效转换，其次报关员疏于审核，未能及时检查出该错误，导致最终报关单申报有误</t>
  </si>
  <si>
    <t>9.16准备核查资料
9.17拿正本资料去海关，等待处理意见
9.17提交改单，等待海关受理，海关修改成功</t>
  </si>
  <si>
    <t>230820250085708131</t>
  </si>
  <si>
    <t>CAJ0148416</t>
  </si>
  <si>
    <t>申报：9.15申报，因我司报关人员操作失误，导致航次申报错误，报关单未放行，原航次：2559E2559E，现航次：2559E，做改单处理。</t>
  </si>
  <si>
    <t>9.16发起改单，已完成，报关单未放行，申请人工放行
9.17现场申请海关人工放行，报关单放行</t>
  </si>
  <si>
    <t>223120250003777761</t>
  </si>
  <si>
    <t>COSU6428766270</t>
  </si>
  <si>
    <t>9.16查验，第4项品名：石墨，涉及两用物项管控，海关扣货</t>
  </si>
  <si>
    <t>9.17安排人工查验，因石墨涉及两用物项管控，海关扣货，联系通关代表提供情况说明，MSDS以及品质说明
9.18寄出资料
9.22收到资料，已现场交单给海关处理
9.23需给海关提供情况说明（材质，成分，含量，加工工艺，用途等写清楚），情况说明已提供现场，等待确认后寄出正本。
9.24取样化验完成
9.25等化验结果后处理
9.26现场反馈三周左右出化验结果，海关核查是否人造石墨，提供情况说明发起改单（系统留痕）。
10.9联系海关处理进度，海关要求提供石墨轴承生产商联系人（阿泰克的技术员），已提供给现场海关。
10.13现场反馈还在实验室检测中
10.16现场反馈实验室已爆单，检测结果可能会推迟两周
10.20现场海关回复不认可美的供应商厂家自行送样检测报告，无法证明是同一批次货物，需等待实验室送样结果。
10.27现场反馈还在实验室检测中
11.3实验室检测完毕，等待将结果转到查验科，查验科将结果流转至通关。（流转到通关后5个工作日出结果）
11.6现场海关反馈结果：“经化验，化验结果为天然石墨，我司认可海关化验结果，不是天然鳞片石墨，不涉及两用物项。货物是深加工产品，石墨成份不可分离。”需美的提供情况说明，已联系通关代表处理
11.7提交情况说明给现场海关
11.10海关在办理扣单解锁手续
11.11准备删单资料，需提供报关单（报关公司章和报关员名字章），情况说明，发票箱单（企业盖章），委托书（六个章（法人章/公章）齐全，手写填好）已发通关代表申请委托书盖章。
11.13美的寄出盖章资料
11.14提交删单申请，删单完成。通知代理删舱单(因退运需要提交删舱单保函，已寄出给COSCO)
11.17舱单已删除成功，准备提离资料
11.18提离申请已办好，等待美的协调车队将货柜提离港区</t>
  </si>
  <si>
    <t>223120250003734591</t>
  </si>
  <si>
    <t xml:space="preserve">177USNSNS114823 </t>
  </si>
  <si>
    <t>9.16这票因代理未及时上传AMS，导致船公司甩箱，现需要删报关单，删舱单，做改配。</t>
  </si>
  <si>
    <t>9.16通知代理寄出未上船证明+在港证明，需代理邮件确认删单
9.17收到通关代表邮件确认
9.17准备删单资料，未上船，在港已寄出
9.18下午收到未上船
9.19删单成功</t>
  </si>
  <si>
    <t>230520250055572230</t>
  </si>
  <si>
    <t>E145599839764A01</t>
  </si>
  <si>
    <t>9.16查验</t>
  </si>
  <si>
    <t>9.17安排查验，查验发现货物第六项，申报功率不符，实际“45W”申报”65W“。经特殊处理，已放行</t>
  </si>
  <si>
    <t>230820250085707506</t>
  </si>
  <si>
    <t>CAJ0148417</t>
  </si>
  <si>
    <t>9.16因货物查验，推船，更改船名航次</t>
  </si>
  <si>
    <t>9.17安排查验，申请更换船名航次，报关单已放行</t>
  </si>
  <si>
    <t>223120250003789952</t>
  </si>
  <si>
    <t>177PJWJWSA11445</t>
  </si>
  <si>
    <t>9.17申报，9.18跳查验</t>
  </si>
  <si>
    <t>9.18申请加急查验，机检查验结束，待港区将货物送进港后放行
9.19报关单放行</t>
  </si>
  <si>
    <t>230820250085708630</t>
  </si>
  <si>
    <t>177FJWJWJ047831S</t>
  </si>
  <si>
    <t>9.18申请更换船名航次</t>
  </si>
  <si>
    <t>230820250085709760</t>
  </si>
  <si>
    <t>ONEYNKGF10066600</t>
  </si>
  <si>
    <t>9.18查验</t>
  </si>
  <si>
    <t>9.18安排查验，报关单放行</t>
  </si>
  <si>
    <t>230820250085710497</t>
  </si>
  <si>
    <t>177SJTJTJ054073AX</t>
  </si>
  <si>
    <t>9.18申请人工放行，报关单已放行</t>
  </si>
  <si>
    <t>232720250275675698</t>
  </si>
  <si>
    <t>SSLTACP25050001</t>
  </si>
  <si>
    <t>代理：该票9.5申报，9.18代理通知该票 大船不靠太仓，需做删单处理，目前在和业务确认中。</t>
  </si>
  <si>
    <t>9.19等待通关代表通知
9.24确认该票不进行删单</t>
  </si>
  <si>
    <t>230820250085711594</t>
  </si>
  <si>
    <t>JNG0276551A</t>
  </si>
  <si>
    <t>9.18查验，申请更换船名航次</t>
  </si>
  <si>
    <t>9.19等箱子从江北运送到龙潭安排查验，箱子未到龙潭 无法提前安排查验。
9.21箱子到龙潭
9.22已查验已放，已更换船名航次</t>
  </si>
  <si>
    <t>230820250085708534</t>
  </si>
  <si>
    <t>177BJBJBJ016407P</t>
  </si>
  <si>
    <t>9.16申报，9.18箱子进港后查验，9.22更换船名航次</t>
  </si>
  <si>
    <t>9.22查验，报关单放行，申请更换船名航次，已更换好。</t>
  </si>
  <si>
    <t>230820250085712212</t>
  </si>
  <si>
    <t>COSU6430523650</t>
  </si>
  <si>
    <t>国内单证：MAGU5266976该箱子多报71件货，总报关单件数6490件，应为6419件。</t>
  </si>
  <si>
    <t>9.22准备改单资料
9.23发起改单
9.24海关驳回：无依据，现场联系海关处理
9.25经多方沟通此票不改单</t>
  </si>
  <si>
    <t>942520250000032289</t>
  </si>
  <si>
    <t>KL251953580</t>
  </si>
  <si>
    <t>因车队邮件正文提供运输工具名称错误 ，导致运输工具名称申报为： TJ349EA07，应申报为：TJ394EA07。</t>
  </si>
  <si>
    <t>9.22车子已过境，无需更改报关单</t>
  </si>
  <si>
    <t>HLCUNK2250900445</t>
  </si>
  <si>
    <t>9.22接代理通知办理重出重回送到合肥工厂补货，美的仓库少装货物。</t>
  </si>
  <si>
    <t>9.22重出重回资料发给美的盖章寄出
9.23现场已收到资料，办理重出，已办好</t>
  </si>
  <si>
    <t>230820250085713008</t>
  </si>
  <si>
    <t>EGLV145599318829</t>
  </si>
  <si>
    <t>9.20查验</t>
  </si>
  <si>
    <t>9.22机检查验，报关单放行</t>
  </si>
  <si>
    <t xml:space="preserve">177UJAJAJ01879Z </t>
  </si>
  <si>
    <t>9.22美的业务通知该票货物少装了24台 ，还未报关，要退回835仓库， 等将补货送至到835库，现在需要安排柜子重出重回。</t>
  </si>
  <si>
    <t>230820250085713583</t>
  </si>
  <si>
    <t>HLCUNK2250814540</t>
  </si>
  <si>
    <t>码头数据传输异常，已海放未码放，申请人工放行。</t>
  </si>
  <si>
    <t>9.22已海放已码放</t>
  </si>
  <si>
    <t>230820250085713415</t>
  </si>
  <si>
    <t>EGLV145599319248</t>
  </si>
  <si>
    <t>230820250085713618</t>
  </si>
  <si>
    <t>230820250085713637</t>
  </si>
  <si>
    <t>YMJAW241136735</t>
  </si>
  <si>
    <t>230820250085713648</t>
  </si>
  <si>
    <t>177PJUJUJ057424W</t>
  </si>
  <si>
    <t>230820250085713574</t>
  </si>
  <si>
    <t>YMJAM241096842</t>
  </si>
  <si>
    <t>230820250085713589</t>
  </si>
  <si>
    <t>YMJAM241096882</t>
  </si>
  <si>
    <t>230820250085713649</t>
  </si>
  <si>
    <t>177IJWJWJ048011S</t>
  </si>
  <si>
    <t>230820250085713755</t>
  </si>
  <si>
    <t>177IJWJWJ048001S</t>
  </si>
  <si>
    <t>230820250085713641</t>
  </si>
  <si>
    <t>177IJWJWJ048008S</t>
  </si>
  <si>
    <t>230820250085713651</t>
  </si>
  <si>
    <t>JNG0275731</t>
  </si>
  <si>
    <t>230820250085713674</t>
  </si>
  <si>
    <t>COSU6430074240</t>
  </si>
  <si>
    <t>230820250085713743</t>
  </si>
  <si>
    <t>177GJAJAJ00690Z</t>
  </si>
  <si>
    <t>230820250085711596</t>
  </si>
  <si>
    <t>JNG0276551B</t>
  </si>
  <si>
    <t>因拼票货物JNG0276551A查验，代理推船，申请更换船名航次。</t>
  </si>
  <si>
    <t>9.22申请更换船名航次已更换</t>
  </si>
  <si>
    <t>230820250085711605</t>
  </si>
  <si>
    <t>JNG0276551C</t>
  </si>
  <si>
    <t>230820250085711622</t>
  </si>
  <si>
    <t>JNG0276551D</t>
  </si>
  <si>
    <t>230820250085711633</t>
  </si>
  <si>
    <t>JNG0276551E</t>
  </si>
  <si>
    <t>230820250085711638</t>
  </si>
  <si>
    <t>JNG0276551F</t>
  </si>
  <si>
    <t>230820250085711642</t>
  </si>
  <si>
    <t>JNG0276551G</t>
  </si>
  <si>
    <t>230520250055574037</t>
  </si>
  <si>
    <t>EGLV145599415867</t>
  </si>
  <si>
    <t>9.22查验</t>
  </si>
  <si>
    <t>9.23申请查验，报关单放行</t>
  </si>
  <si>
    <t>宁波尚景国际贸易有限公司</t>
  </si>
  <si>
    <t>230820250085714561</t>
  </si>
  <si>
    <t>259429183B</t>
  </si>
  <si>
    <t>9.22申报，运抵核碰正常，一直审结，需申请海关人工放行</t>
  </si>
  <si>
    <t>9.22已申请人工放行，报关单放行</t>
  </si>
  <si>
    <t>230520250055573996</t>
  </si>
  <si>
    <t>JNG0275595</t>
  </si>
  <si>
    <t>JNG0273637</t>
  </si>
  <si>
    <t>9.22查验，南京码头海关查验专用的 H986 设备9月22日--9月 26 日进行机器检修维护，故此期间海关查验只进行人工和称重查验两种方式，机检查验计划和私人物品、称重计划暂停。</t>
  </si>
  <si>
    <t>9.23申请转人工查验
9.24海关追加查验
9.25人工查验，已拍照
9.26需人工全部掏箱，查验放行。</t>
  </si>
  <si>
    <t>230820250085714525</t>
  </si>
  <si>
    <t>ONEYNK5GF1500400</t>
  </si>
  <si>
    <t>9.23申请人工放行，报关单放行</t>
  </si>
  <si>
    <t>230820250085714993</t>
  </si>
  <si>
    <t>COAU7262449940</t>
  </si>
  <si>
    <t>9.25下午机检已恢复，报关单放行</t>
  </si>
  <si>
    <t>330120250000037344</t>
  </si>
  <si>
    <t>OOLU2765140270</t>
  </si>
  <si>
    <t>9.23查验</t>
  </si>
  <si>
    <t>9.23机检查验，已放行。</t>
  </si>
  <si>
    <t>223120250003892153</t>
  </si>
  <si>
    <t>177MVKVKS48384</t>
  </si>
  <si>
    <t>9.24代理通知该票因客户原因（美的）换船，该票未进港需删单，</t>
  </si>
  <si>
    <t>9.24通关代表已确认，准备删单资料
9.25发起删单，已完成</t>
  </si>
  <si>
    <t>223120250003913146</t>
  </si>
  <si>
    <t>HDMUSHAZQLT76100</t>
  </si>
  <si>
    <t>9.24查验</t>
  </si>
  <si>
    <t>9.25申请查验，报关单放行</t>
  </si>
  <si>
    <t>230820250085715916</t>
  </si>
  <si>
    <t>177BJBJBJ016426P</t>
  </si>
  <si>
    <t>代理提供出运表提供错，申请改配更换船名航次。</t>
  </si>
  <si>
    <t>9.24申请更换船名航次，已更改成功。</t>
  </si>
  <si>
    <t>232820250285603463</t>
  </si>
  <si>
    <t>177FCACAS630604</t>
  </si>
  <si>
    <t>客服：代理通知舱单已好，客服误安排申报（箱子未装好），该票短装，需要删单。</t>
  </si>
  <si>
    <t>9.25发起删单，海关受理
9.26现场联系海关，删单重报放行。</t>
  </si>
  <si>
    <t xml:space="preserve">230520250055575273 </t>
  </si>
  <si>
    <t>EGLV145599063979</t>
  </si>
  <si>
    <t>9.25查验</t>
  </si>
  <si>
    <t>9.26安排查验，报关单放行</t>
  </si>
  <si>
    <t>230820250085717890</t>
  </si>
  <si>
    <t>177CJAJAJ01052AZ</t>
  </si>
  <si>
    <t>9.25申报，运抵核碰正常，一直审结，需申请海关人工放行</t>
  </si>
  <si>
    <t>9.26申请海关人工放行，已放行</t>
  </si>
  <si>
    <t>330120250000037992</t>
  </si>
  <si>
    <t>COSU6430727430</t>
  </si>
  <si>
    <t>9.26查验</t>
  </si>
  <si>
    <t>9.26安排查验，已放行</t>
  </si>
  <si>
    <t>230520250055575465</t>
  </si>
  <si>
    <t>HLCUNK2250814773</t>
  </si>
  <si>
    <t>客服：9.25上午9:17 代理邮件发送出运表，共三票出运表，提单号：NKAA50220100、HLCUNK2250814773、HLCUNK2250814097 ，
排驳船计划的客服未看到此邮件，漏排申报计划，此三票未在正常时间内申报放行。
21:15 代理询问 NKAA50220100 是否可以安排申报，跟单客服反查发现同邮件内三票都未申报，紧急安排申报
21:40   申报岗加急处理，三票申报放行
9.26代理反馈HLCUNK2250814773/HLCUNK2250814097未能配载驳船 ，只能等下一班驳船带走。赫伯罗特超期费是根据实际上船时间截止计算的，这两票后面会产生超期费用</t>
  </si>
  <si>
    <t>9.25晚21:40申报放行，未上船
9.28驳船已捎带走，大船船期不变，由于未上原驳船，预计会有2天的超期用箱费。
10.9代理反馈船司账单还未提供
10.16无费用产生</t>
  </si>
  <si>
    <t>230520250055575467</t>
  </si>
  <si>
    <t>HLCUNK2250814097</t>
  </si>
  <si>
    <t>9.25晚21:40申报放行，未上船
9.28驳船已捎带走，无费用产生</t>
  </si>
  <si>
    <t>942520250000033474</t>
  </si>
  <si>
    <t>KL251972789</t>
  </si>
  <si>
    <t>9.28代理通知改配</t>
  </si>
  <si>
    <t>9.26待代理确认口岸信息后安排查验
9.29查验完成，报关单放行。</t>
  </si>
  <si>
    <t>230820250085719195</t>
  </si>
  <si>
    <t>JNG0272520</t>
  </si>
  <si>
    <t>9.28安排查验，报关单放行</t>
  </si>
  <si>
    <t>230820250085718571</t>
  </si>
  <si>
    <t>EGLV145599319159</t>
  </si>
  <si>
    <t>230820250085717226</t>
  </si>
  <si>
    <t>JNG0274592</t>
  </si>
  <si>
    <t>代理：9.25申报，9.26代理通知更改靠区9.28申报，
10.20美的通知该票货物需删单退关</t>
  </si>
  <si>
    <t>9.26发起改单，已更改完成
10.21已提供退运协议，情况说明，转关单给海关，等待批示
10.21驳船退运申请表已寄出给代理做上海驳船带回南京
10.22等待代理通知
11.4删单退关资料已寄出
11.5删单成功，提离已办好</t>
  </si>
  <si>
    <t>230820250085716182</t>
  </si>
  <si>
    <t>NJGCW25002921</t>
  </si>
  <si>
    <t>代理：9.24申报，9.26代理通知更改靠区</t>
  </si>
  <si>
    <t>9.28发起改单，报关单已更改</t>
  </si>
  <si>
    <t>230820250085716122</t>
  </si>
  <si>
    <t>NJGCW25002915</t>
  </si>
  <si>
    <t>9.28发起改单，报关单已更改。</t>
  </si>
  <si>
    <t>230820250085718666</t>
  </si>
  <si>
    <t>232820250285603859</t>
  </si>
  <si>
    <t>CHN2718291</t>
  </si>
  <si>
    <t>9.25申报，9.27箱子进港，触发人工查验。</t>
  </si>
  <si>
    <t>9.27准备资料，排查验计划
9.28人工查验完毕
9.29申请人工放行，已放行。</t>
  </si>
  <si>
    <t>222920250003639939</t>
  </si>
  <si>
    <t>PELSHVRAHD021018</t>
  </si>
  <si>
    <t xml:space="preserve">9月22日指定代理通知关务单证制单；双方明确，由美的报关；
9月23日，关务单证完成制单，通知指定代理资料完成，如具备报关条件，可通知具体联系人进行报关，同时抄送口岸申报；
至9月25日10:51AM前，指定代理未在约定或其他途径，通知任何关于能够报关的条件，以及船名、航次、截关时间；口岸申报组无法提供任何支持；
9月25日10:51AM，指定代理以邮件方式询问是否报关，仍未提供关务申报信息。
9月25日11:12AM申报完成，通知放行；该船泊于9月25日11:30AM开航，未赶上船期；
</t>
  </si>
  <si>
    <t>9.26代理邮件确认掏箱费+三分之一的漏装费RMB700，美的邮件回复确认漏装费RMB1400。</t>
  </si>
  <si>
    <t>230820250085720825</t>
  </si>
  <si>
    <t xml:space="preserve">YMJAW241136909 </t>
  </si>
  <si>
    <t>9.28查验</t>
  </si>
  <si>
    <t>9.29安排查验，报关单放行</t>
  </si>
  <si>
    <t>230820250085716915</t>
  </si>
  <si>
    <t>EGLV143500433225</t>
  </si>
  <si>
    <t>9.29申请更换船名航次</t>
  </si>
  <si>
    <t>230820250085718530</t>
  </si>
  <si>
    <t>9.28申请更换船名航次，已更改。</t>
  </si>
  <si>
    <t>230820250085718199</t>
  </si>
  <si>
    <t>COSU6430467630</t>
  </si>
  <si>
    <t>9.26查验，9.28代理通知改配</t>
  </si>
  <si>
    <t>310120250515557602</t>
  </si>
  <si>
    <t>CNA0300861</t>
  </si>
  <si>
    <t>代理将船名通知错误，预配发错该票无法放行，无法改运抵，按删单处理。正确应为： SKY PRIDE 1错误提供为： SKY PRIDE。</t>
  </si>
  <si>
    <t>9.29发起删单，报关单已删除成功</t>
  </si>
  <si>
    <t>230820250085719655</t>
  </si>
  <si>
    <t>COSU6430253510</t>
  </si>
  <si>
    <t>9.26申报，9.29更改船名航次推驳船。</t>
  </si>
  <si>
    <t>9.29申请更换船名航次，已更改</t>
  </si>
  <si>
    <t>230820250085720563</t>
  </si>
  <si>
    <t>SNLFNJPXSWY0748</t>
  </si>
  <si>
    <t>9.28代理通知改配，推驳船。</t>
  </si>
  <si>
    <t>9.29申请更改船名航次，已完成</t>
  </si>
  <si>
    <t>230820250085722531</t>
  </si>
  <si>
    <t>JNG0273331</t>
  </si>
  <si>
    <t>9.29查验</t>
  </si>
  <si>
    <t>9.30申请查验，改船名航次，已放行</t>
  </si>
  <si>
    <t>230820250085722953</t>
  </si>
  <si>
    <t>NOSNJ25LB46108</t>
  </si>
  <si>
    <t>9.30查验，追加人工查验，已放行</t>
  </si>
  <si>
    <t>230820250085722672</t>
  </si>
  <si>
    <t>COSU6430346230</t>
  </si>
  <si>
    <t>国内单证：三票拼，643034623001与643034623002报关资料和提交的EMF数据（件毛体）报反了，无法码放</t>
  </si>
  <si>
    <t>9.30三票报关单置空船名航次，释放预配舱单，代理删预配舱单重发，报关单改回正确船名航次，已码放</t>
  </si>
  <si>
    <t>230820250085722683</t>
  </si>
  <si>
    <t>COSU643034623001</t>
  </si>
  <si>
    <t>230820250085722684</t>
  </si>
  <si>
    <t>COSU643034623002</t>
  </si>
  <si>
    <t>230820250085715711</t>
  </si>
  <si>
    <t>JNG0277668</t>
  </si>
  <si>
    <t>9.23申报，9.29代理通知更改靠区.</t>
  </si>
  <si>
    <t>9.29发起更改，已更改成功</t>
  </si>
  <si>
    <t>232720250275694865</t>
  </si>
  <si>
    <t>STTCVS56985</t>
  </si>
  <si>
    <t>9.28申报，9.30代理通知航次错（提供出运表上航次错），需改单</t>
  </si>
  <si>
    <t>9.30改单成功，申请人工放行，报关单已放行</t>
  </si>
  <si>
    <t>232720250275695451</t>
  </si>
  <si>
    <t>STTCVS56986</t>
  </si>
  <si>
    <t>230520250055577359</t>
  </si>
  <si>
    <t>SNLFZGJL004024A</t>
  </si>
  <si>
    <t>9.30机检查验</t>
  </si>
  <si>
    <t>9.30查验，报关单放行</t>
  </si>
  <si>
    <t>230820250085723547</t>
  </si>
  <si>
    <t>PCSLJBL001251005</t>
  </si>
  <si>
    <t>230520250055576691</t>
  </si>
  <si>
    <t>177TJWJWJ2005802S</t>
  </si>
  <si>
    <t>运抵核碰正常 人工放行</t>
  </si>
  <si>
    <t>9.30申请人工放行</t>
  </si>
  <si>
    <t>230820250085718832</t>
  </si>
  <si>
    <t>NJGCW25002919</t>
  </si>
  <si>
    <t>9.30代理通知改靠区</t>
  </si>
  <si>
    <t>9.30改单完成</t>
  </si>
  <si>
    <t>230520250055577637</t>
  </si>
  <si>
    <t>OOLU276517507001</t>
  </si>
  <si>
    <t>申报：拼两票，OOLU2765175070主单放行，OOLU276517507001拼票报关单船名航次报错。</t>
  </si>
  <si>
    <t>10.9申请改单，报关单已放行。</t>
  </si>
  <si>
    <t>230820250085724073</t>
  </si>
  <si>
    <t>2025-09-30 23:00跳查验</t>
  </si>
  <si>
    <t>10.9申请查验，报关单已放行</t>
  </si>
  <si>
    <t>223320250001675520</t>
  </si>
  <si>
    <t>07158617285_EYL2509170</t>
  </si>
  <si>
    <t>9.30 18.27申报，卡审结，10.1联系现场海关，海关总署研判</t>
  </si>
  <si>
    <t>10.9待海关总署回执，报关单已放行</t>
  </si>
  <si>
    <t>223120250004036564</t>
  </si>
  <si>
    <t>COSU643057172001</t>
  </si>
  <si>
    <t>10.2查验</t>
  </si>
  <si>
    <t>10.申请查验，放行
上岛查验，COSCO专用封</t>
  </si>
  <si>
    <t>310120250515461675</t>
  </si>
  <si>
    <t>CNA0301506A</t>
  </si>
  <si>
    <t>10.2申报放行，10.3代理通知此票共8柜，7个柜上船出运，另1个柜子船公司甩柜，破票，需删单</t>
  </si>
  <si>
    <t>10.3删单完成</t>
  </si>
  <si>
    <t>310420250549306506</t>
  </si>
  <si>
    <t>NGP2888337</t>
  </si>
  <si>
    <t>10.4申报审结，需海关人工放行</t>
  </si>
  <si>
    <t>10.6海关人工放行</t>
  </si>
  <si>
    <t>310420250549310311</t>
  </si>
  <si>
    <t>OOLU2162847280</t>
  </si>
  <si>
    <t>10.4申报审结，海关挂起，补传资料，需海关人工放行</t>
  </si>
  <si>
    <t>578820250885823931</t>
  </si>
  <si>
    <t>公路删单 代理：10.4报关放行后代理发现舱单数据有误，需要操作报关单删单，待舱单删掉重发后，再重新申报报关单。</t>
  </si>
  <si>
    <t>10.9原报关单已发起删单，海关待受理；
10.9代理已办理车退场，代理发新舱单（按正确重量备案）已按新舱单申报放行；
10.10联系海关处理原报关单删单，现场回复需排队受理（受理时效约一周）
10.15原报关单删单完成</t>
  </si>
  <si>
    <t>941520250000150156</t>
  </si>
  <si>
    <t>Y251990885</t>
  </si>
  <si>
    <t>公路：10.4号申报放行，因该车辆需要申报两票货物（Y251990884/Y251990885），两家报关公司报关，在一家报关公司还未申报完成报关的情况下（Y251990884），由于代理在和司机沟通上出现问题导致该司机因着急出车驾驶该车辆进入986导致此车辆Y251990885已核注已核销的状态，现申请删除该票重新报关。</t>
  </si>
  <si>
    <t>10.9已发起删单，联系运输代理处理海关现场。
10.10海关受理，待科长审批。
10.10报关单已删除，已发新舱单安排申报。</t>
  </si>
  <si>
    <t>330120250000039345</t>
  </si>
  <si>
    <t>YMJAM241097052</t>
  </si>
  <si>
    <t>10.9查验</t>
  </si>
  <si>
    <t>10.10申请查验，报关单放行</t>
  </si>
  <si>
    <t>230520250055578045</t>
  </si>
  <si>
    <t>ONEYNK5GR2157900</t>
  </si>
  <si>
    <t>10.9查验，报关单放行</t>
  </si>
  <si>
    <t>230820250085725443</t>
  </si>
  <si>
    <t>EGLV145599742108</t>
  </si>
  <si>
    <t>10.9申报，运抵核碰正常，一直审结，需申请人工放行</t>
  </si>
  <si>
    <t>10.10申请人工放行</t>
  </si>
  <si>
    <t>230820250085722994</t>
  </si>
  <si>
    <t>COSU6430771720</t>
  </si>
  <si>
    <t>9.29申报，10.9更改船名航次推驳船。</t>
  </si>
  <si>
    <t>10.9申请更换船名航次，更改成功</t>
  </si>
  <si>
    <t>230820250085722927</t>
  </si>
  <si>
    <t>COSU6430770150</t>
  </si>
  <si>
    <t>230820250085723089</t>
  </si>
  <si>
    <t>COSU6430998390</t>
  </si>
  <si>
    <t>230820250085726299</t>
  </si>
  <si>
    <t>NKAI50111900</t>
  </si>
  <si>
    <t>10.10查验</t>
  </si>
  <si>
    <t>10.11申请查验</t>
  </si>
  <si>
    <t>230820250085726006</t>
  </si>
  <si>
    <t>ANH0109073</t>
  </si>
  <si>
    <t>230820250085726292</t>
  </si>
  <si>
    <t>XHLTC018580</t>
  </si>
  <si>
    <t>10.10申报，运抵核碰正常，一直审结，需申请人工放行</t>
  </si>
  <si>
    <t>10.10申请人工放行，报关单放行</t>
  </si>
  <si>
    <t>230820250085725919</t>
  </si>
  <si>
    <t>ONEYNK5GF1689800</t>
  </si>
  <si>
    <t>230820250085725789</t>
  </si>
  <si>
    <t>COSU6430575160</t>
  </si>
  <si>
    <t>230820250085725903</t>
  </si>
  <si>
    <t>COSU6431989760</t>
  </si>
  <si>
    <t>230820250085697021</t>
  </si>
  <si>
    <t>COSU6428623690</t>
  </si>
  <si>
    <t>9.1申报，9.17结关，10.10海关核查要求提供情况说明，写清楚第2、3项货物的归类、数量、价格，说明货物的功能、原理，并提供货物图片。</t>
  </si>
  <si>
    <t>10.10已联系通关代表准备情况说明
10.13美的重新走用印流程等待寄出
10.15收到正本说明后递交海关，海关认为运费、货物价格均有问题，要求企业继续提供说明。反馈通关代表后，美的自查发现运保费提供错误，应为运费5500美金，保费237.53美金，错提供为运费114309.15美金，保费5500美金，货值还在核查中，此票为华南外运制单。
10.16与核查海关沟通，海关要求把运保费、货值等具体情况如实写清楚，需尽快提交情况说明给海关；海关多次催促
11.7修改后的情况说明提交核查海关，海关审核中
11.11海关回复：第2、3、6项数量有变化，需提供装箱单、发票、合同和其他相关材料证明，联系通关代表处理
11.14提供给海关的情况说明里数量改了，海关要求提供佐证材料，是否有装箱记录等，要求美的提供情况说明，确保真实性，愿负法律责任
11.25装箱记录、真实性说明已提交海关，待海关审核后回复
11.26海关要求将11.7及11.25两份说明汇总在一份情况说明内，重新提交
11.27提交修改后的情况说明，待海关审核后回复
12.2经与现场海关沟通，情况说明没问题，准备改单资料
12.3改单资料申请盖章，正本寄南京现场
12.4现场递交正本改单资料
12.8等待海关处理意见（由统计科转法规科处置）
12.11法规科通知预计会有处罚（罚金1500，最终以法规科实际处罚金额为准），将开具处罚通知书。
12.12法规科开具处罚决定书（罚金1500），待缴纳罚款。
12.17已提交改单流程，等待海关受理
12.18报关单已改单完成，待缴纳罚款。
12.22由于异地企业没有在南京市银行的对公账户，办理个人代缴要申请流程。现已申请，待银行明后天办理答复。
12.23南京中国银行申请已通过，需早上9:00到10:00间才能办理，明日到南京办理缴款
12.24到南京中国银行现场缴纳罚款，缴纳完毕</t>
  </si>
  <si>
    <t>230820250085715728</t>
  </si>
  <si>
    <t>177CJAJAJ01051Z</t>
  </si>
  <si>
    <t>9.23申报，10.11美的通知该票为在南京申报的6个柜子， 目前柜子在洋山。 但接客户通知只需要走5个柜，退回工厂一个柜，大船已开。</t>
  </si>
  <si>
    <t>10.11等待代理将货物用驳船捎带回南京办理后续删单提离手续。
10.14等待代理通知货物状态
10.22驳船退运申请表已寄出给代理做上海驳船带回南京
10.23等待代理通知
10.27等待货物退回南京办理删单
11.6货物已到南京，准备删单，重出空回资料。（代理与客户之前在沟通是否办理全部柜子重出空回）
11.7代理核销转关单，现场办理退关申请
11.10删单完整，重出手续已办好</t>
  </si>
  <si>
    <t>230520250055576899</t>
  </si>
  <si>
    <t>JNG0276657</t>
  </si>
  <si>
    <t>9.29申报，10.11美的业务通知更改船名航次推驳船。</t>
  </si>
  <si>
    <t>10.11准备改单资料
10.13待通关代表及代理确认后发起改单
10.13报关单更改完毕</t>
  </si>
  <si>
    <t>220120251000309023</t>
  </si>
  <si>
    <t>OOLU2763923610</t>
  </si>
  <si>
    <t>10.10申报，10.11海关挂起（退运货物，我司申报时已备注两票关联报关单号并上传情况说明，浦江海关认为关联出口报关单需要一一对应，需要分开申报）</t>
  </si>
  <si>
    <t>10.11与现场海关沟通准备所需资料
10.13海关要求发起改单（改运输方式），释放舱单后重新按一一对应关系申报两票，待货物放行送达工厂后，申请原报关单退税，退完税后申请删原报关单
10.14继续与现场海关沟通，海关同意不删单处理，但是因515420240544060780原出口报关单申报时未上传报关资料，报关单也未注明型号，海关无法判断该退运的货物是原出口货物，需原报关行将出口报关资料和报关单到出口申报海关处盖海关验讫章，交由我司在申报退运的进口报关单中进行补传。已联系通关代表处理，待提供盖海关验讫章的资料。
10.16扫描件已补传系统，海关要求正本交单，待收到后提交海关
10.17现场海关沟通，要求另一票出口报关单940420240000039392也需提供出口申报海关盖验讫章的报关资料和报关单，联系通关代表处理，现场继续与海关沟通中
10.20原940420240000039392报关单已盖验讫章寄出
10.21报关单放行</t>
  </si>
  <si>
    <t>230820250085726326</t>
  </si>
  <si>
    <t>NOSNJ25MS48099</t>
  </si>
  <si>
    <t>10.11海放未码放，做人工放行</t>
  </si>
  <si>
    <t>10.11报关单放行</t>
  </si>
  <si>
    <t>230520250055578918</t>
  </si>
  <si>
    <t>177FVKJUJ206756EW</t>
  </si>
  <si>
    <t>10.10申报物流系统核碰正常，一直审结，做人工放行</t>
  </si>
  <si>
    <t>222920250003837694</t>
  </si>
  <si>
    <t>SHACB25059762</t>
  </si>
  <si>
    <t>10.11申报，10.12放行，因反馈仓库装货晚，导致未赶上原船10.13美的仓管员通知需删单提离</t>
  </si>
  <si>
    <t>10.13代理已寄出在港证明，未上船证明，通关代表已寄出情况说明
10.14删单成功
10.15办提离手续，正本资料已交代理</t>
  </si>
  <si>
    <t>230820250085726342</t>
  </si>
  <si>
    <t>177MJCJCJ027588U</t>
  </si>
  <si>
    <t>10.13申请人工放行，报关单放行</t>
  </si>
  <si>
    <t xml:space="preserve">223120250004070954 </t>
  </si>
  <si>
    <t>177MVKVKS812272</t>
  </si>
  <si>
    <t>10.5申报放行，10.13接代理通知，该票因指代未发截关资料未赶上原船，需删单。</t>
  </si>
  <si>
    <t>10.14代理准备在港证明，未上船证明，情况说明
10.15在港未上船已寄出
10.16因代理提供未上船与沟通不一致，故重新提供情况说明
10.17发起删单，删单成功</t>
  </si>
  <si>
    <t>222920250003859112</t>
  </si>
  <si>
    <t>SXH1C25095567</t>
  </si>
  <si>
    <t>10.13查验</t>
  </si>
  <si>
    <t>10.14安排查验，报关单放行</t>
  </si>
  <si>
    <t>230820250085728527</t>
  </si>
  <si>
    <t>EGLV145599741683</t>
  </si>
  <si>
    <t>230820250085728567</t>
  </si>
  <si>
    <t>COSU6431861310</t>
  </si>
  <si>
    <t>10.13报关单放行，未码放，经核实预配舱单毛重多了500kg，需要置空船名航次，代理删预配舱单后按正确的重量重发，再置回正确船名航次</t>
  </si>
  <si>
    <t>10.15代理告知自行与船司沟通解决，已经码放。</t>
  </si>
  <si>
    <t>330120250000040005</t>
  </si>
  <si>
    <t>177TJWJWJ506444S</t>
  </si>
  <si>
    <t>10.14查验</t>
  </si>
  <si>
    <t>10.15安排查验，报关单放行</t>
  </si>
  <si>
    <t>330120250000039980</t>
  </si>
  <si>
    <t>115F507540</t>
  </si>
  <si>
    <t>223320250001729651</t>
  </si>
  <si>
    <t>11239364780_SHAAE2509208</t>
  </si>
  <si>
    <t>10.15查验反馈两项内容，1）第一项洗衣机安装组件，实际货物为计时器，2）核对数量无法确定，流转通关科处理，查验场站收取物流查验滞留费600
10.16提供第一项品名的情况说明，数量问题未说明，
10.20情况说明已提交现场海关，继续沟通处理中
10.22报关单已放行，改单完成。</t>
  </si>
  <si>
    <t>230820250085729993</t>
  </si>
  <si>
    <t>NOSNJ25LB46130A</t>
  </si>
  <si>
    <t>10.14申报，代理提供出运表船名航次错误，代理按错误船名航次发送预配舱单，报关单放行，需申请改配。</t>
  </si>
  <si>
    <t>10.15申请更改船名航次，已更改</t>
  </si>
  <si>
    <t>230820250085729195</t>
  </si>
  <si>
    <t>COSU6432040220</t>
  </si>
  <si>
    <t>10.13申报，报关单审结，10.14代理通知换船，需改单</t>
  </si>
  <si>
    <t>10.15发起改单，已更改完成
10.16申请人工放行，报关单已放行</t>
  </si>
  <si>
    <t>940220250000330641</t>
  </si>
  <si>
    <t>DX4577</t>
  </si>
  <si>
    <t>10.13申报，报关单审结，10.14代理通知公路直通模式需申报报关行预约排队，远海通不属于霍尔果斯当地备案的报关企业，无法预约排队操作，需要代理按打封模式上舱单后操作通关</t>
  </si>
  <si>
    <t>10.14代理申请海关打封模式
10.15发起改单
10.16改单完成，申请人工放行</t>
  </si>
  <si>
    <t>472820250000084306</t>
  </si>
  <si>
    <t>31295050561_WA250902471E</t>
  </si>
  <si>
    <t>9.29申报，10.15代理通知此票一主多分，之前由于其中一个分单查验，导致没能赶上计划航班，现在航司通知本月所有航班全部取消，此票只能删单然后换方案从其他机场出。</t>
  </si>
  <si>
    <t>10.15通关代表已确认，准备资料中
10.16删单成功</t>
  </si>
  <si>
    <t>230820250085731315</t>
  </si>
  <si>
    <t>PCSLJVL012251019</t>
  </si>
  <si>
    <t>10.15查验</t>
  </si>
  <si>
    <t>10.16查验完毕报关单放行</t>
  </si>
  <si>
    <t>330120250000040414</t>
  </si>
  <si>
    <t>CAJ0149564</t>
  </si>
  <si>
    <t>10.16查验</t>
  </si>
  <si>
    <t>10.17申请查验，报关单放行</t>
  </si>
  <si>
    <t>230820250085731314</t>
  </si>
  <si>
    <t>10.17查验，报关单放行</t>
  </si>
  <si>
    <t>941520250000156868</t>
  </si>
  <si>
    <t>Y252022217</t>
  </si>
  <si>
    <t>230820250085731583</t>
  </si>
  <si>
    <t>JNG0280651</t>
  </si>
  <si>
    <t>10.16申报，运抵核碰正常，一直审结，需申请人工放行</t>
  </si>
  <si>
    <t>10.16报关单放行</t>
  </si>
  <si>
    <t>230520250055580425</t>
  </si>
  <si>
    <t>ZIMUZJG2104732</t>
  </si>
  <si>
    <t>10.16申报审结，代理通知换船，改船名航次</t>
  </si>
  <si>
    <t>10.17发起改单，更改成功申请人工放行，报关单已放行</t>
  </si>
  <si>
    <t>230820250085732435</t>
  </si>
  <si>
    <t>177WJCJCJ027677U</t>
  </si>
  <si>
    <t>申报：船名申报错误，
正确应为HONG HAO 5，错申报为：船  名:HONG HAO 5</t>
  </si>
  <si>
    <t>10.17改单已完成，申请人工放行</t>
  </si>
  <si>
    <t>230720250075524975</t>
  </si>
  <si>
    <t>COAU7263226760</t>
  </si>
  <si>
    <t>10.15申报放行，10.17代理通知原驳船不靠镇江了，需要更改报关船名，改为CHANGXINWANSEN 25642S</t>
  </si>
  <si>
    <t>10.20发起改单，已更改完成</t>
  </si>
  <si>
    <t xml:space="preserve">230720250075524982 </t>
  </si>
  <si>
    <t>COAU7263230460</t>
  </si>
  <si>
    <t>10.20发起改单，已完成更改</t>
  </si>
  <si>
    <t>230820250085732926</t>
  </si>
  <si>
    <t>10.17查验</t>
  </si>
  <si>
    <t>10.20安排查验，报关单放行</t>
  </si>
  <si>
    <t>230820250085732444</t>
  </si>
  <si>
    <t>SNLFNJPXSWY0738</t>
  </si>
  <si>
    <t>申报：10.16申报 ，南京驳船出运，误将船名申报为大船船名，报关单审结未放行</t>
  </si>
  <si>
    <t>10.20发起改单，已更改完成报关单放行</t>
  </si>
  <si>
    <t>230820250085733398</t>
  </si>
  <si>
    <t>EGLV145599517295</t>
  </si>
  <si>
    <r>
      <rPr>
        <sz val="11"/>
        <color theme="1"/>
        <rFont val="微软雅黑"/>
        <charset val="134"/>
      </rPr>
      <t>10.17申报，船名含有特殊字符（复制出运表信息）
错误：XIN</t>
    </r>
    <r>
      <rPr>
        <sz val="11"/>
        <color theme="1"/>
        <rFont val="Times New Roman"/>
        <charset val="134"/>
      </rPr>
      <t> </t>
    </r>
    <r>
      <rPr>
        <sz val="11"/>
        <color theme="1"/>
        <rFont val="微软雅黑"/>
        <charset val="134"/>
      </rPr>
      <t>YUAN</t>
    </r>
    <r>
      <rPr>
        <sz val="11"/>
        <color theme="1"/>
        <rFont val="Times New Roman"/>
        <charset val="134"/>
      </rPr>
      <t> </t>
    </r>
    <r>
      <rPr>
        <sz val="11"/>
        <color theme="1"/>
        <rFont val="微软雅黑"/>
        <charset val="134"/>
      </rPr>
      <t>HE</t>
    </r>
    <r>
      <rPr>
        <sz val="11"/>
        <color theme="1"/>
        <rFont val="Times New Roman"/>
        <charset val="134"/>
      </rPr>
      <t> </t>
    </r>
    <r>
      <rPr>
        <sz val="11"/>
        <color theme="1"/>
        <rFont val="微软雅黑"/>
        <charset val="134"/>
      </rPr>
      <t xml:space="preserve">9/25542E（特殊字符）
应为：XIN YUAN HE 9/25542E        </t>
    </r>
  </si>
  <si>
    <t>10.20发起改单，报关单更改完成
10.21代理预配船名有问题，需删掉预配重发
10.21已海放已码放</t>
  </si>
  <si>
    <t>230820250085733566</t>
  </si>
  <si>
    <t>HLCUNK2250644520</t>
  </si>
  <si>
    <t>230520250055581375</t>
  </si>
  <si>
    <t>HLCUNK2250816590</t>
  </si>
  <si>
    <t>客服/申报  10.20申报，此票代理上午11：43通知客服暂停申报，客服为拦截申报，立即在单一提单号后加了“暂停”二字并通知申报人员，代理于12：19通知我司可以申报，未将“暂停”二字去掉，下午16:32改单完成，但是报关单仍审结未放行，需申请海关人工放行。预计会产生超期费。</t>
  </si>
  <si>
    <t>10.20发起改单更改船名，已更改成功。
10.21申请人工放行，报关单已放行。</t>
  </si>
  <si>
    <t>230820250085720303</t>
  </si>
  <si>
    <t>JNG0274593</t>
  </si>
  <si>
    <t>9.28申报，10.20美的通知该票货物需删单退关</t>
  </si>
  <si>
    <t>10.21已提供退运协议，情况说明，转关单给海关，等待批示。
10.21驳船退运申请表已寄出给代理做上海驳船带回南京
10.22等待代理通知
10.27等待货物退回南京办理删单
11.4删单退关资料已寄出
11.5删单成功，提离已办好</t>
  </si>
  <si>
    <t>230820250085735388</t>
  </si>
  <si>
    <t>CAJ0149608</t>
  </si>
  <si>
    <t>10.20 “19.26”机检查验</t>
  </si>
  <si>
    <t>10.21安排查验，报关单放行</t>
  </si>
  <si>
    <t>230820250085734006</t>
  </si>
  <si>
    <t>177TJUJUJ057851W</t>
  </si>
  <si>
    <t>10.20    人工+机检</t>
  </si>
  <si>
    <t>10.21箱子从江北调回龙潭查验，人工查验已结束
10.22追加查验，未完成，明日继续掏箱查验
10.23查验结束，报关单已放行</t>
  </si>
  <si>
    <t>222920250003961594</t>
  </si>
  <si>
    <t xml:space="preserve">CPL0370603P2 </t>
  </si>
  <si>
    <t>10.21查验</t>
  </si>
  <si>
    <t>10.21上午机检查验，下午追加人工查验
10.22申请人工查验，报关单已放行</t>
  </si>
  <si>
    <t>230520250055581420</t>
  </si>
  <si>
    <t>OOLU2766112190</t>
  </si>
  <si>
    <t>10.20申报，物流系统核碰正常，一直审结，需做人工放行</t>
  </si>
  <si>
    <t>10.21申请人工放行，报关单已放行</t>
  </si>
  <si>
    <t>232820250285537268等</t>
  </si>
  <si>
    <t>JJCSHTHA537875等</t>
  </si>
  <si>
    <t>10.9接苏吴中办现场海关通知，涉及到品名为：吸尘器用线束，吸尘器备件(螺钉)，电动机用钢质滚珠轴承，需要美的自查同名异号归类问题，10.14海关提供了此次核查数据，并请美的确认核实归类是否错误，并提供情况说明，10.17反馈给海关，海关确认内容需发起改单。10.20与苏吴中办现场确认共涉及我司申报99票报关单，128项内容（均为此次海关核查涉及吸尘器用线束，吸尘器备件(螺钉)，电动机用钢质滚珠轴承进行税号更改）需在本周完成归类核查改单。</t>
  </si>
  <si>
    <t>10.21开始改单，海关待受理
10.24海关审核不同意
原因为：南京海关最近在核查删改单情况，美的的这批次需要改单的梳理太多了，先暂缓，需要修改的99票先做好清单，每票涉及需要更改的列下更改金额。
10.27已将详细金额清单说明递交现场，等待回复
11.17联系现场海关，回复等通知
12.18现场反馈未接到海关通知</t>
  </si>
  <si>
    <t>230520250055581836</t>
  </si>
  <si>
    <t>SNLFZGJL004291</t>
  </si>
  <si>
    <t>10.22安排查验，查验完毕，已放行</t>
  </si>
  <si>
    <t>230820250085734615</t>
  </si>
  <si>
    <t>NJGCW25003152</t>
  </si>
  <si>
    <t>10.21代理邮件通知，需要更改航次</t>
  </si>
  <si>
    <t>10.22更改船名航次，已更改完成</t>
  </si>
  <si>
    <t>230820250085735610</t>
  </si>
  <si>
    <t>NJGCW25003150</t>
  </si>
  <si>
    <t>330120250000040878</t>
  </si>
  <si>
    <t>OOLU2765768790</t>
  </si>
  <si>
    <t>申报：10.21航次申报错误，正确应为L2543E，错误申报为：2225</t>
  </si>
  <si>
    <t>10.22未发生删改单，已处理</t>
  </si>
  <si>
    <t>330120250000041025</t>
  </si>
  <si>
    <t>JNG0281910</t>
  </si>
  <si>
    <t>10.21申报，运抵核碰正常，审结未放行</t>
  </si>
  <si>
    <t>10.22申请人工放行</t>
  </si>
  <si>
    <t>230820250085736553</t>
  </si>
  <si>
    <t>COSU6432613510</t>
  </si>
  <si>
    <t>10.22申报，10.23代理通知更换船名航次</t>
  </si>
  <si>
    <t>10.23已申请更换船名航次，已更改成功</t>
  </si>
  <si>
    <t>222920250003941270</t>
  </si>
  <si>
    <t>CHN2725850</t>
  </si>
  <si>
    <t>10.18申报，代理将进港信息提单号录入错误，导致货物未码放，未赶上船，需要删单、提离后重新订舱申报</t>
  </si>
  <si>
    <t xml:space="preserve">10.22通关代表确认，已准备删单、提离资料
10.23代理准备未上船证明，远海通开具在港证明
10.24代理未上船证明开错（6个柜开成3个柜），需重开
10.24删单完成，通知代理删舱单
10.27待代理删舱单，删后办理提离手续
10.28海关认为提单号P1,P2为混拼货物，未办理提离手续，已反馈通关代表，现场与海关继续沟通；
经与海关多次沟通，按照一份资料重新准备提离资料，将报关单，品名，件数等整合为一份，已重新整理资料，待美的盖章后寄出。
10.29收到资料后申请办理提离手续CHN2725850提离手续已办出，已交代理
10.30提单号P1,P2两票的提离手续已办出，已交代理
</t>
  </si>
  <si>
    <t xml:space="preserve">222920250003941257 </t>
  </si>
  <si>
    <t>CHN2725850P2</t>
  </si>
  <si>
    <t>222920250003941245</t>
  </si>
  <si>
    <t>CHN2725850P1</t>
  </si>
  <si>
    <t>222920250003890520</t>
  </si>
  <si>
    <t>CHN2674637</t>
  </si>
  <si>
    <t>10.15申报放行，10.22通知货物超宽未上船，可能需要删单。</t>
  </si>
  <si>
    <t>10.24等待代理提供未上船证明、在港证明
10.27远海通办理在港证明中，删单完成
10.28代理删舱单
10.29申请办理提离手续，已办好提离</t>
  </si>
  <si>
    <t xml:space="preserve">TLNJLCJR25121015 </t>
  </si>
  <si>
    <t>未申报美的通知工厂装错货，需办理重出重回返回工厂重新装货。</t>
  </si>
  <si>
    <t>10.24已收到资料，申请办理重出重回手续
10.24重出重回手续已办完</t>
  </si>
  <si>
    <t>230820250085733100</t>
  </si>
  <si>
    <t>HLCUNK2250902462</t>
  </si>
  <si>
    <t>10.17申报，因大风封航运抵超期，需先流转资料到监管科确认运抵超期，再进行删单操作。</t>
  </si>
  <si>
    <t>10.23监管科资料已寄出
10.24资料已收到，申请监管科签字
10.24已删单重报</t>
  </si>
  <si>
    <t>230820250085733004</t>
  </si>
  <si>
    <t>HLCUNK2250902473</t>
  </si>
  <si>
    <t>230820250085733078</t>
  </si>
  <si>
    <t>HLCUNK2250903304</t>
  </si>
  <si>
    <t>230820250085733469</t>
  </si>
  <si>
    <t>HLCUNK2250903410</t>
  </si>
  <si>
    <t>230820250085733704</t>
  </si>
  <si>
    <t>HLCUNK2250903400</t>
  </si>
  <si>
    <t>230820250085733452</t>
  </si>
  <si>
    <t>EGLV145599371746</t>
  </si>
  <si>
    <t>230820250085733633</t>
  </si>
  <si>
    <t>JNG0280647 </t>
  </si>
  <si>
    <t>230820250085738257</t>
  </si>
  <si>
    <t>HLCUNK2251000568</t>
  </si>
  <si>
    <t>10.23查验</t>
  </si>
  <si>
    <t>10.24已放行</t>
  </si>
  <si>
    <t>330120250000041267</t>
  </si>
  <si>
    <t>177IJWJWJ506471S</t>
  </si>
  <si>
    <t>10.24查验已完毕，报关单放行</t>
  </si>
  <si>
    <t>230820250085738108</t>
  </si>
  <si>
    <t>115F507532</t>
  </si>
  <si>
    <t>230820250085737549</t>
  </si>
  <si>
    <t>232720250275710286</t>
  </si>
  <si>
    <t>TLTCLCJR25121021</t>
  </si>
  <si>
    <t>230820250085734448</t>
  </si>
  <si>
    <t xml:space="preserve">EGLV145599371495 </t>
  </si>
  <si>
    <t>由于改水封航导致驳船更改推迟，需要更换船名航次</t>
  </si>
  <si>
    <t>10.24安排申请更换船名航次，船名航次更换成功</t>
  </si>
  <si>
    <t>230820250085734441</t>
  </si>
  <si>
    <t>YMJAM241097134</t>
  </si>
  <si>
    <t>230820250085733819</t>
  </si>
  <si>
    <t>230820250085734421</t>
  </si>
  <si>
    <t>OOLU2163379970</t>
  </si>
  <si>
    <t>230820250085736403</t>
  </si>
  <si>
    <t xml:space="preserve">COSU6432900620 </t>
  </si>
  <si>
    <t>230820250085736382</t>
  </si>
  <si>
    <t xml:space="preserve">COSU6432900630 </t>
  </si>
  <si>
    <t>230820250085736398</t>
  </si>
  <si>
    <t>COSU6432899070</t>
  </si>
  <si>
    <t>230820250085736385</t>
  </si>
  <si>
    <t>COSU6432635000</t>
  </si>
  <si>
    <t>230820250085736406</t>
  </si>
  <si>
    <t xml:space="preserve">COSU6432902220 </t>
  </si>
  <si>
    <t>230820250085736365</t>
  </si>
  <si>
    <t>COSU6432901500</t>
  </si>
  <si>
    <t>230820250085736378</t>
  </si>
  <si>
    <t xml:space="preserve">COSU6432996920 </t>
  </si>
  <si>
    <t>230820250085736375</t>
  </si>
  <si>
    <t>COSU6433011750</t>
  </si>
  <si>
    <t>230820250085736393</t>
  </si>
  <si>
    <t xml:space="preserve">COSU6432902320 </t>
  </si>
  <si>
    <t>230820250085736392</t>
  </si>
  <si>
    <t xml:space="preserve">COSU6432635200 </t>
  </si>
  <si>
    <t>230820250085737948</t>
  </si>
  <si>
    <t>COSU6432142170</t>
  </si>
  <si>
    <t>代理临时换船</t>
  </si>
  <si>
    <t>10.24已发起改单申请，更改成功。</t>
  </si>
  <si>
    <t>230820250085737953</t>
  </si>
  <si>
    <t>COSU643214217001</t>
  </si>
  <si>
    <t>230820250085737917</t>
  </si>
  <si>
    <t>COSU6432141860</t>
  </si>
  <si>
    <t>230820250085737915</t>
  </si>
  <si>
    <t>COSU643214186001</t>
  </si>
  <si>
    <t>330120250000041509</t>
  </si>
  <si>
    <t>OOLU276608505001</t>
  </si>
  <si>
    <t>10.24查验</t>
  </si>
  <si>
    <t>230820250085739249</t>
  </si>
  <si>
    <t>NOSNJ25HF47331</t>
  </si>
  <si>
    <t>10.27安排查验，报关单放行</t>
  </si>
  <si>
    <t>230820250085737846</t>
  </si>
  <si>
    <t>177UJAJAJ01914Z</t>
  </si>
  <si>
    <t>10.23申报，因物流系统有问题未正常放行，海关要求发起改单审单。</t>
  </si>
  <si>
    <t>10.24发起改单后，物流系统恢复，撤回改单，报关单已放行。</t>
  </si>
  <si>
    <t>230820250085737892</t>
  </si>
  <si>
    <t>EGLV145599373889</t>
  </si>
  <si>
    <t>230820250085737893</t>
  </si>
  <si>
    <t>EGLV145599373897</t>
  </si>
  <si>
    <t xml:space="preserve">230820250085737927 </t>
  </si>
  <si>
    <t>EGLV145599371606</t>
  </si>
  <si>
    <t>230520250055574177</t>
  </si>
  <si>
    <t>177CJAJAJ20274Z</t>
  </si>
  <si>
    <t>10.27美的通知货物取消订单需要删单</t>
  </si>
  <si>
    <t>10.27发起删单，删单成功
张家港办理提离现场海关要求只能船代去办理签字</t>
  </si>
  <si>
    <t>CPL0371447</t>
  </si>
  <si>
    <t>10.27美的通知货物需要退柜，未报关</t>
  </si>
  <si>
    <t>10.27代理准备未上船证明，在港证明
10.29申请办理提离手续，手续已办出</t>
  </si>
  <si>
    <t>230820250085732513</t>
  </si>
  <si>
    <t>COSU6432668190</t>
  </si>
  <si>
    <t>10.17申报，10月17日已放行。该票货物于10月24日上午11点43分已到宁波梅山港区，下午13点54分跳出放行后查验，查验指令为新生圩关，现请海关协助处理。</t>
  </si>
  <si>
    <t>放行后查验</t>
  </si>
  <si>
    <t>10.27准备相关资料（报关单，查验单，放行通知书，情况说明）
10.28现场与南京海关沟通，递交正本资料，查验指令系统已转出到宁波海关
10.29安排查验，查验结束
10.30联系南京海关处理，反馈预配舱单船名航次与报关单不符，联系代理处理
10.30宁波码头EDI上显示已放行，报关单放行。</t>
  </si>
  <si>
    <t>230520250055583607</t>
  </si>
  <si>
    <t>10.27查验</t>
  </si>
  <si>
    <t>10.28张家港机检设备维修，需一周才可恢复，已联系通关代表，申请转人工查验
10.29人工查验，报关单放行。</t>
  </si>
  <si>
    <t xml:space="preserve">230820250085740236 </t>
  </si>
  <si>
    <t>177IJWJWJ048357S</t>
  </si>
  <si>
    <t>10.28安排查验,报关单放行</t>
  </si>
  <si>
    <t>232720250275701843</t>
  </si>
  <si>
    <t>STTCVS58411</t>
  </si>
  <si>
    <t>该票货物太仓驳船接外港大船出运，10.13申报放行，货物已进外港，因船公司破产，需要换船重新出。</t>
  </si>
  <si>
    <t>10.28需代理删转关单后将货物运回太仓，等待代理通知
11.26通关代表通知货物已到目的港，无需删单</t>
  </si>
  <si>
    <t>230820250085741326</t>
  </si>
  <si>
    <t>COSU6433246700</t>
  </si>
  <si>
    <t>10.27申报，代理未发预配导致货物当天未放行，10.28更新船名航次，需要改单。</t>
  </si>
  <si>
    <t>10.28准备改单资料
10.29发起改单，报关单更改完成，货物放行</t>
  </si>
  <si>
    <t>230520250055584024</t>
  </si>
  <si>
    <t>177TJWJWJ2005901S</t>
  </si>
  <si>
    <t>10.29查验</t>
  </si>
  <si>
    <t>10.28张家港机检设备维修，需一周才可恢复，已联系通关代表，申请转人工查验
10.29人工查验，其中一箱货物要全掏，码头因箱子里货物太重(整机65KG)，无法掏箱，经与通关代表沟通，美的也无法安排工人，远海通联系外包工人安排掏箱，承担费用2500元
10.30美的协调码头安排工人，已同意
10.31申请人工查验，报关单已放行</t>
  </si>
  <si>
    <t>230820250085743231</t>
  </si>
  <si>
    <t>TLNJLCJE25231007</t>
  </si>
  <si>
    <t>10.30查验，报关单已放行</t>
  </si>
  <si>
    <t>232820250285619563</t>
  </si>
  <si>
    <t>HLCUSHA2509GTIE8</t>
  </si>
  <si>
    <t>10.29申报，美的通知货物短装，需要删单</t>
  </si>
  <si>
    <t>10.30发起删单，已删除</t>
  </si>
  <si>
    <t>232820250285619217</t>
  </si>
  <si>
    <t>CHN2795412P2</t>
  </si>
  <si>
    <t xml:space="preserve">10.29申报苏吴中关，10.29箱子进港后跳人工查验，经美的自查发现此票货物漏装
此票与CHN2795412P1、CHN2795412P3三拼单
经核实CHN2795412P2、CHN2795412P3装在主单CHN2795412的货柜中
</t>
  </si>
  <si>
    <t>10.30联系通关代表，提供情况说明，现场排查验调箱计划
10.31申请洋山港区人工查验，海关扣单，要求美的需提供：委托书，扣单解锁情况说明，待处理情况说明，装货清单
11.3通关代表盖章后寄出资料
11.4现场联系洋山海关处理，
11.5跟申报地苏吴中关沟通，远海通开具在港证明，情况说明已盖章
11.6发起删单，已删单成功。
11.7联系洋山海关申请扣单解锁，已解锁</t>
  </si>
  <si>
    <t>232820250285619215</t>
  </si>
  <si>
    <t>CHN2795412</t>
  </si>
  <si>
    <t>因拼票“CHN2795412P2”查验，未赶上船，故需申请删单。</t>
  </si>
  <si>
    <t>11.5远海通开具在港证明，情况说明已盖章
11.6发起删单
11.6删单成功</t>
  </si>
  <si>
    <t>232820250285619216</t>
  </si>
  <si>
    <t>CHN2795412P1</t>
  </si>
  <si>
    <t>232820250285619218</t>
  </si>
  <si>
    <t>CHN2795412P3</t>
  </si>
  <si>
    <t>330120250000042387</t>
  </si>
  <si>
    <t>CAJ0150986</t>
  </si>
  <si>
    <t>10.30查验</t>
  </si>
  <si>
    <t>10.31安排查验，报关单放行</t>
  </si>
  <si>
    <t>330120250000042350</t>
  </si>
  <si>
    <t>JNG0282609</t>
  </si>
  <si>
    <t>230820250085744941</t>
  </si>
  <si>
    <t>177WJMJMJ008165X</t>
  </si>
  <si>
    <t>客服：10.30代理通知暂停申报，10.31代理重新提供出运表，客服排计划未更新出运表，按旧船名申报，未放行，需改单，11.3船期</t>
  </si>
  <si>
    <t>10.31已发起改单，等待海关受理
11.3海关操作成功，修改完成，申请人工放行，报关单已放行</t>
  </si>
  <si>
    <t>230820250085745180</t>
  </si>
  <si>
    <t>ONEYNKGF12247900A</t>
  </si>
  <si>
    <t>国内单证：混拼货物无法发送舱单,未按该船司要求制作单证，导致货物无法发送舱单，需要删除报关单，后续按照三票资料制作单证重新申报。</t>
  </si>
  <si>
    <t>10.31申请删单，报关单删除成功，单证重新制作，已重新申报放行。</t>
  </si>
  <si>
    <t>230820250085745182</t>
  </si>
  <si>
    <t>ONEYNKGF12247900B</t>
  </si>
  <si>
    <t>223320250001862523</t>
  </si>
  <si>
    <t>11.1查验</t>
  </si>
  <si>
    <t>11.3安排查验，报关单放行。</t>
  </si>
  <si>
    <t>223120250004323696</t>
  </si>
  <si>
    <t>11.3代理通知，该票因查验导致甩箱，需删单重报。</t>
  </si>
  <si>
    <t>11.5等待代理提供未上船证明，在港证明
11.6删单已完成。（海关要求说明该票货物因查验未赶上船）</t>
  </si>
  <si>
    <t>230820250085746305</t>
  </si>
  <si>
    <t>JNG0281148</t>
  </si>
  <si>
    <t>11.2申报，11.3美的通知TLLU8935064/ECMU7671116/ECMU4840110，该3柜系统内散件清单内部分重量为0，共10柜，原总毛重27493.46KG，现总毛重38282.66KG，报关单已按原数据申报，需要删报关单、舱单及修改进港数据。</t>
  </si>
  <si>
    <t>11.4发起删单，删单成功。</t>
  </si>
  <si>
    <t>230520250055585861</t>
  </si>
  <si>
    <t>COSU6434970800</t>
  </si>
  <si>
    <t>11.3申报，2拼票，代理只发送了主单预配舱单，导致拼票COSU6434970801货物无法放行。11.4代理通知更换船名航次</t>
  </si>
  <si>
    <t>11.4发起改单，海关操作成功
11.5COSU6434970801审结，待代理删预配舱单重发后，补发运抵，货物已放行。</t>
  </si>
  <si>
    <t>230520250055585856</t>
  </si>
  <si>
    <t>COSU6434970801</t>
  </si>
  <si>
    <t>230820250085746950</t>
  </si>
  <si>
    <t>11.3查验</t>
  </si>
  <si>
    <t>230820250085744220</t>
  </si>
  <si>
    <t>177MJAJAJ06503Z</t>
  </si>
  <si>
    <t>10.30申报放行，船名含有特殊字符无法码放（按代理提供的出运表申报），11.4代理通知换船更换船名航次。</t>
  </si>
  <si>
    <t>230820250085747855</t>
  </si>
  <si>
    <t>11.4查验</t>
  </si>
  <si>
    <t>11.5安排查验，报关单已放行</t>
  </si>
  <si>
    <t>223120250004454942</t>
  </si>
  <si>
    <t>177USNSNS121658</t>
  </si>
  <si>
    <t>COSUWSHA0085WHI001</t>
  </si>
  <si>
    <t>11.5美的通知该票需办理退柜手续</t>
  </si>
  <si>
    <t>11.5准备资料
11.6已办理完成</t>
  </si>
  <si>
    <t>223120250004436350</t>
  </si>
  <si>
    <t>CHN2767881</t>
  </si>
  <si>
    <t>11.3申报，货物已进港，11.5美的通知因货物品质问题需要删单退关</t>
  </si>
  <si>
    <t>11.11等待代理提供未上船证明，在港证明
11.12删单结束，等待代理删除舱单
11.13代理删除舱单
11.14提离手续办好，已寄出</t>
  </si>
  <si>
    <t>223120250004436072</t>
  </si>
  <si>
    <t>CHN2767879</t>
  </si>
  <si>
    <t>11.3申报，货物未进港，11.5美的通知因货物品质问题需要删单退关</t>
  </si>
  <si>
    <t>11.5准备删单资料
11.6发起删单
11.7海关受理，报关单已删除</t>
  </si>
  <si>
    <t>230820250085746543</t>
  </si>
  <si>
    <t>NJGCW25003335</t>
  </si>
  <si>
    <t>11.3申报，代理11.5通知换船，申请改配。</t>
  </si>
  <si>
    <t>11.5申请更换船名航次
11.6已更改成功</t>
  </si>
  <si>
    <t xml:space="preserve">230820250085748784 </t>
  </si>
  <si>
    <t>EGLV145599009656</t>
  </si>
  <si>
    <t>11.5查验</t>
  </si>
  <si>
    <t>11.6安排查验，报关单已放行</t>
  </si>
  <si>
    <t>230520250055581311</t>
  </si>
  <si>
    <t>COSU6431984590</t>
  </si>
  <si>
    <t>10.20货物放行，11.6美的通知货物需要删单退柜</t>
  </si>
  <si>
    <t>11.17删单完成，通知代理，张家港提离由代理安排手续</t>
  </si>
  <si>
    <t>230820250085747577</t>
  </si>
  <si>
    <t>ONEYNK5GF2158700</t>
  </si>
  <si>
    <t>11.3申报放行，11.6美的通知需要更换船名航次</t>
  </si>
  <si>
    <t>11.7申请更换船名航次，已改好</t>
  </si>
  <si>
    <t>230820250085747463</t>
  </si>
  <si>
    <t>ONEYNK5GF2159800</t>
  </si>
  <si>
    <t>230820250085746078</t>
  </si>
  <si>
    <t>10.31申报放行，11.6因货物延船，代理通知需要更换船名航次</t>
  </si>
  <si>
    <t>11.7申请更换船名航次
11.12通知更改靠区，准备资料
11.13发起改单，先修改核注清单，后修改报关单。
报关单修改成功</t>
  </si>
  <si>
    <t>230820250085746080</t>
  </si>
  <si>
    <t>230820250085746081</t>
  </si>
  <si>
    <t>ONEYNKGF12247900C</t>
  </si>
  <si>
    <t>230520250055586727</t>
  </si>
  <si>
    <t>COSU6434751570</t>
  </si>
  <si>
    <t>223320250001886625</t>
  </si>
  <si>
    <t>11.5查验，品名：磁铁</t>
  </si>
  <si>
    <t>11.6申请查验，海关扣货，核两用物项，核规格型号，提供的申报规格与实货不一致，货物无标签，需退关整改
11.7联系通关代表准备退关资料
11.11资料已发美的盖章寄出
11.12情况说明等资料交现场海关，海关要求对申报规格等进行解释，需重新提供情况说明，联系通关代表处理，海关已认可新报告，美的已寄出
11.13已发起删单，删单结束
11.14现场办理扣单解锁，美的委托远海通代为缴纳相关费用，实报实销，货代办理提货。货物已提走。</t>
  </si>
  <si>
    <t>230520250055587121</t>
  </si>
  <si>
    <t>11.7查验</t>
  </si>
  <si>
    <t>11.10安排查验，报关单已放行</t>
  </si>
  <si>
    <t>230520250055587365</t>
  </si>
  <si>
    <t>COSU6434172810</t>
  </si>
  <si>
    <t>11.7申报审结，涉许可证，需申请海关人工放行</t>
  </si>
  <si>
    <t>11.7申请海关人工放行，报关单已放行</t>
  </si>
  <si>
    <t>230820250085751296</t>
  </si>
  <si>
    <t>TLNJJKJE25251025</t>
  </si>
  <si>
    <t>223120250004513790</t>
  </si>
  <si>
    <t>CHN2792820</t>
  </si>
  <si>
    <t>11.8查验</t>
  </si>
  <si>
    <t>11.9安排查验，报关单已放行</t>
  </si>
  <si>
    <t>232820250285625428</t>
  </si>
  <si>
    <t>HLCUSHA2507HFID6</t>
  </si>
  <si>
    <t>11.8申报审结，美的通知短装，删单</t>
  </si>
  <si>
    <t>11.10已发起删单，删单结束</t>
  </si>
  <si>
    <t xml:space="preserve">230820250085751688 </t>
  </si>
  <si>
    <t>COSU6434366400</t>
  </si>
  <si>
    <t>11.7申报，因未赶上截单时间，11.10代理通知延船需更换船名航次</t>
  </si>
  <si>
    <t xml:space="preserve">11.10申请更换船名航次
</t>
  </si>
  <si>
    <t>230820250085743547</t>
  </si>
  <si>
    <t>EGLV145599123238</t>
  </si>
  <si>
    <t>10.29申报，11.10代理通知需更改靠区</t>
  </si>
  <si>
    <t xml:space="preserve">11.10更改完毕
</t>
  </si>
  <si>
    <t>江苏远洋-南京</t>
  </si>
  <si>
    <t>230820250085752902</t>
  </si>
  <si>
    <t>TLNJBKJJ25221009</t>
  </si>
  <si>
    <t>11.10查验</t>
  </si>
  <si>
    <t>11.11申请查验，追加人工查验
11.12安排人工查验，报关单已放行</t>
  </si>
  <si>
    <t xml:space="preserve">230820250085752628 </t>
  </si>
  <si>
    <t>YMJAN241125307</t>
  </si>
  <si>
    <t>11.11申请查验，报关单放行</t>
  </si>
  <si>
    <t>230520250055587834</t>
  </si>
  <si>
    <t>CAJ0151710</t>
  </si>
  <si>
    <t>232820250285626441</t>
  </si>
  <si>
    <t>CHN2832886P1</t>
  </si>
  <si>
    <t>11.10查验，已提供拼箱示意图，唛头清单
11.11报关单放行</t>
  </si>
  <si>
    <t>230820250085752256</t>
  </si>
  <si>
    <t>JNG0285241</t>
  </si>
  <si>
    <t>230820250085752040</t>
  </si>
  <si>
    <t>177BJCJCJ027860U</t>
  </si>
  <si>
    <t xml:space="preserve">安徽美芝制冷设备有限公司 </t>
  </si>
  <si>
    <t>223120250004529788</t>
  </si>
  <si>
    <t>177TASASS106926</t>
  </si>
  <si>
    <t>230820250085748456</t>
  </si>
  <si>
    <t>COAU7263819590</t>
  </si>
  <si>
    <t>11.4申报放行，因未赶上截单时间，11.10代理通知延船需更换船名航次</t>
  </si>
  <si>
    <t>11.11申请更换船名航次，海关已更改</t>
  </si>
  <si>
    <t>222920250004240754</t>
  </si>
  <si>
    <t>CULVSHA2523434</t>
  </si>
  <si>
    <t>11.7申报放行，11.11代理通知需要改配，删单重报</t>
  </si>
  <si>
    <t>11.11通关代表确认，等待代理提供在港证明，未上船证明
11.12收到资料，发起删单，已删除成功</t>
  </si>
  <si>
    <t>330120250000044020</t>
  </si>
  <si>
    <t>177FJUJUJ512490W</t>
  </si>
  <si>
    <t>11.11查验</t>
  </si>
  <si>
    <t>11.12安排查验，报关单已放行</t>
  </si>
  <si>
    <t>230520250055588073</t>
  </si>
  <si>
    <t>HLCUNK2251004430</t>
  </si>
  <si>
    <t>11.12安排查验，报关单放行</t>
  </si>
  <si>
    <t>331020250000050098</t>
  </si>
  <si>
    <t>COSU6434831900</t>
  </si>
  <si>
    <t>11.11申报放行，11.12代理通知箱号报错，错：TCNU2550110
对：TGBU5020561。船务未通知单证改箱号，代理未提供下货纸，无法核对箱号信息</t>
  </si>
  <si>
    <t>11.12准备改单资料
11.13发起改单被海关驳回，需要船公司提供COSU6434831900提单号项下正确箱号的证明，联系代理提供证明
11.13船代提供证明后再次发起改单，改单完成</t>
  </si>
  <si>
    <t>230820250085754210</t>
  </si>
  <si>
    <t>COSU6433316760</t>
  </si>
  <si>
    <t>11.12申报审结，无预配，货物未放行，申请改单。</t>
  </si>
  <si>
    <t>11.12申请更改船名航次，已更换完成</t>
  </si>
  <si>
    <t>230820250085754200</t>
  </si>
  <si>
    <t>COSU643331676001</t>
  </si>
  <si>
    <t>11.12申报放行，做改配，释放舱单，重发预配。</t>
  </si>
  <si>
    <t>11.12已申请置空船名航次，删除旧预配后，申请更换船名航次，已处理完成。</t>
  </si>
  <si>
    <t>230820250085756038</t>
  </si>
  <si>
    <t>177MJMJMJ008306X</t>
  </si>
  <si>
    <t>11.13查验</t>
  </si>
  <si>
    <t>11.14安排查验</t>
  </si>
  <si>
    <t>223120250004489364</t>
  </si>
  <si>
    <t>177FASASS320944</t>
  </si>
  <si>
    <t>国内单证：11.14美的反馈：SO号：177FASASS320944，柜号：TLLU8966569，整机上海洋山预报关，11.4提供完整资料，11.5收到通知更新BO号并更新资料，此时BO号更新同时通知书号也更新了，货物有变化，新资料仅更新了BO号未核对通知书号是否有更新，11.6报关组申报，11.11反馈箱货不符，11.12联系美的红冲处理，释放原通知书号，应报DNW23202510290034通知书内的货物，错报DNW23202510290033通知书内的货物，船上的货物为DNW23202510290034内的货物。</t>
  </si>
  <si>
    <t>11.14经沟通暂不处理。</t>
  </si>
  <si>
    <t>230820250085756608</t>
  </si>
  <si>
    <t>11.14查验</t>
  </si>
  <si>
    <t>11.17安排查验，已放行</t>
  </si>
  <si>
    <t>330120250000044669</t>
  </si>
  <si>
    <t>HLCUNK2250731608</t>
  </si>
  <si>
    <t>11.14申报放行，代理通知需要更改大船靠区</t>
  </si>
  <si>
    <t>11.18整理改单资料，改单申请表待海关审批签字
11.19提交改单申请，更改完成</t>
  </si>
  <si>
    <t>330120250000044736</t>
  </si>
  <si>
    <t>JNG0284008A</t>
  </si>
  <si>
    <t>11.17安排查验，报关单放行</t>
  </si>
  <si>
    <t>330120250000044747</t>
  </si>
  <si>
    <t>KMTCWHI0012996</t>
  </si>
  <si>
    <t>11.17查验，海关挂起，安排补传
11.18报关单放行</t>
  </si>
  <si>
    <t>230820250085757876</t>
  </si>
  <si>
    <t>COSU6434960560</t>
  </si>
  <si>
    <t>11.17查验</t>
  </si>
  <si>
    <t>11.18安排查验，报关单放行</t>
  </si>
  <si>
    <t>230520250055589931</t>
  </si>
  <si>
    <t>COSU6435664660</t>
  </si>
  <si>
    <t>11.18申报放行，美的通知减少1柜，集装箱号有变动，应为OOCU8679183，实报TEMU8145074
两个系统数据不同步，需手动获取状态重新获取数据；车队/代理未核对提供的装箱单是否正确</t>
  </si>
  <si>
    <t>美的/代理</t>
  </si>
  <si>
    <t>11.18已删单成功</t>
  </si>
  <si>
    <t>230820250085759689</t>
  </si>
  <si>
    <t>NOSNJ25HF47357</t>
  </si>
  <si>
    <t>11.18代理16点发送出运表，17点16分申报放行，代理通知延船</t>
  </si>
  <si>
    <t>11.19申请更换船名航次，已更改成功</t>
  </si>
  <si>
    <t>南京中外运</t>
  </si>
  <si>
    <t>TLNJLCJH25131021</t>
  </si>
  <si>
    <t>11.18美的通知货物漏装，申请重出重回补货，</t>
  </si>
  <si>
    <t>11.19已收到重出重回资料
11.20货物已卸船，箱状态为出口箱，办理重出手续。
因该票货物从合肥路改水，与直接进龙潭货物不同，需更改箱流向进行后续重出手续。
11.21代理更改箱流向，货物已提离。</t>
  </si>
  <si>
    <t>310120250514803486</t>
  </si>
  <si>
    <t>ONEYNB5BEFL68800C</t>
  </si>
  <si>
    <t>11.18查验</t>
  </si>
  <si>
    <t>11.19安排查验，报关单查验</t>
  </si>
  <si>
    <t>232820250285628432</t>
  </si>
  <si>
    <t>OOLU2164097210</t>
  </si>
  <si>
    <t>11.18因该票货物锂电池审核超时未通过，换船，需要删单。</t>
  </si>
  <si>
    <t>11.20远海通办理在港证明，已发起删单，申请被驳回。（删单理由为未赶上原船，海关要求提供改配证明材料）
11.21等待通关代表提供新BC处理删单。
11.26收到新BC，已重新发起删单，删单成功。</t>
  </si>
  <si>
    <t>330120250000045394</t>
  </si>
  <si>
    <t>OOLU231420721002</t>
  </si>
  <si>
    <t>11.20查验</t>
  </si>
  <si>
    <t>11.21安排查验货物放行</t>
  </si>
  <si>
    <t>230820250085762135</t>
  </si>
  <si>
    <t>HLCUNK2250810191</t>
  </si>
  <si>
    <t>11.21查验</t>
  </si>
  <si>
    <t>11.21安排查验
机检时有异常，海关要求人工查验要看内部异常货物，因美的要求货物不能倒，只可立，正在与码头沟通掏箱事宜
11.24掏箱完成，海关下午查验，报关单放行</t>
  </si>
  <si>
    <t>223320250001997595</t>
  </si>
  <si>
    <t>11.24安排查验，报关单放行</t>
  </si>
  <si>
    <t>230520250055590851</t>
  </si>
  <si>
    <t>230820250085764492</t>
  </si>
  <si>
    <t>JJMNJKECNC500073</t>
  </si>
  <si>
    <t>11.24查验</t>
  </si>
  <si>
    <t>11.25安排查验，报关单放行</t>
  </si>
  <si>
    <t>230520250055591931</t>
  </si>
  <si>
    <t>OOLU2314513410</t>
  </si>
  <si>
    <t>230820250085764445</t>
  </si>
  <si>
    <t>JNG0286921</t>
  </si>
  <si>
    <t>11.25申请查验计划，人工加机检
11.26因码头查验点无箱位，经沟通将箱子调到12E堆场
11.27协调码头及海关安排查验
11.28跟进查验状态，有问题及时反馈沟通
12.1箱子已到查验场地，海关人工查验，其中“焊条”重量与申报不符，银的含量与申报不符，海关要求取样化验
12.2海关要求取样化验，并再调2个柜子到查验点掏箱抽查
12.3申请另2个柜的查验，与海关沟通解决办法
12.4查验完成，待查验科处理意见
12.5查验科将单子流转至前台监管科处理
12.8现场联系海关，监管科要求美的出具情况说明，对焊条/铜焊条的制作工艺、用途做出说明，解释说明申报品牌与实物标签不一致情况，提供归类依据等，已联系通关代表提供
12.9情况说明交海关监管科，跟进海关处理意见
12.10海关监管科将单子流转到通关科，两个科室协同核查焊条/铜焊条的归类
12.11海关正在核查焊条/铜焊条的归类
12.12通关科已核查完毕，归类无误，已转监管科等待处理
12.15现场联系海关，第8项铜焊条成分含量需提供情况说明
12.16情况说明递交海关审核，联系海关先处理报关单放行（后续发起改单），报关单已放行
        JNG0285995、JNG0286004第四项焊条品牌/品牌类型需要更改为：无品牌，已发起改单
      （JNG0286921品牌正确，无需改单）
12.17已更改成功</t>
  </si>
  <si>
    <t>230820250085764099</t>
  </si>
  <si>
    <t>JNG0285995</t>
  </si>
  <si>
    <t>230820250085764032</t>
  </si>
  <si>
    <t>JNG0286004</t>
  </si>
  <si>
    <t>223320250002024366</t>
  </si>
  <si>
    <t>11.24查验，磁铁</t>
  </si>
  <si>
    <t xml:space="preserve">11.25查验
11.26联系现场海关处理，提交通关资料，海关要求补充磁铁检测报告，联系通关代表寄出
11.27收到磁铁检测报告后交现场海关，货物已放行
</t>
  </si>
  <si>
    <t>230820250085763699</t>
  </si>
  <si>
    <t>11.24申报，因代理将预配发错导致报关单无法放行，需改单处理</t>
  </si>
  <si>
    <t>11.25发起改单，申请将航次置空，释放舱单，代理删预配舱单后重新发送，下午再次发起改单，申请改回正确船名航次，海关受理中
11.26已更改回正确船名，报关单放行</t>
  </si>
  <si>
    <t>230820250085763243</t>
  </si>
  <si>
    <t>COSU6435311120</t>
  </si>
  <si>
    <t>国内单证：11.24申报，此票EMF截单2小时才发送，导致无法及时预配放行，需换船处理。</t>
  </si>
  <si>
    <t>11.24申请更换船名航次，已完成</t>
  </si>
  <si>
    <t>230820250085765196</t>
  </si>
  <si>
    <t>JNG0284902</t>
  </si>
  <si>
    <t>11.25查验</t>
  </si>
  <si>
    <t>11.26安排查验，报关单放行</t>
  </si>
  <si>
    <t>330120250000045987</t>
  </si>
  <si>
    <t>177NJWJWJ506585S</t>
  </si>
  <si>
    <t>222920250004462590</t>
  </si>
  <si>
    <t>SNKO020251118721</t>
  </si>
  <si>
    <t>11.22申报放行，11.25代理通知进港信息填错，未赶上船，需删单改配</t>
  </si>
  <si>
    <t>11.25联系通关代表确认删单，准备相关资料
11.26已收到代理提供在港证明+未上船证明
11.27发起删单，海关要求开箱查验，系统已追加查验指令
11.28海关已查验完毕，删单及提离资料已寄给现场
12.1海关流转查验指令到通关科，事业部确认不提离。
12.2删单成功，车队支付查验费用735元</t>
  </si>
  <si>
    <t>230820250085765764</t>
  </si>
  <si>
    <t>COSU6436753820</t>
  </si>
  <si>
    <t>国内单证：11.26申报放行，因EMF毛重错误，需要置空报关船名航次，删除预配舱单后重新发送，再改为正确船名航次</t>
  </si>
  <si>
    <t xml:space="preserve">11.27申请置空船名航次，已置空，代理删除预配，已更换船名航次。
</t>
  </si>
  <si>
    <t>230820250085765762</t>
  </si>
  <si>
    <t>COSU643675382001</t>
  </si>
  <si>
    <t>230520250055593350</t>
  </si>
  <si>
    <t>HDMUNKGZ87858700</t>
  </si>
  <si>
    <t>11.27查验</t>
  </si>
  <si>
    <t>11.28安排查验，报关单放行</t>
  </si>
  <si>
    <t>230820250085767766</t>
  </si>
  <si>
    <t>NOSNJ25HF47413</t>
  </si>
  <si>
    <t>11.28安排查验，报关单放行
12.1申请更换船名航次，已更换完成</t>
  </si>
  <si>
    <t>223120250004795922</t>
  </si>
  <si>
    <t>COSU6436620280</t>
  </si>
  <si>
    <t>232820250285634372</t>
  </si>
  <si>
    <t>M237051926</t>
  </si>
  <si>
    <t>11.28安排查验，追加人工查验
12.1安排人工查验，报关单已放行</t>
  </si>
  <si>
    <t>230520250055593282</t>
  </si>
  <si>
    <t>261452577B</t>
  </si>
  <si>
    <t>11.27申报，物流系统核碰正常已核销，一直审结，需做人工放行</t>
  </si>
  <si>
    <t>11.28申请人工放行，报关单放行</t>
  </si>
  <si>
    <t>230820250085765175</t>
  </si>
  <si>
    <t>ANH0109557</t>
  </si>
  <si>
    <t>11.25申报放行，美的系统境内收发货人和生产销售单位提供错。</t>
  </si>
  <si>
    <t>11.28联系通关代表确认，准备删单资料
12.1发起删单，删单完成</t>
  </si>
  <si>
    <t>222520251000144632</t>
  </si>
  <si>
    <t>SNLFLCCL005909</t>
  </si>
  <si>
    <t>6.30申报，11.28申请退保证金改单</t>
  </si>
  <si>
    <t>11.28改单已发起（保证金改全免，出口报关单加在关联报关单里，共关联25个报关单），海关待受理
12.1海关受理，改单完成</t>
  </si>
  <si>
    <t>230520250055593809</t>
  </si>
  <si>
    <t>COAU7264616250</t>
  </si>
  <si>
    <t>客服：11.28代理通知要换船更新BC，客服未更新BC，按旧BC上传系统申报，现需改单，12.2驳船</t>
  </si>
  <si>
    <t>12.1发起改单，海关更改完成</t>
  </si>
  <si>
    <t>330120250000046647</t>
  </si>
  <si>
    <t xml:space="preserve">COSU6436580260 </t>
  </si>
  <si>
    <t>11.28申报放行，代理通知推驳船，更换船名航次</t>
  </si>
  <si>
    <t>12.1无需发起删改单</t>
  </si>
  <si>
    <t>芜湖中远</t>
  </si>
  <si>
    <t>230520250055594082</t>
  </si>
  <si>
    <t>177MJCJCJ227878T</t>
  </si>
  <si>
    <t>12.1申报放行，代理通知推驳船，更改船名航次</t>
  </si>
  <si>
    <t>230520250055594036</t>
  </si>
  <si>
    <t>177MJCJCJ227879T</t>
  </si>
  <si>
    <t>JNG0286015</t>
  </si>
  <si>
    <t>12.1因货物中有“焊条”，美的通知暂停申报，办理重出重回</t>
  </si>
  <si>
    <t>12.1准备重出重回资料
12.2JNG0286015/JNG0286006 重出手续已办好
12.3 发邮件给江北码头，办理JNG0286000箱子在江北的重出手续。
12.4等待江北码头通知南京现场-江北回复还在走流程
12.8海关解锁手续完成，正本单据交代理</t>
  </si>
  <si>
    <t>JNG0286000</t>
  </si>
  <si>
    <t>JNG0286006</t>
  </si>
  <si>
    <t>230820250085770667</t>
  </si>
  <si>
    <t>COSU6436115990</t>
  </si>
  <si>
    <t>12.1查验</t>
  </si>
  <si>
    <t>12.2安排查验，报关单已放行</t>
  </si>
  <si>
    <t>230820250085767822</t>
  </si>
  <si>
    <t>TLNJLCJA25251029</t>
  </si>
  <si>
    <t>11.28查验</t>
  </si>
  <si>
    <t>12.1机检，追加人工查验
12.2人工查验，指令为“RXTU4578524”海关要求追加开箱。
12.3调箱继续人工查验，报关单放行。</t>
  </si>
  <si>
    <t>223320250002059657</t>
  </si>
  <si>
    <t>11.29查验，磁铁。</t>
  </si>
  <si>
    <t>12.1联系现场海关处理，提交通关资料，海关要求补充磁铁检测报告，联系通关代表寄出
12.2货物放行</t>
  </si>
  <si>
    <t>230820250085770356</t>
  </si>
  <si>
    <t>HLCUNK2250712886</t>
  </si>
  <si>
    <t>12.1申报放行，12.2单证通知毛重错误，正确应为：4496.67，错报为4554.8。</t>
  </si>
  <si>
    <t>12.3无需删改单</t>
  </si>
  <si>
    <t>230820250085770632</t>
  </si>
  <si>
    <t>JNG0287930</t>
  </si>
  <si>
    <t>12.2申请更换船名航次，已更换成功</t>
  </si>
  <si>
    <t>江苏航华-南京</t>
  </si>
  <si>
    <t>230820250085770660</t>
  </si>
  <si>
    <t>JNG0287928</t>
  </si>
  <si>
    <t>230820250085770649</t>
  </si>
  <si>
    <t>JNG0287909</t>
  </si>
  <si>
    <t>330120250000044877</t>
  </si>
  <si>
    <t>HLCUNK2251005974</t>
  </si>
  <si>
    <t>11.25申报放行，美的船务通知需要更改大船靠区，洋三改到外五。</t>
  </si>
  <si>
    <t>美的船务</t>
  </si>
  <si>
    <t>12.2准备改单资料，
12.3发起改单，已更改完成</t>
  </si>
  <si>
    <t>330120250000044889</t>
  </si>
  <si>
    <t>HLCUNK2251006308</t>
  </si>
  <si>
    <t>330120250000046043</t>
  </si>
  <si>
    <t>HLCUNK2251008084</t>
  </si>
  <si>
    <t>230820250085770622</t>
  </si>
  <si>
    <t>177NJCJCJ028049U</t>
  </si>
  <si>
    <t>12.1申报放行，12.2美的通知该票为5拼货物，单证收到资料信息为3票，现需加拼2票。</t>
  </si>
  <si>
    <t>12.2申请置空船名，已置空，通知代理删除预配
12.3代理重新发预配后改回正确船名，同时申报两票加拼货物，已申报</t>
  </si>
  <si>
    <t>230820250085770620</t>
  </si>
  <si>
    <t>177NJCJCJ028049AU</t>
  </si>
  <si>
    <t>230820250085770619</t>
  </si>
  <si>
    <t>177NJCJCJ028049BU</t>
  </si>
  <si>
    <t>940320250000186293</t>
  </si>
  <si>
    <t>T252173835</t>
  </si>
  <si>
    <t>国内单证：12.2公路查验，实际型号是B/MI100，国内单证制单资料提供是B/MI100X。</t>
  </si>
  <si>
    <t>12.2报关单已放行</t>
  </si>
  <si>
    <t>230820250085771440</t>
  </si>
  <si>
    <t>CN05911800</t>
  </si>
  <si>
    <t>12.2查验</t>
  </si>
  <si>
    <t>12.3查验，报关单放行</t>
  </si>
  <si>
    <t>222920250004599943</t>
  </si>
  <si>
    <t>PCLU2521CS5063</t>
  </si>
  <si>
    <t>232820250285636214</t>
  </si>
  <si>
    <t>JJCSHTHA539697</t>
  </si>
  <si>
    <t>11.30申报，苏吴中海关要求提供“石墨棒”的报告，并明确数据来源。</t>
  </si>
  <si>
    <t>12.3提供情况说明给海关，报关单已放行。</t>
  </si>
  <si>
    <t>230820250085772524</t>
  </si>
  <si>
    <t>HLCUNK2251124029</t>
  </si>
  <si>
    <t xml:space="preserve">12.3查验 </t>
  </si>
  <si>
    <t>12.4安排查验，报关单放行。</t>
  </si>
  <si>
    <t>222920250004617786</t>
  </si>
  <si>
    <t>COAU7264633580</t>
  </si>
  <si>
    <t>EGLV145599324004</t>
  </si>
  <si>
    <t>12.3因货物中有“焊条”，美的通知暂停申报，办理倒箱换货
12.18接美的通知，代理没有报计划做手续，货物已报关，需删单，重新做手续</t>
  </si>
  <si>
    <t>12.4准备倒箱换货资料，已办理成功，车队已拿走提货单
12.18等待通关代表删单。
12.19代理今天去联系外理领导处理</t>
  </si>
  <si>
    <t>230820250085784281</t>
  </si>
  <si>
    <t>TLNJBKJJ25231001</t>
  </si>
  <si>
    <t>330120250000047679</t>
  </si>
  <si>
    <t>177GJUJUJ512682W</t>
  </si>
  <si>
    <t>12.4查验</t>
  </si>
  <si>
    <t>12.5安排查验，报关单放行</t>
  </si>
  <si>
    <t>230820250085772882</t>
  </si>
  <si>
    <t xml:space="preserve">230820250085773772 </t>
  </si>
  <si>
    <t>177MJPJPJ011211W</t>
  </si>
  <si>
    <t>12.4申报审结，因美的仓库装货晚，导致延船，需要更改船名航次</t>
  </si>
  <si>
    <t>12.5提交改单申请更改完成</t>
  </si>
  <si>
    <t>222920250004633285</t>
  </si>
  <si>
    <t>SHACW25074257</t>
  </si>
  <si>
    <t xml:space="preserve">223320250002080052 </t>
  </si>
  <si>
    <t>02064938296</t>
  </si>
  <si>
    <t>12.2申报放行，样机含电池安检扣货，需删单退关</t>
  </si>
  <si>
    <t>12.8通关代表确认，代理提供在港证明，落货申请
12.9盖章资料给上海现场
12.10删单完成，货物已退关整改</t>
  </si>
  <si>
    <t>230820250085774866</t>
  </si>
  <si>
    <t>COSU6438009060</t>
  </si>
  <si>
    <t>12.5申报放行，代理通知更改船名航次</t>
  </si>
  <si>
    <t>12.8准备改单资料，已更改完成</t>
  </si>
  <si>
    <t>230820250085769725</t>
  </si>
  <si>
    <t>NOSNJ25MS48153</t>
  </si>
  <si>
    <t>12.1申报放行，12.8代理通知更改靠区</t>
  </si>
  <si>
    <t>HLCUSHA2511BDHW6</t>
  </si>
  <si>
    <t>12.9通知该票货物需要办理重出重回，拖回工厂验货。</t>
  </si>
  <si>
    <t>12.10美的资料已寄出到南京现场，重出已办好</t>
  </si>
  <si>
    <t>230520250055596319</t>
  </si>
  <si>
    <t>JNG0288010</t>
  </si>
  <si>
    <t>12.9查验</t>
  </si>
  <si>
    <t>12.10安排查验，追加人工查验，第4项电机需要倒箱验货
12.11申请人工查验，查验完毕，报关单已放行</t>
  </si>
  <si>
    <t>330120250000048265</t>
  </si>
  <si>
    <t>CAJ0154301</t>
  </si>
  <si>
    <t>12.9申报，运抵正常，未放行</t>
  </si>
  <si>
    <t>12.10做人工放行，货物已放行</t>
  </si>
  <si>
    <t>222920250004724756 无</t>
  </si>
  <si>
    <t>JJCSHKEBCY5224BB</t>
  </si>
  <si>
    <t>12.10查验</t>
  </si>
  <si>
    <t>12.11安排查验,报关单已放行</t>
  </si>
  <si>
    <t>230820250085771009</t>
  </si>
  <si>
    <t>COSU6435744410</t>
  </si>
  <si>
    <t>12.2申报放行，因货物验货资料有问题，故办理删单退关整改。</t>
  </si>
  <si>
    <t>12.11美的寄出资料办理退关手续
12.12转关退运手续已办好寄出，等待货物从上海带回龙潭后处理删单
12.19预计货物下周一到龙潭港，删单资料已寄出，倒箱换货资料已寄出
12.22货物已到龙潭，等待船代更改箱状态
12.23发起删单申请，海关审核不同意，要求提供退运相关资料
12.24删单完成。
12.25倒箱手续已办完</t>
  </si>
  <si>
    <t>230820250085780510</t>
  </si>
  <si>
    <t>177FJAJAJ09314Z</t>
  </si>
  <si>
    <t>12.12查验</t>
  </si>
  <si>
    <t>12.15安排查验</t>
  </si>
  <si>
    <t>230820250085779746</t>
  </si>
  <si>
    <t>12.12申报放行，代理推驳船需更改船名航次</t>
  </si>
  <si>
    <t>12.12申请更换船名航次，已更改</t>
  </si>
  <si>
    <t>230820250085780079</t>
  </si>
  <si>
    <t>JNG0290267</t>
  </si>
  <si>
    <t>12.12申报审结，因封航周一更改船名航次</t>
  </si>
  <si>
    <t>12.15申请更换船名航次，已更改完成</t>
  </si>
  <si>
    <t>江苏恒隆</t>
  </si>
  <si>
    <t>230820250085781761</t>
  </si>
  <si>
    <t>ONEYNK5GF2598800</t>
  </si>
  <si>
    <t>12.15因车队提供报关箱号有误，错误箱号：NKYU5277260，正确箱号：NYKU5277260。需要申请改单。</t>
  </si>
  <si>
    <t>12.15发起改单，更改箱号，置空船名航次，海关待受理
12.16海关审核不同意，要求补充集装箱修改申请表，整理资料重新提交
12.17已重新提交改单，已更改完成，报关单已放行</t>
  </si>
  <si>
    <t>230820250085781928</t>
  </si>
  <si>
    <t>ONEYNK5GF2590700</t>
  </si>
  <si>
    <t>12.15查验</t>
  </si>
  <si>
    <t>12.16安排查验，报关单放行</t>
  </si>
  <si>
    <t>230820250085781531</t>
  </si>
  <si>
    <t>COSU6437955650</t>
  </si>
  <si>
    <t>230820250085783573</t>
  </si>
  <si>
    <t>TLNJBKJU25141006</t>
  </si>
  <si>
    <t>12.16查验</t>
  </si>
  <si>
    <t>12.17安排查验，报关单放行。</t>
  </si>
  <si>
    <t>230820250085782728</t>
  </si>
  <si>
    <t>COAU7264642400</t>
  </si>
  <si>
    <t>12.17安排查验，追加人工查验
12.18人工查验，型号申报与货物不符，联系通关代表核实情况
第四项电机：标签、报关单是YXBT-45-4-38L，货上为YXBT-45-4-39L
第六项电机：标签、报关单上是YXB-120-4-394L，货上为YXB-120-4-396L
查验科已将单子流转到监管科，待通关代表提供情况说明
12.19美的提供情况说明，现场提交给海关审核，经现场沟通处理过，货物已放行
12.22代理更新船名航次，海关申请更改，已完成</t>
  </si>
  <si>
    <t>232720250275755867</t>
  </si>
  <si>
    <t>TLTCLCJH25141016</t>
  </si>
  <si>
    <t>12.17海关挂起，需要提供永磁同步电动机功能、原理、用途、货物图片、技术资料等，核实是否为两用物项</t>
  </si>
  <si>
    <t>12.18联系通关代表提供资料，补传后被海关退回，要求继续补充资料
12.19美的已提供补充说明，现场提交给海关审核不通过，需再次更改说明，等待海关审核
12.22等待海关审核，报关单已放行</t>
  </si>
  <si>
    <t>230820250085782792</t>
  </si>
  <si>
    <t>NOSNJ25MS48164</t>
  </si>
  <si>
    <t>12.16申报放行，12.18海关通知更改靠区</t>
  </si>
  <si>
    <t>12.18准备改单资料发起改单，改单已完成</t>
  </si>
  <si>
    <t>COSU6439071400</t>
  </si>
  <si>
    <t>12.18美的通知需要退柜 FFAU2765795，重出重回</t>
  </si>
  <si>
    <t>12.18准备重出重回资料
12.19待收到正本资料后办理，已办理成功</t>
  </si>
  <si>
    <t>230820250085786679</t>
  </si>
  <si>
    <t>SNLFNJPXSWY0939</t>
  </si>
  <si>
    <t>12.19查验</t>
  </si>
  <si>
    <t>12.22安排人工查验，报关单已放行</t>
  </si>
  <si>
    <t>230520250055599749</t>
  </si>
  <si>
    <t>EGLV145599858238</t>
  </si>
  <si>
    <t>12.19申报审结，12.22海关要求提供电机说明</t>
  </si>
  <si>
    <t>12.22联系通关代表提供情况说明，海关要求补充资料以证明电机不属于两用物项管制货物
12.23更新情况说明，海关审核要求继续提供电机变频器相关说明
12.24跟进海关处理进展
12.25美的方已提交新的情况说明给海关审核，报关单已放行，货物未码放。
12.26船代联系码头运维处理，已放行。</t>
  </si>
  <si>
    <t>232820250285647194</t>
  </si>
  <si>
    <t>JJCSHTHA543995</t>
  </si>
  <si>
    <t>12.22查验</t>
  </si>
  <si>
    <t>12.22人工查验，第四项散件材质与申报不符（实物为金属，申报资料为塑料），经特殊处理，报关单放行</t>
  </si>
  <si>
    <t>223320250002201935</t>
  </si>
  <si>
    <t>11201632875_ZS25120195</t>
  </si>
  <si>
    <t>12.20申报放行，样机含电池安检扣货，需删单退关整改</t>
  </si>
  <si>
    <t>12.22等待通关代表寄出资料
12.23发起删单申请，已操作成功</t>
  </si>
  <si>
    <t>222920250004890612</t>
  </si>
  <si>
    <t>JJCSHLCA544019A</t>
  </si>
  <si>
    <t>12.22申报放行，因舱单数据错误代理通知需要删单。</t>
  </si>
  <si>
    <t>12.22已删单完成。
我司做资料，现场非我司现场人员。</t>
  </si>
  <si>
    <t>230820250085787300</t>
  </si>
  <si>
    <t>COSU6438963890</t>
  </si>
  <si>
    <t>12.23安排查验，报关单放行</t>
  </si>
  <si>
    <t>230520250055600449</t>
  </si>
  <si>
    <t>HDMUNKGA35659000</t>
  </si>
  <si>
    <t>223120250005168381</t>
  </si>
  <si>
    <t>223320250002208548</t>
  </si>
  <si>
    <t>12.22查验，品名：磁铁</t>
  </si>
  <si>
    <t>12.23安排查验，查验已完成，远海通代结仓储费
12.24流转通关科处理扣单手续
12.25下午去海关签扣单手续，办理提货
12.26提货手续已办，远海通代结仓储费。</t>
  </si>
  <si>
    <t>230520250055600842</t>
  </si>
  <si>
    <t>JNG0291783</t>
  </si>
  <si>
    <t>12.23申报放行，美的通知推船</t>
  </si>
  <si>
    <t>12.24准备删改单资料 改单完成</t>
  </si>
  <si>
    <t>230820250085791234</t>
  </si>
  <si>
    <t>JNG0293254</t>
  </si>
  <si>
    <t>12.25查验</t>
  </si>
  <si>
    <t>12.26安排查验，报关单放行，申请更改船航次</t>
  </si>
  <si>
    <t>SHAPRIM5225065SOK</t>
  </si>
  <si>
    <t>12.25美的通知，已进港，未报关，FCIU9719865 有原木包装，没有熏蒸标识，需整票提离港区。</t>
  </si>
  <si>
    <t>12.25美的提离资料已寄出
12.29代理寄出未上船证明
12.30办理提离手续，港区数据为17件，资料与舱单都为18件，港区数据有误，需要更改港区数据
12.31港区数据已更改为18件，提离手续已办出</t>
  </si>
  <si>
    <t>230520250055601646</t>
  </si>
  <si>
    <t>12.25申报审结，品名含电机，申报已上传电机说明</t>
  </si>
  <si>
    <t xml:space="preserve">12.26与现场海关沟通，要求提供详细情况说明，联系通关代表处理，海关已放行。
后续的情况说明需规范提供，内容：设计参数、功能、产品本身的用途（产品自身用途，并非指其作用于特定物品上的用途，例如对于无人机，不能仅简单表述为不适用，而需阐明不能在无人机上使用的具体原因）。对于编码品名不同的商品项，不得进行概括性书写，需逐条详细描述。 </t>
  </si>
  <si>
    <t>230820250085792172</t>
  </si>
  <si>
    <t>12.26查验</t>
  </si>
  <si>
    <t>12.29安排查验，报关单放行</t>
  </si>
  <si>
    <t>230820250085792608</t>
  </si>
  <si>
    <t>PCSLJVL008251224</t>
  </si>
  <si>
    <t>230820250085792985</t>
  </si>
  <si>
    <t>COAU7265362500</t>
  </si>
  <si>
    <t>12.26申报审结，代理通知延船，未发EMF</t>
  </si>
  <si>
    <t>12.29代理提供新的船名航次，准备改单资料
12.30已提交改单完成，已码放。</t>
  </si>
  <si>
    <t xml:space="preserve">NOSNJ26MS48016 </t>
  </si>
  <si>
    <t>12.29货物已放行，代理通知推驳船，改配</t>
  </si>
  <si>
    <t>12.30更换船名航次，已更换成功</t>
  </si>
  <si>
    <t>230520250055602808</t>
  </si>
  <si>
    <t>EGLV145599859293</t>
  </si>
  <si>
    <t>12.29人工+机检查验，品名含电机</t>
  </si>
  <si>
    <t>12.30查验完成
12.31电机情况说明不符合海关要求，联系通关代表重新提供，海关审核后放行</t>
  </si>
  <si>
    <t>222920250005013269</t>
  </si>
  <si>
    <t>WG744UB0341</t>
  </si>
  <si>
    <t>12.30海关挂起，补充：G1-3：提供产品图片及尺寸</t>
  </si>
  <si>
    <t>12.30准备情况说明，货物已放行</t>
  </si>
  <si>
    <t xml:space="preserve">江苏美的清洁电器股份有限公司 </t>
  </si>
  <si>
    <t>232820250285651435</t>
  </si>
  <si>
    <t>12.30货物未进港，工厂未出货</t>
  </si>
  <si>
    <t>12.30发起删改单，已删单完成</t>
  </si>
  <si>
    <t>230820250085796510</t>
  </si>
  <si>
    <t>TLNJBKJU25151016</t>
  </si>
  <si>
    <t>12.30查验</t>
  </si>
  <si>
    <t>12.31查验完成 放行</t>
  </si>
  <si>
    <t>230820250085795723</t>
  </si>
  <si>
    <t>TLNJLCJU25151004</t>
  </si>
  <si>
    <t>230820250085796434</t>
  </si>
  <si>
    <t>COSU6438735580</t>
  </si>
  <si>
    <t>12.31申报放行，代理通知更换船名航次</t>
  </si>
  <si>
    <t>1.4申请更换船名航次</t>
  </si>
  <si>
    <t>230820250085796532</t>
  </si>
  <si>
    <t>177MJUJUJ059659W</t>
  </si>
  <si>
    <t>12.31查验</t>
  </si>
  <si>
    <t>12.31查验放行</t>
  </si>
  <si>
    <t>230820250085797112</t>
  </si>
  <si>
    <t>12.31更换船名航次成功</t>
  </si>
  <si>
    <t>230820250085796187</t>
  </si>
  <si>
    <t>HDMUNKGA08211700</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</si>
</sst>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_);[Red]\(0\)"/>
    <numFmt numFmtId="177" formatCode="yyyy/m/d;@"/>
    <numFmt numFmtId="178" formatCode="[$-F400]h:mm:ss\ AM/PM"/>
  </numFmts>
  <fonts count="34">
    <font>
      <sz val="11"/>
      <color theme="1"/>
      <name val="等线"/>
      <charset val="134"/>
      <scheme val="minor"/>
    </font>
    <font>
      <sz val="11"/>
      <color theme="1"/>
      <name val="微软雅黑"/>
      <charset val="134"/>
    </font>
    <font>
      <b/>
      <sz val="11"/>
      <color rgb="FFFFFFFF"/>
      <name val="微软雅黑"/>
      <charset val="134"/>
    </font>
    <font>
      <sz val="11"/>
      <name val="微软雅黑"/>
      <charset val="134"/>
    </font>
    <font>
      <sz val="11"/>
      <color rgb="FF000000"/>
      <name val="微软雅黑"/>
      <charset val="134"/>
    </font>
    <font>
      <sz val="10"/>
      <color theme="1"/>
      <name val="微软雅黑"/>
      <charset val="134"/>
    </font>
    <font>
      <b/>
      <sz val="12"/>
      <color theme="1"/>
      <name val="微软雅黑"/>
      <charset val="134"/>
    </font>
    <font>
      <b/>
      <sz val="11"/>
      <color theme="1"/>
      <name val="微软雅黑"/>
      <charset val="134"/>
    </font>
    <font>
      <b/>
      <sz val="10"/>
      <color rgb="FF000000"/>
      <name val="微软雅黑"/>
      <charset val="134"/>
    </font>
    <font>
      <sz val="10"/>
      <color rgb="FF000000"/>
      <name val="微软雅黑"/>
      <charset val="134"/>
    </font>
    <font>
      <sz val="11"/>
      <color rgb="FF000000"/>
      <name val="等线"/>
      <charset val="134"/>
    </font>
    <font>
      <b/>
      <sz val="12"/>
      <color rgb="FF000000"/>
      <name val="微软雅黑"/>
      <charset val="134"/>
    </font>
    <font>
      <b/>
      <sz val="11"/>
      <color rgb="FF000000"/>
      <name val="微软雅黑"/>
      <charset val="134"/>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1"/>
      <color theme="1"/>
      <name val="Times New Roman"/>
      <charset val="134"/>
    </font>
    <font>
      <b/>
      <sz val="9"/>
      <name val="宋体"/>
      <charset val="134"/>
    </font>
  </fonts>
  <fills count="39">
    <fill>
      <patternFill patternType="none"/>
    </fill>
    <fill>
      <patternFill patternType="gray125"/>
    </fill>
    <fill>
      <patternFill patternType="solid">
        <fgColor rgb="FF2F75B5"/>
        <bgColor indexed="64"/>
      </patternFill>
    </fill>
    <fill>
      <patternFill patternType="solid">
        <fgColor rgb="FF2F75B5"/>
        <bgColor rgb="FF000000"/>
      </patternFill>
    </fill>
    <fill>
      <patternFill patternType="solid">
        <fgColor theme="4" tint="0.399853511154515"/>
        <bgColor indexed="64"/>
      </patternFill>
    </fill>
    <fill>
      <patternFill patternType="solid">
        <fgColor rgb="FFB4C6E7"/>
        <bgColor indexed="64"/>
      </patternFill>
    </fill>
    <fill>
      <patternFill patternType="solid">
        <fgColor rgb="FFFFFFFF"/>
        <bgColor indexed="64"/>
      </patternFill>
    </fill>
    <fill>
      <patternFill patternType="solid">
        <fgColor rgb="FF9BC2E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6">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auto="1"/>
      </left>
      <right/>
      <top style="thin">
        <color auto="1"/>
      </top>
      <bottom/>
      <diagonal/>
    </border>
    <border>
      <left style="thin">
        <color auto="1"/>
      </left>
      <right/>
      <top/>
      <bottom/>
      <diagonal/>
    </border>
    <border>
      <left style="thin">
        <color auto="1"/>
      </left>
      <right/>
      <top/>
      <bottom style="thin">
        <color auto="1"/>
      </bottom>
      <diagonal/>
    </border>
    <border>
      <left/>
      <right/>
      <top/>
      <bottom style="thin">
        <color auto="1"/>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right/>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0" fillId="8" borderId="18" applyNumberFormat="0" applyFont="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0" borderId="19" applyNumberFormat="0" applyFill="0" applyAlignment="0" applyProtection="0">
      <alignment vertical="center"/>
    </xf>
    <xf numFmtId="0" fontId="19" fillId="0" borderId="19" applyNumberFormat="0" applyFill="0" applyAlignment="0" applyProtection="0">
      <alignment vertical="center"/>
    </xf>
    <xf numFmtId="0" fontId="20" fillId="0" borderId="20" applyNumberFormat="0" applyFill="0" applyAlignment="0" applyProtection="0">
      <alignment vertical="center"/>
    </xf>
    <xf numFmtId="0" fontId="20" fillId="0" borderId="0" applyNumberFormat="0" applyFill="0" applyBorder="0" applyAlignment="0" applyProtection="0">
      <alignment vertical="center"/>
    </xf>
    <xf numFmtId="0" fontId="21" fillId="9" borderId="21" applyNumberFormat="0" applyAlignment="0" applyProtection="0">
      <alignment vertical="center"/>
    </xf>
    <xf numFmtId="0" fontId="22" fillId="10" borderId="22" applyNumberFormat="0" applyAlignment="0" applyProtection="0">
      <alignment vertical="center"/>
    </xf>
    <xf numFmtId="0" fontId="23" fillId="10" borderId="21" applyNumberFormat="0" applyAlignment="0" applyProtection="0">
      <alignment vertical="center"/>
    </xf>
    <xf numFmtId="0" fontId="24" fillId="11" borderId="23" applyNumberFormat="0" applyAlignment="0" applyProtection="0">
      <alignment vertical="center"/>
    </xf>
    <xf numFmtId="0" fontId="25" fillId="0" borderId="24" applyNumberFormat="0" applyFill="0" applyAlignment="0" applyProtection="0">
      <alignment vertical="center"/>
    </xf>
    <xf numFmtId="0" fontId="26" fillId="0" borderId="25" applyNumberFormat="0" applyFill="0" applyAlignment="0" applyProtection="0">
      <alignment vertical="center"/>
    </xf>
    <xf numFmtId="0" fontId="27" fillId="12" borderId="0" applyNumberFormat="0" applyBorder="0" applyAlignment="0" applyProtection="0">
      <alignment vertical="center"/>
    </xf>
    <xf numFmtId="0" fontId="28" fillId="13" borderId="0" applyNumberFormat="0" applyBorder="0" applyAlignment="0" applyProtection="0">
      <alignment vertical="center"/>
    </xf>
    <xf numFmtId="0" fontId="29" fillId="14" borderId="0" applyNumberFormat="0" applyBorder="0" applyAlignment="0" applyProtection="0">
      <alignment vertical="center"/>
    </xf>
    <xf numFmtId="0" fontId="30" fillId="15" borderId="0" applyNumberFormat="0" applyBorder="0" applyAlignment="0" applyProtection="0">
      <alignment vertical="center"/>
    </xf>
    <xf numFmtId="0" fontId="31" fillId="16" borderId="0" applyNumberFormat="0" applyBorder="0" applyAlignment="0" applyProtection="0">
      <alignment vertical="center"/>
    </xf>
    <xf numFmtId="0" fontId="31" fillId="17" borderId="0" applyNumberFormat="0" applyBorder="0" applyAlignment="0" applyProtection="0">
      <alignment vertical="center"/>
    </xf>
    <xf numFmtId="0" fontId="30" fillId="18" borderId="0" applyNumberFormat="0" applyBorder="0" applyAlignment="0" applyProtection="0">
      <alignment vertical="center"/>
    </xf>
    <xf numFmtId="0" fontId="30" fillId="19" borderId="0" applyNumberFormat="0" applyBorder="0" applyAlignment="0" applyProtection="0">
      <alignment vertical="center"/>
    </xf>
    <xf numFmtId="0" fontId="31" fillId="20" borderId="0" applyNumberFormat="0" applyBorder="0" applyAlignment="0" applyProtection="0">
      <alignment vertical="center"/>
    </xf>
    <xf numFmtId="0" fontId="31" fillId="21" borderId="0" applyNumberFormat="0" applyBorder="0" applyAlignment="0" applyProtection="0">
      <alignment vertical="center"/>
    </xf>
    <xf numFmtId="0" fontId="30" fillId="22" borderId="0" applyNumberFormat="0" applyBorder="0" applyAlignment="0" applyProtection="0">
      <alignment vertical="center"/>
    </xf>
    <xf numFmtId="0" fontId="30" fillId="23" borderId="0" applyNumberFormat="0" applyBorder="0" applyAlignment="0" applyProtection="0">
      <alignment vertical="center"/>
    </xf>
    <xf numFmtId="0" fontId="31" fillId="24" borderId="0" applyNumberFormat="0" applyBorder="0" applyAlignment="0" applyProtection="0">
      <alignment vertical="center"/>
    </xf>
    <xf numFmtId="0" fontId="31" fillId="25" borderId="0" applyNumberFormat="0" applyBorder="0" applyAlignment="0" applyProtection="0">
      <alignment vertical="center"/>
    </xf>
    <xf numFmtId="0" fontId="30" fillId="26" borderId="0" applyNumberFormat="0" applyBorder="0" applyAlignment="0" applyProtection="0">
      <alignment vertical="center"/>
    </xf>
    <xf numFmtId="0" fontId="30" fillId="27" borderId="0" applyNumberFormat="0" applyBorder="0" applyAlignment="0" applyProtection="0">
      <alignment vertical="center"/>
    </xf>
    <xf numFmtId="0" fontId="31" fillId="28" borderId="0" applyNumberFormat="0" applyBorder="0" applyAlignment="0" applyProtection="0">
      <alignment vertical="center"/>
    </xf>
    <xf numFmtId="0" fontId="31" fillId="29" borderId="0" applyNumberFormat="0" applyBorder="0" applyAlignment="0" applyProtection="0">
      <alignment vertical="center"/>
    </xf>
    <xf numFmtId="0" fontId="30" fillId="30" borderId="0" applyNumberFormat="0" applyBorder="0" applyAlignment="0" applyProtection="0">
      <alignment vertical="center"/>
    </xf>
    <xf numFmtId="0" fontId="30" fillId="31" borderId="0" applyNumberFormat="0" applyBorder="0" applyAlignment="0" applyProtection="0">
      <alignment vertical="center"/>
    </xf>
    <xf numFmtId="0" fontId="31" fillId="32" borderId="0" applyNumberFormat="0" applyBorder="0" applyAlignment="0" applyProtection="0">
      <alignment vertical="center"/>
    </xf>
    <xf numFmtId="0" fontId="31" fillId="33" borderId="0" applyNumberFormat="0" applyBorder="0" applyAlignment="0" applyProtection="0">
      <alignment vertical="center"/>
    </xf>
    <xf numFmtId="0" fontId="30" fillId="34" borderId="0" applyNumberFormat="0" applyBorder="0" applyAlignment="0" applyProtection="0">
      <alignment vertical="center"/>
    </xf>
    <xf numFmtId="0" fontId="30" fillId="35" borderId="0" applyNumberFormat="0" applyBorder="0" applyAlignment="0" applyProtection="0">
      <alignment vertical="center"/>
    </xf>
    <xf numFmtId="0" fontId="31" fillId="36" borderId="0" applyNumberFormat="0" applyBorder="0" applyAlignment="0" applyProtection="0">
      <alignment vertical="center"/>
    </xf>
    <xf numFmtId="0" fontId="31" fillId="37" borderId="0" applyNumberFormat="0" applyBorder="0" applyAlignment="0" applyProtection="0">
      <alignment vertical="center"/>
    </xf>
    <xf numFmtId="0" fontId="30" fillId="38" borderId="0" applyNumberFormat="0" applyBorder="0" applyAlignment="0" applyProtection="0">
      <alignment vertical="center"/>
    </xf>
  </cellStyleXfs>
  <cellXfs count="115">
    <xf numFmtId="0" fontId="0" fillId="0" borderId="0" xfId="0"/>
    <xf numFmtId="0" fontId="1" fillId="0" borderId="0" xfId="0" applyFont="1" applyAlignment="1">
      <alignment horizontal="left" vertical="center"/>
    </xf>
    <xf numFmtId="0" fontId="1" fillId="0" borderId="0" xfId="0" applyFont="1" applyAlignment="1">
      <alignment horizontal="center" vertical="center"/>
    </xf>
    <xf numFmtId="0" fontId="1" fillId="0" borderId="0" xfId="0" applyFont="1" applyBorder="1" applyAlignment="1">
      <alignment horizontal="left" vertical="center"/>
    </xf>
    <xf numFmtId="176" fontId="2" fillId="2" borderId="1" xfId="0" applyNumberFormat="1" applyFont="1" applyFill="1" applyBorder="1" applyAlignment="1">
      <alignment horizontal="left" vertical="center"/>
    </xf>
    <xf numFmtId="177" fontId="2" fillId="3" borderId="1" xfId="0" applyNumberFormat="1" applyFont="1" applyFill="1" applyBorder="1" applyAlignment="1">
      <alignment horizontal="center" vertical="center"/>
    </xf>
    <xf numFmtId="178" fontId="2" fillId="2" borderId="1" xfId="0" applyNumberFormat="1" applyFont="1" applyFill="1" applyBorder="1" applyAlignment="1">
      <alignment horizontal="left" vertical="center"/>
    </xf>
    <xf numFmtId="178" fontId="2" fillId="3" borderId="1" xfId="0" applyNumberFormat="1" applyFont="1" applyFill="1" applyBorder="1" applyAlignment="1">
      <alignment horizontal="left" vertical="center"/>
    </xf>
    <xf numFmtId="178" fontId="2" fillId="2" borderId="1" xfId="0" applyNumberFormat="1" applyFont="1" applyFill="1" applyBorder="1" applyAlignment="1">
      <alignment horizontal="left" vertical="center" wrapText="1"/>
    </xf>
    <xf numFmtId="178" fontId="2" fillId="2" borderId="1" xfId="0" applyNumberFormat="1" applyFont="1" applyFill="1" applyBorder="1" applyAlignment="1">
      <alignment horizontal="center" vertical="center" wrapText="1"/>
    </xf>
    <xf numFmtId="176" fontId="2" fillId="2" borderId="1" xfId="0" applyNumberFormat="1" applyFont="1" applyFill="1" applyBorder="1" applyAlignment="1">
      <alignment horizontal="left" vertical="center" wrapText="1"/>
    </xf>
    <xf numFmtId="176" fontId="2" fillId="2" borderId="2" xfId="0" applyNumberFormat="1" applyFont="1" applyFill="1" applyBorder="1" applyAlignment="1">
      <alignment horizontal="left" vertical="center" wrapText="1"/>
    </xf>
    <xf numFmtId="176" fontId="2" fillId="2" borderId="3" xfId="0" applyNumberFormat="1" applyFont="1" applyFill="1" applyBorder="1" applyAlignment="1">
      <alignment horizontal="left" vertical="center" wrapText="1"/>
    </xf>
    <xf numFmtId="176" fontId="3" fillId="0" borderId="1" xfId="0" applyNumberFormat="1" applyFont="1" applyBorder="1" applyAlignment="1">
      <alignment horizontal="left" vertical="center"/>
    </xf>
    <xf numFmtId="58" fontId="1" fillId="0" borderId="1" xfId="0" applyNumberFormat="1" applyFont="1" applyBorder="1" applyAlignment="1">
      <alignment horizontal="center" vertical="center"/>
    </xf>
    <xf numFmtId="178" fontId="3" fillId="0" borderId="1" xfId="0" applyNumberFormat="1" applyFont="1" applyBorder="1" applyAlignment="1">
      <alignment horizontal="left" vertical="center"/>
    </xf>
    <xf numFmtId="0" fontId="1" fillId="0" borderId="1" xfId="0" applyFont="1" applyBorder="1" applyAlignment="1">
      <alignment horizontal="left" vertical="center"/>
    </xf>
    <xf numFmtId="49" fontId="3" fillId="0" borderId="1" xfId="0" applyNumberFormat="1" applyFont="1" applyBorder="1" applyAlignment="1">
      <alignment horizontal="left" vertical="center"/>
    </xf>
    <xf numFmtId="178" fontId="3" fillId="0" borderId="1" xfId="0" applyNumberFormat="1" applyFont="1" applyBorder="1" applyAlignment="1">
      <alignment horizontal="left" vertical="center" wrapText="1"/>
    </xf>
    <xf numFmtId="178" fontId="3" fillId="0" borderId="1" xfId="0" applyNumberFormat="1" applyFont="1" applyBorder="1" applyAlignment="1">
      <alignment horizontal="center" vertical="center" wrapText="1"/>
    </xf>
    <xf numFmtId="176" fontId="3" fillId="0" borderId="1" xfId="0" applyNumberFormat="1" applyFont="1" applyBorder="1" applyAlignment="1">
      <alignment horizontal="left" vertical="center" wrapText="1"/>
    </xf>
    <xf numFmtId="176" fontId="3" fillId="0" borderId="2" xfId="0" applyNumberFormat="1" applyFont="1" applyBorder="1" applyAlignment="1">
      <alignment horizontal="left" vertical="center" wrapText="1"/>
    </xf>
    <xf numFmtId="0" fontId="1" fillId="0" borderId="3" xfId="0" applyFont="1" applyBorder="1" applyAlignment="1">
      <alignment horizontal="left" vertical="center"/>
    </xf>
    <xf numFmtId="0" fontId="1" fillId="0" borderId="2" xfId="0" applyFont="1" applyBorder="1" applyAlignment="1">
      <alignment horizontal="left" vertical="center"/>
    </xf>
    <xf numFmtId="0" fontId="4" fillId="0" borderId="3" xfId="0" applyFont="1" applyBorder="1" applyAlignment="1">
      <alignment horizontal="left" vertical="center"/>
    </xf>
    <xf numFmtId="49" fontId="1" fillId="0" borderId="1" xfId="0" applyNumberFormat="1" applyFont="1" applyBorder="1" applyAlignment="1">
      <alignment horizontal="left" vertical="center"/>
    </xf>
    <xf numFmtId="0" fontId="1" fillId="0" borderId="1" xfId="0" applyFont="1" applyBorder="1" applyAlignment="1">
      <alignment horizontal="left" vertical="center" wrapText="1"/>
    </xf>
    <xf numFmtId="0" fontId="1" fillId="0" borderId="1" xfId="0" applyFont="1" applyBorder="1" applyAlignment="1">
      <alignment horizontal="center" vertical="center"/>
    </xf>
    <xf numFmtId="49" fontId="1" fillId="0" borderId="1" xfId="0" applyNumberFormat="1" applyFont="1" applyBorder="1" applyAlignment="1">
      <alignment horizontal="left" vertical="center" wrapText="1"/>
    </xf>
    <xf numFmtId="0" fontId="5" fillId="0" borderId="1" xfId="0" applyFont="1" applyBorder="1" applyAlignment="1">
      <alignment vertical="center" wrapText="1"/>
    </xf>
    <xf numFmtId="0" fontId="1" fillId="0" borderId="4" xfId="0" applyFont="1" applyBorder="1" applyAlignment="1">
      <alignment horizontal="center" vertical="center" wrapText="1"/>
    </xf>
    <xf numFmtId="0" fontId="1" fillId="0" borderId="4" xfId="0" applyFont="1" applyBorder="1" applyAlignment="1">
      <alignment horizontal="center" vertical="center"/>
    </xf>
    <xf numFmtId="0" fontId="1" fillId="0" borderId="4" xfId="0" applyFont="1" applyBorder="1" applyAlignment="1">
      <alignment horizontal="left" vertical="center" wrapText="1"/>
    </xf>
    <xf numFmtId="0" fontId="1" fillId="0" borderId="5" xfId="0" applyFont="1" applyBorder="1" applyAlignment="1">
      <alignment horizontal="center" vertical="center" wrapText="1"/>
    </xf>
    <xf numFmtId="0" fontId="1" fillId="0" borderId="5" xfId="0" applyFont="1" applyBorder="1" applyAlignment="1">
      <alignment horizontal="center" vertical="center"/>
    </xf>
    <xf numFmtId="0" fontId="1" fillId="0" borderId="5" xfId="0" applyFont="1" applyBorder="1" applyAlignment="1">
      <alignment horizontal="left" vertical="center" wrapText="1"/>
    </xf>
    <xf numFmtId="0" fontId="1" fillId="0" borderId="1" xfId="0" applyFont="1" applyBorder="1" applyAlignment="1">
      <alignment vertical="center"/>
    </xf>
    <xf numFmtId="0" fontId="1" fillId="0" borderId="1" xfId="0" applyFont="1" applyBorder="1" applyAlignment="1">
      <alignment vertical="center" wrapText="1"/>
    </xf>
    <xf numFmtId="0" fontId="1" fillId="0" borderId="2" xfId="0" applyFont="1" applyBorder="1" applyAlignment="1">
      <alignment vertical="center"/>
    </xf>
    <xf numFmtId="0" fontId="1" fillId="0" borderId="6" xfId="0" applyFont="1" applyBorder="1" applyAlignment="1">
      <alignment horizontal="center" vertical="center" wrapText="1"/>
    </xf>
    <xf numFmtId="0" fontId="1" fillId="0" borderId="0" xfId="0" applyFont="1" applyAlignment="1">
      <alignment horizontal="left" vertical="center" wrapText="1"/>
    </xf>
    <xf numFmtId="0" fontId="0" fillId="0" borderId="0" xfId="0" applyFont="1" applyAlignment="1">
      <alignment wrapText="1"/>
    </xf>
    <xf numFmtId="0" fontId="1" fillId="0" borderId="4" xfId="0" applyFont="1" applyBorder="1" applyAlignment="1">
      <alignment horizontal="left" vertical="top" wrapText="1"/>
    </xf>
    <xf numFmtId="0" fontId="1" fillId="0" borderId="5" xfId="0" applyFont="1" applyBorder="1" applyAlignment="1">
      <alignment horizontal="left" vertical="top" wrapText="1"/>
    </xf>
    <xf numFmtId="0" fontId="0" fillId="0" borderId="3" xfId="0" applyBorder="1"/>
    <xf numFmtId="0" fontId="1" fillId="0" borderId="1" xfId="0" applyFont="1" applyBorder="1" applyAlignment="1">
      <alignment horizontal="left" vertical="top" wrapText="1"/>
    </xf>
    <xf numFmtId="0" fontId="1" fillId="0" borderId="4" xfId="0" applyFont="1" applyBorder="1" applyAlignment="1">
      <alignment horizontal="left" vertical="center"/>
    </xf>
    <xf numFmtId="0" fontId="1" fillId="0" borderId="7" xfId="0" applyFont="1" applyBorder="1" applyAlignment="1">
      <alignment horizontal="left" vertical="center"/>
    </xf>
    <xf numFmtId="0" fontId="1" fillId="0" borderId="6" xfId="0" applyFont="1" applyBorder="1" applyAlignment="1">
      <alignment horizontal="left" vertical="center" wrapText="1"/>
    </xf>
    <xf numFmtId="0" fontId="1" fillId="0" borderId="8" xfId="0" applyFont="1" applyBorder="1" applyAlignment="1">
      <alignment horizontal="left" vertical="center"/>
    </xf>
    <xf numFmtId="0" fontId="1" fillId="0" borderId="9" xfId="0" applyFont="1" applyBorder="1" applyAlignment="1">
      <alignment horizontal="left" vertical="center"/>
    </xf>
    <xf numFmtId="0" fontId="1" fillId="0" borderId="7" xfId="0" applyFont="1" applyBorder="1" applyAlignment="1">
      <alignment horizontal="center" vertical="center"/>
    </xf>
    <xf numFmtId="0" fontId="1" fillId="0" borderId="8" xfId="0" applyFont="1" applyBorder="1" applyAlignment="1">
      <alignment horizontal="center" vertical="center"/>
    </xf>
    <xf numFmtId="0" fontId="1" fillId="0" borderId="9" xfId="0" applyFont="1" applyBorder="1" applyAlignment="1">
      <alignment horizontal="center" vertical="center"/>
    </xf>
    <xf numFmtId="0" fontId="1" fillId="0" borderId="6" xfId="0" applyFont="1" applyBorder="1" applyAlignment="1">
      <alignment horizontal="center" vertical="center"/>
    </xf>
    <xf numFmtId="0" fontId="4" fillId="0" borderId="0" xfId="0" applyFont="1" applyAlignment="1">
      <alignment horizontal="left" vertical="center"/>
    </xf>
    <xf numFmtId="0" fontId="4" fillId="0" borderId="0" xfId="0" applyFont="1" applyBorder="1" applyAlignment="1">
      <alignment horizontal="left" vertical="center"/>
    </xf>
    <xf numFmtId="0" fontId="1" fillId="0" borderId="0" xfId="0" applyFont="1" applyAlignment="1">
      <alignment vertical="center"/>
    </xf>
    <xf numFmtId="0" fontId="6" fillId="0" borderId="10" xfId="0" applyFont="1" applyBorder="1" applyAlignment="1">
      <alignment horizontal="center" vertical="center"/>
    </xf>
    <xf numFmtId="0" fontId="6" fillId="0" borderId="10" xfId="0" applyFont="1" applyBorder="1" applyAlignment="1">
      <alignment horizontal="left" vertical="center"/>
    </xf>
    <xf numFmtId="0" fontId="7" fillId="4" borderId="1" xfId="0" applyFont="1" applyFill="1" applyBorder="1" applyAlignment="1">
      <alignment horizontal="center" vertical="center"/>
    </xf>
    <xf numFmtId="0" fontId="7" fillId="4" borderId="1" xfId="0" applyFont="1" applyFill="1" applyBorder="1" applyAlignment="1">
      <alignment horizontal="left" vertical="center"/>
    </xf>
    <xf numFmtId="0" fontId="0" fillId="0" borderId="0" xfId="0" applyAlignment="1">
      <alignment horizontal="center"/>
    </xf>
    <xf numFmtId="0" fontId="8" fillId="5" borderId="3" xfId="0" applyFont="1" applyFill="1" applyBorder="1" applyAlignment="1">
      <alignment horizontal="center" vertical="center"/>
    </xf>
    <xf numFmtId="0" fontId="8" fillId="5" borderId="0" xfId="0" applyFont="1" applyFill="1" applyAlignment="1">
      <alignment horizontal="center" vertical="center"/>
    </xf>
    <xf numFmtId="178" fontId="9" fillId="6" borderId="3" xfId="0" applyNumberFormat="1" applyFont="1" applyFill="1" applyBorder="1" applyAlignment="1">
      <alignment horizontal="center" vertical="center"/>
    </xf>
    <xf numFmtId="0" fontId="9" fillId="6" borderId="3" xfId="0" applyFont="1" applyFill="1" applyBorder="1" applyAlignment="1">
      <alignment horizontal="center" vertical="center"/>
    </xf>
    <xf numFmtId="178" fontId="9" fillId="6" borderId="3" xfId="0" applyNumberFormat="1" applyFont="1" applyFill="1" applyBorder="1" applyAlignment="1">
      <alignment horizontal="center"/>
    </xf>
    <xf numFmtId="49" fontId="9" fillId="6" borderId="3" xfId="0" applyNumberFormat="1" applyFont="1" applyFill="1" applyBorder="1" applyAlignment="1">
      <alignment horizontal="center" vertical="center"/>
    </xf>
    <xf numFmtId="49" fontId="4" fillId="6" borderId="3" xfId="0" applyNumberFormat="1" applyFont="1" applyFill="1" applyBorder="1" applyAlignment="1">
      <alignment horizontal="center" vertical="center"/>
    </xf>
    <xf numFmtId="0" fontId="0" fillId="0" borderId="0" xfId="0" applyBorder="1" applyAlignment="1">
      <alignment horizontal="center" vertical="center"/>
    </xf>
    <xf numFmtId="0" fontId="4" fillId="0" borderId="0" xfId="0" applyFont="1" applyBorder="1" applyAlignment="1">
      <alignment horizontal="center" vertical="center"/>
    </xf>
    <xf numFmtId="177" fontId="2" fillId="3" borderId="11" xfId="0" applyNumberFormat="1" applyFont="1" applyFill="1" applyBorder="1" applyAlignment="1">
      <alignment horizontal="center" vertical="center"/>
    </xf>
    <xf numFmtId="177" fontId="2" fillId="3" borderId="12" xfId="0" applyNumberFormat="1" applyFont="1" applyFill="1" applyBorder="1" applyAlignment="1">
      <alignment horizontal="center" vertical="center"/>
    </xf>
    <xf numFmtId="178" fontId="2" fillId="2" borderId="3" xfId="0" applyNumberFormat="1" applyFont="1" applyFill="1" applyBorder="1" applyAlignment="1">
      <alignment horizontal="left" vertical="center"/>
    </xf>
    <xf numFmtId="178" fontId="2" fillId="2" borderId="11" xfId="0" applyNumberFormat="1" applyFont="1" applyFill="1" applyBorder="1" applyAlignment="1">
      <alignment horizontal="left" vertical="center"/>
    </xf>
    <xf numFmtId="178" fontId="2" fillId="3" borderId="3" xfId="0" applyNumberFormat="1" applyFont="1" applyFill="1" applyBorder="1" applyAlignment="1">
      <alignment horizontal="left" vertical="center"/>
    </xf>
    <xf numFmtId="178" fontId="2" fillId="2" borderId="13" xfId="0" applyNumberFormat="1" applyFont="1" applyFill="1" applyBorder="1" applyAlignment="1">
      <alignment horizontal="left" vertical="center" wrapText="1"/>
    </xf>
    <xf numFmtId="176" fontId="2" fillId="2" borderId="3" xfId="0" applyNumberFormat="1" applyFont="1" applyFill="1" applyBorder="1" applyAlignment="1">
      <alignment horizontal="center" vertical="center" wrapText="1"/>
    </xf>
    <xf numFmtId="176" fontId="2" fillId="2" borderId="11" xfId="0" applyNumberFormat="1" applyFont="1" applyFill="1" applyBorder="1" applyAlignment="1">
      <alignment horizontal="left" vertical="center" wrapText="1"/>
    </xf>
    <xf numFmtId="176" fontId="2" fillId="2" borderId="3" xfId="0" applyNumberFormat="1" applyFont="1" applyFill="1" applyBorder="1" applyAlignment="1">
      <alignment horizontal="left" vertical="center" wrapText="1"/>
    </xf>
    <xf numFmtId="176" fontId="2" fillId="2" borderId="13" xfId="0" applyNumberFormat="1" applyFont="1" applyFill="1" applyBorder="1" applyAlignment="1">
      <alignment horizontal="left" vertical="center" wrapText="1"/>
    </xf>
    <xf numFmtId="0" fontId="10" fillId="0" borderId="0" xfId="0" applyFont="1"/>
    <xf numFmtId="0" fontId="10" fillId="0" borderId="3" xfId="0" applyFont="1" applyBorder="1" applyAlignment="1">
      <alignment horizontal="center" vertical="center"/>
    </xf>
    <xf numFmtId="58" fontId="4" fillId="0" borderId="12" xfId="0" applyNumberFormat="1" applyFont="1" applyBorder="1" applyAlignment="1">
      <alignment horizontal="center" vertical="center"/>
    </xf>
    <xf numFmtId="0" fontId="4" fillId="0" borderId="3" xfId="0" applyFont="1" applyBorder="1" applyAlignment="1">
      <alignment horizontal="left" vertical="center"/>
    </xf>
    <xf numFmtId="0" fontId="4" fillId="0" borderId="11" xfId="0" applyFont="1" applyBorder="1" applyAlignment="1">
      <alignment horizontal="left" vertical="center"/>
    </xf>
    <xf numFmtId="49" fontId="4" fillId="0" borderId="3" xfId="0" applyNumberFormat="1" applyFont="1" applyBorder="1" applyAlignment="1">
      <alignment horizontal="left" vertical="center"/>
    </xf>
    <xf numFmtId="0" fontId="4" fillId="0" borderId="3" xfId="0" applyFont="1" applyBorder="1" applyAlignment="1">
      <alignment horizontal="left" vertical="center" wrapText="1"/>
    </xf>
    <xf numFmtId="0" fontId="4" fillId="0" borderId="14" xfId="0" applyFont="1" applyBorder="1" applyAlignment="1">
      <alignment horizontal="center" vertical="center"/>
    </xf>
    <xf numFmtId="0" fontId="4" fillId="0" borderId="13" xfId="0" applyFont="1" applyBorder="1" applyAlignment="1">
      <alignment horizontal="left" vertical="center"/>
    </xf>
    <xf numFmtId="0" fontId="10" fillId="0" borderId="3" xfId="0" applyFont="1" applyBorder="1"/>
    <xf numFmtId="0" fontId="4" fillId="0" borderId="3" xfId="0" applyFont="1" applyBorder="1" applyAlignment="1">
      <alignment horizontal="center" vertical="center"/>
    </xf>
    <xf numFmtId="0" fontId="4" fillId="0" borderId="3" xfId="0" applyFont="1" applyBorder="1" applyAlignment="1">
      <alignment horizontal="center" vertical="center" wrapText="1"/>
    </xf>
    <xf numFmtId="0" fontId="4" fillId="0" borderId="14" xfId="0" applyFont="1" applyBorder="1" applyAlignment="1">
      <alignment horizontal="left" vertical="center" wrapText="1"/>
    </xf>
    <xf numFmtId="0" fontId="4" fillId="0" borderId="15" xfId="0" applyFont="1" applyBorder="1" applyAlignment="1">
      <alignment horizontal="center" vertical="center"/>
    </xf>
    <xf numFmtId="0" fontId="4" fillId="0" borderId="13" xfId="0" applyFont="1" applyBorder="1" applyAlignment="1">
      <alignment horizontal="left" vertical="center" wrapText="1"/>
    </xf>
    <xf numFmtId="0" fontId="4" fillId="0" borderId="0" xfId="0" applyFont="1" applyAlignment="1">
      <alignment horizontal="left" vertical="center"/>
    </xf>
    <xf numFmtId="58" fontId="4" fillId="0" borderId="12" xfId="0" applyNumberFormat="1" applyFont="1" applyBorder="1" applyAlignment="1">
      <alignment horizontal="left" vertical="center" wrapText="1"/>
    </xf>
    <xf numFmtId="0" fontId="4" fillId="0" borderId="0" xfId="0" applyFont="1" applyAlignment="1">
      <alignment horizontal="left" vertical="center" wrapText="1"/>
    </xf>
    <xf numFmtId="0" fontId="4" fillId="0" borderId="16" xfId="0" applyFont="1" applyBorder="1" applyAlignment="1">
      <alignment horizontal="center" vertical="center"/>
    </xf>
    <xf numFmtId="0" fontId="4" fillId="0" borderId="15" xfId="0" applyFont="1" applyBorder="1" applyAlignment="1">
      <alignment horizontal="left" vertical="center"/>
    </xf>
    <xf numFmtId="58" fontId="4" fillId="0" borderId="13" xfId="0" applyNumberFormat="1" applyFont="1" applyBorder="1" applyAlignment="1">
      <alignment horizontal="center" vertical="center"/>
    </xf>
    <xf numFmtId="58" fontId="4" fillId="0" borderId="13" xfId="0" applyNumberFormat="1" applyFont="1" applyBorder="1" applyAlignment="1">
      <alignment horizontal="left" vertical="center"/>
    </xf>
    <xf numFmtId="58" fontId="4" fillId="0" borderId="13" xfId="0" applyNumberFormat="1" applyFont="1" applyBorder="1" applyAlignment="1">
      <alignment horizontal="left" vertical="center" wrapText="1"/>
    </xf>
    <xf numFmtId="0" fontId="4" fillId="0" borderId="15" xfId="0" applyFont="1" applyBorder="1" applyAlignment="1">
      <alignment horizontal="left" vertical="center" wrapText="1"/>
    </xf>
    <xf numFmtId="20" fontId="4" fillId="0" borderId="3" xfId="0" applyNumberFormat="1" applyFont="1" applyBorder="1" applyAlignment="1">
      <alignment horizontal="left" vertical="center" wrapText="1"/>
    </xf>
    <xf numFmtId="58" fontId="4" fillId="0" borderId="11" xfId="0" applyNumberFormat="1" applyFont="1" applyBorder="1" applyAlignment="1">
      <alignment horizontal="left" vertical="center" wrapText="1"/>
    </xf>
    <xf numFmtId="0" fontId="11" fillId="0" borderId="17" xfId="0" applyFont="1" applyBorder="1" applyAlignment="1">
      <alignment horizontal="center" vertical="center"/>
    </xf>
    <xf numFmtId="0" fontId="12" fillId="7" borderId="3" xfId="0" applyFont="1" applyFill="1" applyBorder="1" applyAlignment="1">
      <alignment horizontal="center" vertical="center"/>
    </xf>
    <xf numFmtId="0" fontId="12" fillId="7" borderId="3" xfId="0" applyFont="1" applyFill="1" applyBorder="1" applyAlignment="1">
      <alignment horizontal="left" vertical="center"/>
    </xf>
    <xf numFmtId="58" fontId="4" fillId="0" borderId="3" xfId="0" applyNumberFormat="1" applyFont="1" applyBorder="1" applyAlignment="1">
      <alignment horizontal="center" vertical="center"/>
    </xf>
    <xf numFmtId="0" fontId="4" fillId="0" borderId="3" xfId="0" applyFont="1" applyBorder="1" applyAlignment="1">
      <alignment vertical="center" wrapText="1"/>
    </xf>
    <xf numFmtId="0" fontId="4" fillId="0" borderId="0" xfId="0" applyFont="1" applyAlignment="1">
      <alignment horizontal="center" vertical="center"/>
    </xf>
    <xf numFmtId="0" fontId="4" fillId="0" borderId="3" xfId="0" applyFont="1" applyBorder="1" applyAlignment="1">
      <alignment vertical="center"/>
    </xf>
    <xf numFmtId="49" fontId="1" fillId="0" borderId="1" xfId="0" applyNumberFormat="1" applyFont="1" applyBorder="1" applyAlignment="1" quotePrefix="1">
      <alignment horizontal="left" vertical="center"/>
    </xf>
    <xf numFmtId="0" fontId="1" fillId="0" borderId="1" xfId="0" applyFont="1" applyBorder="1" applyAlignment="1" quotePrefix="1">
      <alignment horizontal="left" vertical="center"/>
    </xf>
    <xf numFmtId="0" fontId="1" fillId="0" borderId="0" xfId="0" applyFont="1" applyAlignment="1" quotePrefix="1">
      <alignment horizontal="lef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3">
    <dxf>
      <fill>
        <patternFill patternType="solid">
          <bgColor rgb="FFFF0C01"/>
        </patternFill>
      </fill>
    </dxf>
    <dxf>
      <fill>
        <patternFill patternType="solid">
          <bgColor rgb="FFFF9900"/>
        </patternFill>
      </fill>
    </dxf>
    <dxf>
      <fill>
        <patternFill patternType="solid">
          <bgColor rgb="FFFF99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customXml" Target="../customXml/item4.xml"/><Relationship Id="rId8" Type="http://schemas.openxmlformats.org/officeDocument/2006/relationships/customXml" Target="../customXml/item3.xml"/><Relationship Id="rId7" Type="http://schemas.openxmlformats.org/officeDocument/2006/relationships/customXml" Target="../customXml/item2.xml"/><Relationship Id="rId6" Type="http://schemas.openxmlformats.org/officeDocument/2006/relationships/customXml" Target="../customXml/item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3" Type="http://schemas.openxmlformats.org/officeDocument/2006/relationships/styles" Target="styles.xml"/><Relationship Id="rId12" Type="http://schemas.openxmlformats.org/officeDocument/2006/relationships/sharedStrings" Target="sharedStrings.xml"/><Relationship Id="rId11" Type="http://schemas.openxmlformats.org/officeDocument/2006/relationships/theme" Target="theme/theme1.xml"/><Relationship Id="rId10" Type="http://schemas.openxmlformats.org/officeDocument/2006/relationships/externalLink" Target="externalLinks/externalLink1.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cosco\Documents\WXWork\1688854694510883\Cache\File\2025-05\&#21326;&#19996;&#21475;&#23736;&#30003;&#25253;&#26085;&#25253;&#20851;&#24773;&#20917;-5.11(2).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日报关情况"/>
      <sheetName val="异常跟踪表"/>
      <sheetName val="Sheet3"/>
    </sheetNames>
    <sheetDataSet>
      <sheetData sheetId="0" refreshError="1"/>
      <sheetData sheetId="1" refreshError="1"/>
      <sheetData sheetId="2" refreshError="1">
        <row r="1">
          <cell r="A1" t="str">
            <v>经营单位</v>
          </cell>
          <cell r="B1" t="str">
            <v>事业部</v>
          </cell>
        </row>
        <row r="2">
          <cell r="A2" t="str">
            <v>广东美的制冷设备有限公司</v>
          </cell>
          <cell r="B2" t="str">
            <v>家用空调</v>
          </cell>
        </row>
        <row r="3">
          <cell r="A3" t="str">
            <v>广州华凌制冷设备有限公司</v>
          </cell>
          <cell r="B3" t="str">
            <v>家用空调</v>
          </cell>
        </row>
        <row r="4">
          <cell r="A4" t="str">
            <v>佛山市美的开利制冷设备有限公司</v>
          </cell>
          <cell r="B4" t="str">
            <v>家用空调</v>
          </cell>
        </row>
        <row r="5">
          <cell r="A5" t="str">
            <v>广东美智联达物流供应链有限公司</v>
          </cell>
          <cell r="B5" t="str">
            <v>MIL</v>
          </cell>
        </row>
        <row r="6">
          <cell r="A6" t="str">
            <v>广东美的暖通设备有限公司</v>
          </cell>
          <cell r="B6" t="str">
            <v>楼宇</v>
          </cell>
        </row>
        <row r="7">
          <cell r="A7" t="str">
            <v>广东美的厨房电器制造有限公司</v>
          </cell>
          <cell r="B7" t="str">
            <v>微波和清洁</v>
          </cell>
        </row>
        <row r="8">
          <cell r="A8" t="str">
            <v>海南美智沧海电子商务服务有限公司</v>
          </cell>
          <cell r="B8" t="str">
            <v>微波和清洁</v>
          </cell>
        </row>
        <row r="9">
          <cell r="A9" t="str">
            <v>广东威特真空电子制造有限公司</v>
          </cell>
          <cell r="B9" t="str">
            <v>微波和清洁</v>
          </cell>
        </row>
        <row r="10">
          <cell r="A10" t="str">
            <v>佛山市顺德区美的电热电器制造有限公司</v>
          </cell>
          <cell r="B10" t="str">
            <v>生活电器</v>
          </cell>
        </row>
        <row r="11">
          <cell r="A11" t="str">
            <v>广东美的生活电器制造有限公司</v>
          </cell>
          <cell r="B11" t="str">
            <v>生活电器</v>
          </cell>
        </row>
        <row r="12">
          <cell r="A12" t="str">
            <v>广东美的酷晨生活电器制造有限公司</v>
          </cell>
          <cell r="B12" t="str">
            <v>生活电器</v>
          </cell>
        </row>
        <row r="13">
          <cell r="A13" t="str">
            <v>广东美的卡菲咖啡机制造有限公司</v>
          </cell>
          <cell r="B13" t="str">
            <v>生活电器</v>
          </cell>
        </row>
        <row r="14">
          <cell r="A14" t="str">
            <v>佛山市顺德区美的洗涤电器制造有限公司</v>
          </cell>
          <cell r="B14" t="str">
            <v>厨热</v>
          </cell>
        </row>
        <row r="15">
          <cell r="A15" t="str">
            <v>佛山市顺德区美的饮水机制造有限公司</v>
          </cell>
          <cell r="B15" t="str">
            <v>厨热</v>
          </cell>
        </row>
        <row r="16">
          <cell r="A16" t="str">
            <v>佛山市美的清湖净水设备有限公司</v>
          </cell>
          <cell r="B16" t="str">
            <v>厨热</v>
          </cell>
        </row>
        <row r="17">
          <cell r="A17" t="str">
            <v>佛山市麦克罗美的滤芯设备制造有限公司</v>
          </cell>
          <cell r="B17" t="str">
            <v>厨热</v>
          </cell>
        </row>
        <row r="18">
          <cell r="A18" t="str">
            <v>佛山市威灵洗涤电机制造有限公司</v>
          </cell>
          <cell r="B18" t="str">
            <v>工业技术</v>
          </cell>
        </row>
        <row r="19">
          <cell r="A19" t="str">
            <v>广东威灵电机制造有限公司</v>
          </cell>
          <cell r="B19" t="str">
            <v>工业技术</v>
          </cell>
        </row>
        <row r="20">
          <cell r="A20" t="str">
            <v>广东美芝制冷设备有限公司</v>
          </cell>
          <cell r="B20" t="str">
            <v>工业技术</v>
          </cell>
        </row>
        <row r="21">
          <cell r="A21" t="str">
            <v>广东美的环境科技有限公司</v>
          </cell>
          <cell r="B21" t="str">
            <v>工业技术</v>
          </cell>
        </row>
        <row r="22">
          <cell r="A22" t="str">
            <v>北京合康新能变频技术有限公司</v>
          </cell>
          <cell r="B22" t="str">
            <v>工业技术</v>
          </cell>
        </row>
        <row r="23">
          <cell r="A23" t="str">
            <v>北京华泰润达节能科技有限公司</v>
          </cell>
          <cell r="B23" t="str">
            <v>工业技术</v>
          </cell>
        </row>
        <row r="24">
          <cell r="A24" t="str">
            <v>广州美的华凌冰箱有限公司</v>
          </cell>
          <cell r="B24" t="str">
            <v>冰箱</v>
          </cell>
        </row>
        <row r="25">
          <cell r="A25" t="str">
            <v>广东美的环境电器制造有限公司</v>
          </cell>
          <cell r="B25" t="str">
            <v>生活电器</v>
          </cell>
        </row>
        <row r="26">
          <cell r="A26" t="str">
            <v>宁波美的联合物资供应有限公司</v>
          </cell>
          <cell r="B26" t="str">
            <v>采购中心</v>
          </cell>
        </row>
        <row r="27">
          <cell r="A27" t="str">
            <v>美智光电科技股份有限公司</v>
          </cell>
          <cell r="B27" t="str">
            <v>美智光电</v>
          </cell>
        </row>
        <row r="28">
          <cell r="A28" t="str">
            <v>合肥美联博空调设备有限公司</v>
          </cell>
          <cell r="B28" t="str">
            <v>楼宇</v>
          </cell>
        </row>
        <row r="29">
          <cell r="A29" t="str">
            <v>广东美西科技有限公司</v>
          </cell>
          <cell r="B29" t="str">
            <v>美西</v>
          </cell>
        </row>
        <row r="30">
          <cell r="A30" t="str">
            <v>广东美的日用电器进出口贸易有限公司</v>
          </cell>
          <cell r="B30" t="str">
            <v>美的国际</v>
          </cell>
        </row>
        <row r="31">
          <cell r="A31" t="str">
            <v>江苏美的清洁电器股份有限公司</v>
          </cell>
          <cell r="B31" t="str">
            <v>微波和清洁</v>
          </cell>
        </row>
        <row r="32">
          <cell r="A32" t="str">
            <v>美智纵横科技有限责任公司</v>
          </cell>
          <cell r="B32" t="str">
            <v>微波和清洁</v>
          </cell>
        </row>
        <row r="33">
          <cell r="A33" t="str">
            <v>芜湖美智空调设备有限公司</v>
          </cell>
          <cell r="B33" t="str">
            <v>家用空调</v>
          </cell>
        </row>
        <row r="34">
          <cell r="A34" t="str">
            <v>美的集团武汉制冷设备有限公司</v>
          </cell>
          <cell r="B34" t="str">
            <v>家用空调</v>
          </cell>
        </row>
        <row r="35">
          <cell r="A35" t="str">
            <v>芜湖美的厨卫电器制造有限公司</v>
          </cell>
          <cell r="B35" t="str">
            <v>厨热</v>
          </cell>
        </row>
        <row r="36">
          <cell r="A36" t="str">
            <v>芜湖美的智能厨电制造有限公司</v>
          </cell>
          <cell r="B36" t="str">
            <v>厨热</v>
          </cell>
        </row>
        <row r="37">
          <cell r="A37" t="str">
            <v>安徽美芝精密制造有限公司</v>
          </cell>
          <cell r="B37" t="str">
            <v>工业技术</v>
          </cell>
        </row>
        <row r="38">
          <cell r="A38" t="str">
            <v>安徽美芝制冷设备有限公司</v>
          </cell>
          <cell r="B38" t="str">
            <v>工业技术</v>
          </cell>
        </row>
        <row r="39">
          <cell r="A39" t="str">
            <v>淮安威灵电机制造有限公司</v>
          </cell>
          <cell r="B39" t="str">
            <v>工业技术</v>
          </cell>
        </row>
        <row r="40">
          <cell r="A40" t="str">
            <v>合肥华凌股份有限公司</v>
          </cell>
          <cell r="B40" t="str">
            <v>冰箱</v>
          </cell>
        </row>
        <row r="41">
          <cell r="A41" t="str">
            <v>湖北美的电冰箱有限公司</v>
          </cell>
          <cell r="B41" t="str">
            <v>冰箱</v>
          </cell>
        </row>
        <row r="42">
          <cell r="A42" t="str">
            <v>合肥美的洗衣机有限公司</v>
          </cell>
          <cell r="B42" t="str">
            <v>洗衣机</v>
          </cell>
        </row>
        <row r="43">
          <cell r="A43" t="str">
            <v>无锡小天鹅电器有限公司</v>
          </cell>
          <cell r="B43" t="str">
            <v>洗衣机</v>
          </cell>
        </row>
        <row r="44">
          <cell r="A44" t="str">
            <v>无锡美芝电器有限公司</v>
          </cell>
          <cell r="B44" t="str">
            <v>洗衣机</v>
          </cell>
        </row>
        <row r="45">
          <cell r="A45" t="str">
            <v>浙江美芝压缩机有限公司</v>
          </cell>
          <cell r="B45" t="str">
            <v>工业技术</v>
          </cell>
        </row>
        <row r="46">
          <cell r="A46" t="str">
            <v>广东美创希科技有限公司</v>
          </cell>
          <cell r="B46" t="str">
            <v>美创希</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63"/>
  <sheetViews>
    <sheetView workbookViewId="0">
      <pane ySplit="2" topLeftCell="A152" activePane="bottomLeft" state="frozen"/>
      <selection/>
      <selection pane="bottomLeft" activeCell="C154" sqref="C154"/>
    </sheetView>
  </sheetViews>
  <sheetFormatPr defaultColWidth="9" defaultRowHeight="16.5" outlineLevelCol="4"/>
  <cols>
    <col min="1" max="1" width="17.775" style="57" customWidth="1"/>
    <col min="2" max="2" width="28.1083333333333" style="57" customWidth="1"/>
    <col min="3" max="4" width="21.6666666666667" style="57" customWidth="1"/>
    <col min="5" max="5" width="68.6333333333333" style="1" customWidth="1"/>
  </cols>
  <sheetData>
    <row r="1" ht="18" customHeight="1" spans="1:5">
      <c r="A1" s="108" t="s">
        <v>0</v>
      </c>
      <c r="B1" s="108"/>
      <c r="C1" s="108"/>
      <c r="D1" s="108"/>
      <c r="E1" s="108"/>
    </row>
    <row r="2" ht="15" spans="1:5">
      <c r="A2" s="109" t="s">
        <v>1</v>
      </c>
      <c r="B2" s="109" t="s">
        <v>2</v>
      </c>
      <c r="C2" s="109" t="s">
        <v>3</v>
      </c>
      <c r="D2" s="109" t="s">
        <v>4</v>
      </c>
      <c r="E2" s="110" t="s">
        <v>5</v>
      </c>
    </row>
    <row r="3" spans="1:5">
      <c r="A3" s="111">
        <v>46023</v>
      </c>
      <c r="B3" s="92">
        <v>110</v>
      </c>
      <c r="C3" s="92">
        <v>110</v>
      </c>
      <c r="D3" s="92">
        <v>0</v>
      </c>
      <c r="E3" s="112" t="s">
        <v>6</v>
      </c>
    </row>
    <row r="4" spans="1:5">
      <c r="A4" s="111">
        <v>46024</v>
      </c>
      <c r="B4" s="92">
        <v>79</v>
      </c>
      <c r="C4" s="92">
        <v>79</v>
      </c>
      <c r="D4" s="92">
        <v>0</v>
      </c>
      <c r="E4" s="112" t="s">
        <v>6</v>
      </c>
    </row>
    <row r="5" spans="1:5">
      <c r="A5" s="111">
        <v>46025</v>
      </c>
      <c r="B5" s="92">
        <v>110</v>
      </c>
      <c r="C5" s="92">
        <v>110</v>
      </c>
      <c r="D5" s="92">
        <v>0</v>
      </c>
      <c r="E5" s="112" t="s">
        <v>6</v>
      </c>
    </row>
    <row r="6" spans="1:5">
      <c r="A6" s="111">
        <v>46026</v>
      </c>
      <c r="B6" s="92">
        <v>468</v>
      </c>
      <c r="C6" s="92">
        <v>468</v>
      </c>
      <c r="D6" s="92">
        <v>0</v>
      </c>
      <c r="E6" s="112" t="s">
        <v>6</v>
      </c>
    </row>
    <row r="7" spans="1:5">
      <c r="A7" s="111">
        <v>46027</v>
      </c>
      <c r="B7" s="92">
        <v>433</v>
      </c>
      <c r="C7" s="92">
        <v>433</v>
      </c>
      <c r="D7" s="92">
        <v>0</v>
      </c>
      <c r="E7" s="112" t="s">
        <v>6</v>
      </c>
    </row>
    <row r="8" spans="1:5">
      <c r="A8" s="111">
        <v>46028</v>
      </c>
      <c r="B8" s="92">
        <v>257</v>
      </c>
      <c r="C8" s="92">
        <v>257</v>
      </c>
      <c r="D8" s="92">
        <v>0</v>
      </c>
      <c r="E8" s="112" t="s">
        <v>6</v>
      </c>
    </row>
    <row r="9" spans="1:5">
      <c r="A9" s="111">
        <v>46029</v>
      </c>
      <c r="B9" s="92">
        <v>274</v>
      </c>
      <c r="C9" s="92">
        <v>274</v>
      </c>
      <c r="D9" s="92">
        <v>0</v>
      </c>
      <c r="E9" s="112" t="s">
        <v>6</v>
      </c>
    </row>
    <row r="10" spans="1:5">
      <c r="A10" s="111">
        <v>46030</v>
      </c>
      <c r="B10" s="92">
        <v>381</v>
      </c>
      <c r="C10" s="92">
        <v>381</v>
      </c>
      <c r="D10" s="92">
        <v>0</v>
      </c>
      <c r="E10" s="112" t="s">
        <v>6</v>
      </c>
    </row>
    <row r="11" spans="1:5">
      <c r="A11" s="111">
        <v>46031</v>
      </c>
      <c r="B11" s="92">
        <v>451</v>
      </c>
      <c r="C11" s="92">
        <v>451</v>
      </c>
      <c r="D11" s="92">
        <v>0</v>
      </c>
      <c r="E11" s="112" t="s">
        <v>6</v>
      </c>
    </row>
    <row r="12" spans="1:5">
      <c r="A12" s="111">
        <v>46032</v>
      </c>
      <c r="B12" s="92">
        <v>77</v>
      </c>
      <c r="C12" s="92">
        <v>77</v>
      </c>
      <c r="D12" s="92">
        <v>0</v>
      </c>
      <c r="E12" s="112" t="s">
        <v>6</v>
      </c>
    </row>
    <row r="13" spans="1:5">
      <c r="A13" s="111">
        <v>46033</v>
      </c>
      <c r="B13" s="92">
        <v>113</v>
      </c>
      <c r="C13" s="92">
        <v>113</v>
      </c>
      <c r="D13" s="92">
        <v>0</v>
      </c>
      <c r="E13" s="112" t="s">
        <v>6</v>
      </c>
    </row>
    <row r="14" spans="1:5">
      <c r="A14" s="111">
        <v>46034</v>
      </c>
      <c r="B14" s="92">
        <v>512</v>
      </c>
      <c r="C14" s="92">
        <v>512</v>
      </c>
      <c r="D14" s="92">
        <v>0</v>
      </c>
      <c r="E14" s="112" t="s">
        <v>6</v>
      </c>
    </row>
    <row r="15" spans="1:5">
      <c r="A15" s="111">
        <v>46035</v>
      </c>
      <c r="B15" s="92">
        <v>381</v>
      </c>
      <c r="C15" s="92">
        <v>381</v>
      </c>
      <c r="D15" s="92">
        <v>0</v>
      </c>
      <c r="E15" s="112" t="s">
        <v>6</v>
      </c>
    </row>
    <row r="16" spans="1:5">
      <c r="A16" s="111">
        <v>46036</v>
      </c>
      <c r="B16" s="92">
        <v>355</v>
      </c>
      <c r="C16" s="92">
        <v>355</v>
      </c>
      <c r="D16" s="92">
        <v>0</v>
      </c>
      <c r="E16" s="112" t="s">
        <v>6</v>
      </c>
    </row>
    <row r="17" spans="1:5">
      <c r="A17" s="111">
        <v>46037</v>
      </c>
      <c r="B17" s="92">
        <v>377</v>
      </c>
      <c r="C17" s="92">
        <v>377</v>
      </c>
      <c r="D17" s="92">
        <v>0</v>
      </c>
      <c r="E17" s="112" t="s">
        <v>6</v>
      </c>
    </row>
    <row r="18" spans="1:5">
      <c r="A18" s="111">
        <v>46038</v>
      </c>
      <c r="B18" s="92">
        <v>360</v>
      </c>
      <c r="C18" s="92">
        <v>360</v>
      </c>
      <c r="D18" s="92">
        <v>0</v>
      </c>
      <c r="E18" s="112" t="s">
        <v>6</v>
      </c>
    </row>
    <row r="19" spans="1:5">
      <c r="A19" s="111">
        <v>46039</v>
      </c>
      <c r="B19" s="92">
        <v>70</v>
      </c>
      <c r="C19" s="92">
        <v>70</v>
      </c>
      <c r="D19" s="92">
        <v>0</v>
      </c>
      <c r="E19" s="112" t="s">
        <v>6</v>
      </c>
    </row>
    <row r="20" spans="1:5">
      <c r="A20" s="111">
        <v>46040</v>
      </c>
      <c r="B20" s="92">
        <v>77</v>
      </c>
      <c r="C20" s="92">
        <v>77</v>
      </c>
      <c r="D20" s="92">
        <v>0</v>
      </c>
      <c r="E20" s="112" t="s">
        <v>6</v>
      </c>
    </row>
    <row r="21" spans="1:5">
      <c r="A21" s="111">
        <v>46041</v>
      </c>
      <c r="B21" s="92">
        <v>472</v>
      </c>
      <c r="C21" s="92">
        <v>472</v>
      </c>
      <c r="D21" s="92">
        <v>0</v>
      </c>
      <c r="E21" s="112" t="s">
        <v>6</v>
      </c>
    </row>
    <row r="22" spans="1:5">
      <c r="A22" s="111">
        <v>46042</v>
      </c>
      <c r="B22" s="92">
        <v>284</v>
      </c>
      <c r="C22" s="92">
        <v>284</v>
      </c>
      <c r="D22" s="92">
        <v>0</v>
      </c>
      <c r="E22" s="112" t="s">
        <v>6</v>
      </c>
    </row>
    <row r="23" spans="1:5">
      <c r="A23" s="111">
        <v>46043</v>
      </c>
      <c r="B23" s="92">
        <v>214</v>
      </c>
      <c r="C23" s="92">
        <v>214</v>
      </c>
      <c r="D23" s="92">
        <v>0</v>
      </c>
      <c r="E23" s="112" t="s">
        <v>6</v>
      </c>
    </row>
    <row r="24" spans="1:5">
      <c r="A24" s="111">
        <v>46044</v>
      </c>
      <c r="B24" s="92">
        <v>391</v>
      </c>
      <c r="C24" s="92">
        <v>391</v>
      </c>
      <c r="D24" s="92">
        <v>0</v>
      </c>
      <c r="E24" s="112" t="s">
        <v>6</v>
      </c>
    </row>
    <row r="25" spans="1:5">
      <c r="A25" s="111">
        <v>46045</v>
      </c>
      <c r="B25" s="92">
        <v>374</v>
      </c>
      <c r="C25" s="92">
        <v>374</v>
      </c>
      <c r="D25" s="92">
        <v>0</v>
      </c>
      <c r="E25" s="112" t="s">
        <v>6</v>
      </c>
    </row>
    <row r="26" spans="1:5">
      <c r="A26" s="111">
        <v>46046</v>
      </c>
      <c r="B26" s="92">
        <v>62</v>
      </c>
      <c r="C26" s="92">
        <v>62</v>
      </c>
      <c r="D26" s="92">
        <v>0</v>
      </c>
      <c r="E26" s="112" t="s">
        <v>6</v>
      </c>
    </row>
    <row r="27" spans="1:5">
      <c r="A27" s="111">
        <v>46047</v>
      </c>
      <c r="B27" s="92">
        <v>93</v>
      </c>
      <c r="C27" s="92">
        <v>93</v>
      </c>
      <c r="D27" s="92">
        <v>0</v>
      </c>
      <c r="E27" s="112" t="s">
        <v>6</v>
      </c>
    </row>
    <row r="28" spans="1:5">
      <c r="A28" s="111">
        <v>46048</v>
      </c>
      <c r="B28" s="92">
        <v>551</v>
      </c>
      <c r="C28" s="92">
        <v>551</v>
      </c>
      <c r="D28" s="92">
        <v>0</v>
      </c>
      <c r="E28" s="112" t="s">
        <v>6</v>
      </c>
    </row>
    <row r="29" spans="1:5">
      <c r="A29" s="111">
        <v>46049</v>
      </c>
      <c r="B29" s="92">
        <v>369</v>
      </c>
      <c r="C29" s="92">
        <v>369</v>
      </c>
      <c r="D29" s="92">
        <v>0</v>
      </c>
      <c r="E29" s="112" t="s">
        <v>6</v>
      </c>
    </row>
    <row r="30" spans="1:5">
      <c r="A30" s="111">
        <v>46050</v>
      </c>
      <c r="B30" s="92">
        <v>280</v>
      </c>
      <c r="C30" s="92">
        <v>280</v>
      </c>
      <c r="D30" s="92">
        <v>0</v>
      </c>
      <c r="E30" s="112" t="s">
        <v>6</v>
      </c>
    </row>
    <row r="31" spans="1:5">
      <c r="A31" s="111">
        <v>46051</v>
      </c>
      <c r="B31" s="92">
        <v>397</v>
      </c>
      <c r="C31" s="92">
        <v>397</v>
      </c>
      <c r="D31" s="92">
        <v>0</v>
      </c>
      <c r="E31" s="112" t="s">
        <v>6</v>
      </c>
    </row>
    <row r="32" spans="1:5">
      <c r="A32" s="111">
        <v>46052</v>
      </c>
      <c r="B32" s="92">
        <v>386</v>
      </c>
      <c r="C32" s="92">
        <v>386</v>
      </c>
      <c r="D32" s="92">
        <v>0</v>
      </c>
      <c r="E32" s="88" t="s">
        <v>6</v>
      </c>
    </row>
    <row r="33" spans="1:5">
      <c r="A33" s="111">
        <v>46053</v>
      </c>
      <c r="B33" s="92">
        <v>65</v>
      </c>
      <c r="C33" s="92">
        <v>65</v>
      </c>
      <c r="D33" s="92">
        <v>0</v>
      </c>
      <c r="E33" s="88" t="s">
        <v>6</v>
      </c>
    </row>
    <row r="34" spans="1:5">
      <c r="A34" s="111">
        <v>46054</v>
      </c>
      <c r="B34" s="92">
        <v>79</v>
      </c>
      <c r="C34" s="92">
        <v>79</v>
      </c>
      <c r="D34" s="92">
        <v>0</v>
      </c>
      <c r="E34" s="88" t="s">
        <v>6</v>
      </c>
    </row>
    <row r="35" spans="1:5">
      <c r="A35" s="111">
        <v>46055</v>
      </c>
      <c r="B35" s="92">
        <v>682</v>
      </c>
      <c r="C35" s="92">
        <v>682</v>
      </c>
      <c r="D35" s="92">
        <v>0</v>
      </c>
      <c r="E35" s="88" t="s">
        <v>6</v>
      </c>
    </row>
    <row r="36" spans="1:5">
      <c r="A36" s="111">
        <v>46056</v>
      </c>
      <c r="B36" s="92">
        <v>357</v>
      </c>
      <c r="C36" s="92">
        <v>357</v>
      </c>
      <c r="D36" s="92">
        <v>0</v>
      </c>
      <c r="E36" s="88" t="s">
        <v>6</v>
      </c>
    </row>
    <row r="37" spans="1:5">
      <c r="A37" s="111">
        <v>46057</v>
      </c>
      <c r="B37" s="92">
        <v>292</v>
      </c>
      <c r="C37" s="92">
        <v>292</v>
      </c>
      <c r="D37" s="92">
        <v>0</v>
      </c>
      <c r="E37" s="88" t="s">
        <v>6</v>
      </c>
    </row>
    <row r="38" spans="1:5">
      <c r="A38" s="111">
        <v>46058</v>
      </c>
      <c r="B38" s="92">
        <v>319</v>
      </c>
      <c r="C38" s="92">
        <v>319</v>
      </c>
      <c r="D38" s="92">
        <v>0</v>
      </c>
      <c r="E38" s="88" t="s">
        <v>6</v>
      </c>
    </row>
    <row r="39" spans="1:5">
      <c r="A39" s="111">
        <v>46059</v>
      </c>
      <c r="B39" s="92">
        <v>374</v>
      </c>
      <c r="C39" s="92">
        <v>374</v>
      </c>
      <c r="D39" s="92">
        <v>0</v>
      </c>
      <c r="E39" s="88" t="s">
        <v>6</v>
      </c>
    </row>
    <row r="40" spans="1:5">
      <c r="A40" s="111">
        <v>46060</v>
      </c>
      <c r="B40" s="92">
        <v>91</v>
      </c>
      <c r="C40" s="92">
        <v>91</v>
      </c>
      <c r="D40" s="92">
        <v>0</v>
      </c>
      <c r="E40" s="88" t="s">
        <v>6</v>
      </c>
    </row>
    <row r="41" spans="1:5">
      <c r="A41" s="111">
        <v>46061</v>
      </c>
      <c r="B41" s="92">
        <v>84</v>
      </c>
      <c r="C41" s="92">
        <v>84</v>
      </c>
      <c r="D41" s="92">
        <v>0</v>
      </c>
      <c r="E41" s="88" t="s">
        <v>6</v>
      </c>
    </row>
    <row r="42" spans="1:5">
      <c r="A42" s="111">
        <v>46062</v>
      </c>
      <c r="B42" s="92">
        <v>534</v>
      </c>
      <c r="C42" s="92">
        <v>534</v>
      </c>
      <c r="D42" s="92">
        <v>0</v>
      </c>
      <c r="E42" s="88" t="s">
        <v>6</v>
      </c>
    </row>
    <row r="43" spans="1:5">
      <c r="A43" s="111">
        <v>46063</v>
      </c>
      <c r="B43" s="92">
        <v>386</v>
      </c>
      <c r="C43" s="92">
        <v>386</v>
      </c>
      <c r="D43" s="92">
        <v>0</v>
      </c>
      <c r="E43" s="88" t="s">
        <v>6</v>
      </c>
    </row>
    <row r="44" spans="1:5">
      <c r="A44" s="111">
        <v>46064</v>
      </c>
      <c r="B44" s="92">
        <v>465</v>
      </c>
      <c r="C44" s="92">
        <v>465</v>
      </c>
      <c r="D44" s="92">
        <v>0</v>
      </c>
      <c r="E44" s="88" t="s">
        <v>6</v>
      </c>
    </row>
    <row r="45" spans="1:5">
      <c r="A45" s="111">
        <v>46065</v>
      </c>
      <c r="B45" s="92">
        <v>528</v>
      </c>
      <c r="C45" s="92">
        <v>528</v>
      </c>
      <c r="D45" s="92">
        <v>0</v>
      </c>
      <c r="E45" s="88" t="s">
        <v>6</v>
      </c>
    </row>
    <row r="46" spans="1:5">
      <c r="A46" s="111">
        <v>46066</v>
      </c>
      <c r="B46" s="92">
        <v>442</v>
      </c>
      <c r="C46" s="92">
        <v>442</v>
      </c>
      <c r="D46" s="92">
        <v>0</v>
      </c>
      <c r="E46" s="112" t="s">
        <v>6</v>
      </c>
    </row>
    <row r="47" spans="1:5">
      <c r="A47" s="111">
        <v>46067</v>
      </c>
      <c r="B47" s="92">
        <v>91</v>
      </c>
      <c r="C47" s="92">
        <v>91</v>
      </c>
      <c r="D47" s="92">
        <v>0</v>
      </c>
      <c r="E47" s="112" t="s">
        <v>6</v>
      </c>
    </row>
    <row r="48" spans="1:5">
      <c r="A48" s="111">
        <v>46068</v>
      </c>
      <c r="B48" s="92">
        <v>52</v>
      </c>
      <c r="C48" s="92">
        <v>52</v>
      </c>
      <c r="D48" s="92">
        <v>0</v>
      </c>
      <c r="E48" s="112" t="s">
        <v>6</v>
      </c>
    </row>
    <row r="49" spans="1:5">
      <c r="A49" s="111">
        <v>46069</v>
      </c>
      <c r="B49" s="92">
        <v>33</v>
      </c>
      <c r="C49" s="92">
        <v>33</v>
      </c>
      <c r="D49" s="92">
        <v>0</v>
      </c>
      <c r="E49" s="112" t="s">
        <v>6</v>
      </c>
    </row>
    <row r="50" spans="1:5">
      <c r="A50" s="111">
        <v>46070</v>
      </c>
      <c r="B50" s="92">
        <v>56</v>
      </c>
      <c r="C50" s="92">
        <v>56</v>
      </c>
      <c r="D50" s="92">
        <v>0</v>
      </c>
      <c r="E50" s="112" t="s">
        <v>6</v>
      </c>
    </row>
    <row r="51" spans="1:5">
      <c r="A51" s="111">
        <v>46071</v>
      </c>
      <c r="B51" s="92">
        <v>99</v>
      </c>
      <c r="C51" s="92">
        <v>99</v>
      </c>
      <c r="D51" s="92">
        <v>0</v>
      </c>
      <c r="E51" s="112" t="s">
        <v>6</v>
      </c>
    </row>
    <row r="52" spans="1:5">
      <c r="A52" s="111">
        <v>46072</v>
      </c>
      <c r="B52" s="92">
        <v>61</v>
      </c>
      <c r="C52" s="92">
        <v>61</v>
      </c>
      <c r="D52" s="92">
        <v>0</v>
      </c>
      <c r="E52" s="112" t="s">
        <v>6</v>
      </c>
    </row>
    <row r="53" spans="1:5">
      <c r="A53" s="111">
        <v>46073</v>
      </c>
      <c r="B53" s="92">
        <v>61</v>
      </c>
      <c r="C53" s="92">
        <v>61</v>
      </c>
      <c r="D53" s="92">
        <v>0</v>
      </c>
      <c r="E53" s="112" t="s">
        <v>6</v>
      </c>
    </row>
    <row r="54" spans="1:5">
      <c r="A54" s="111">
        <v>46074</v>
      </c>
      <c r="B54" s="92">
        <v>36</v>
      </c>
      <c r="C54" s="92">
        <v>36</v>
      </c>
      <c r="D54" s="92">
        <v>0</v>
      </c>
      <c r="E54" s="112" t="s">
        <v>6</v>
      </c>
    </row>
    <row r="55" spans="1:5">
      <c r="A55" s="111">
        <v>46075</v>
      </c>
      <c r="B55" s="92">
        <v>39</v>
      </c>
      <c r="C55" s="92">
        <v>39</v>
      </c>
      <c r="D55" s="92">
        <v>0</v>
      </c>
      <c r="E55" s="112" t="s">
        <v>6</v>
      </c>
    </row>
    <row r="56" spans="1:5">
      <c r="A56" s="111">
        <v>46076</v>
      </c>
      <c r="B56" s="92">
        <v>24</v>
      </c>
      <c r="C56" s="92">
        <v>24</v>
      </c>
      <c r="D56" s="92">
        <v>0</v>
      </c>
      <c r="E56" s="112" t="s">
        <v>6</v>
      </c>
    </row>
    <row r="57" spans="1:5">
      <c r="A57" s="111">
        <v>46077</v>
      </c>
      <c r="B57" s="92">
        <v>226</v>
      </c>
      <c r="C57" s="92">
        <v>226</v>
      </c>
      <c r="D57" s="92">
        <v>0</v>
      </c>
      <c r="E57" s="112" t="s">
        <v>6</v>
      </c>
    </row>
    <row r="58" spans="1:5">
      <c r="A58" s="111">
        <v>46078</v>
      </c>
      <c r="B58" s="92">
        <v>214</v>
      </c>
      <c r="C58" s="92">
        <v>214</v>
      </c>
      <c r="D58" s="92">
        <v>0</v>
      </c>
      <c r="E58" s="112" t="s">
        <v>6</v>
      </c>
    </row>
    <row r="59" spans="1:5">
      <c r="A59" s="111">
        <v>46079</v>
      </c>
      <c r="B59" s="92">
        <v>313</v>
      </c>
      <c r="C59" s="92">
        <v>313</v>
      </c>
      <c r="D59" s="92">
        <v>0</v>
      </c>
      <c r="E59" s="112" t="s">
        <v>6</v>
      </c>
    </row>
    <row r="60" spans="1:5">
      <c r="A60" s="111">
        <v>46080</v>
      </c>
      <c r="B60" s="92">
        <v>399</v>
      </c>
      <c r="C60" s="92">
        <v>399</v>
      </c>
      <c r="D60" s="92">
        <v>0</v>
      </c>
      <c r="E60" s="112" t="s">
        <v>6</v>
      </c>
    </row>
    <row r="61" spans="1:5">
      <c r="A61" s="111">
        <v>46081</v>
      </c>
      <c r="B61" s="92">
        <v>207</v>
      </c>
      <c r="C61" s="92">
        <v>207</v>
      </c>
      <c r="D61" s="92">
        <v>0</v>
      </c>
      <c r="E61" s="112" t="s">
        <v>6</v>
      </c>
    </row>
    <row r="62" spans="1:5">
      <c r="A62" s="111">
        <v>46082</v>
      </c>
      <c r="B62" s="92">
        <v>94</v>
      </c>
      <c r="C62" s="92">
        <v>94</v>
      </c>
      <c r="D62" s="92">
        <v>0</v>
      </c>
      <c r="E62" s="112" t="s">
        <v>6</v>
      </c>
    </row>
    <row r="63" spans="1:5">
      <c r="A63" s="111">
        <v>46083</v>
      </c>
      <c r="B63" s="92">
        <v>484</v>
      </c>
      <c r="C63" s="92">
        <v>484</v>
      </c>
      <c r="D63" s="92">
        <v>0</v>
      </c>
      <c r="E63" s="112" t="s">
        <v>6</v>
      </c>
    </row>
    <row r="64" spans="1:5">
      <c r="A64" s="111">
        <v>46084</v>
      </c>
      <c r="B64" s="92">
        <v>221</v>
      </c>
      <c r="C64" s="92">
        <v>221</v>
      </c>
      <c r="D64" s="92">
        <v>0</v>
      </c>
      <c r="E64" s="112" t="s">
        <v>6</v>
      </c>
    </row>
    <row r="65" spans="1:5">
      <c r="A65" s="111">
        <v>46085</v>
      </c>
      <c r="B65" s="92">
        <v>226</v>
      </c>
      <c r="C65" s="92">
        <v>226</v>
      </c>
      <c r="D65" s="92">
        <v>0</v>
      </c>
      <c r="E65" s="112" t="s">
        <v>6</v>
      </c>
    </row>
    <row r="66" spans="1:5">
      <c r="A66" s="111">
        <v>46086</v>
      </c>
      <c r="B66" s="92">
        <v>328</v>
      </c>
      <c r="C66" s="92">
        <v>328</v>
      </c>
      <c r="D66" s="92">
        <v>0</v>
      </c>
      <c r="E66" s="112" t="s">
        <v>6</v>
      </c>
    </row>
    <row r="67" spans="1:5">
      <c r="A67" s="111">
        <v>46087</v>
      </c>
      <c r="B67" s="92">
        <v>288</v>
      </c>
      <c r="C67" s="92">
        <v>288</v>
      </c>
      <c r="D67" s="92">
        <v>0</v>
      </c>
      <c r="E67" s="112" t="s">
        <v>6</v>
      </c>
    </row>
    <row r="68" spans="1:5">
      <c r="A68" s="111">
        <v>46088</v>
      </c>
      <c r="B68" s="92">
        <v>29</v>
      </c>
      <c r="C68" s="92">
        <v>29</v>
      </c>
      <c r="D68" s="92">
        <v>0</v>
      </c>
      <c r="E68" s="112" t="s">
        <v>6</v>
      </c>
    </row>
    <row r="69" spans="1:5">
      <c r="A69" s="111">
        <v>46089</v>
      </c>
      <c r="B69" s="92">
        <v>77</v>
      </c>
      <c r="C69" s="92">
        <v>77</v>
      </c>
      <c r="D69" s="92">
        <v>0</v>
      </c>
      <c r="E69" s="88" t="s">
        <v>6</v>
      </c>
    </row>
    <row r="70" spans="1:5">
      <c r="A70" s="111">
        <v>46090</v>
      </c>
      <c r="B70" s="92">
        <v>435</v>
      </c>
      <c r="C70" s="92">
        <v>435</v>
      </c>
      <c r="D70" s="92">
        <v>0</v>
      </c>
      <c r="E70" s="112" t="s">
        <v>6</v>
      </c>
    </row>
    <row r="71" spans="1:5">
      <c r="A71" s="111">
        <v>46091</v>
      </c>
      <c r="B71" s="92">
        <v>225</v>
      </c>
      <c r="C71" s="92">
        <v>225</v>
      </c>
      <c r="D71" s="92">
        <v>0</v>
      </c>
      <c r="E71" s="112" t="s">
        <v>6</v>
      </c>
    </row>
    <row r="72" spans="1:5">
      <c r="A72" s="111">
        <v>46092</v>
      </c>
      <c r="B72" s="92">
        <v>265</v>
      </c>
      <c r="C72" s="92">
        <v>265</v>
      </c>
      <c r="D72" s="92">
        <v>0</v>
      </c>
      <c r="E72" s="112" t="s">
        <v>6</v>
      </c>
    </row>
    <row r="73" spans="1:5">
      <c r="A73" s="111">
        <v>46093</v>
      </c>
      <c r="B73" s="92">
        <v>319</v>
      </c>
      <c r="C73" s="92">
        <v>319</v>
      </c>
      <c r="D73" s="92">
        <v>0</v>
      </c>
      <c r="E73" s="112" t="s">
        <v>6</v>
      </c>
    </row>
    <row r="74" spans="1:5">
      <c r="A74" s="111">
        <v>46094</v>
      </c>
      <c r="B74" s="92">
        <v>343</v>
      </c>
      <c r="C74" s="92">
        <v>343</v>
      </c>
      <c r="D74" s="92">
        <v>0</v>
      </c>
      <c r="E74" s="88" t="s">
        <v>6</v>
      </c>
    </row>
    <row r="75" spans="1:5">
      <c r="A75" s="111">
        <v>46095</v>
      </c>
      <c r="B75" s="92">
        <v>49</v>
      </c>
      <c r="C75" s="92">
        <v>49</v>
      </c>
      <c r="D75" s="92">
        <v>0</v>
      </c>
      <c r="E75" s="88" t="s">
        <v>6</v>
      </c>
    </row>
    <row r="76" spans="1:5">
      <c r="A76" s="111">
        <v>46096</v>
      </c>
      <c r="B76" s="92">
        <v>65</v>
      </c>
      <c r="C76" s="92">
        <v>65</v>
      </c>
      <c r="D76" s="92">
        <v>0</v>
      </c>
      <c r="E76" s="88" t="s">
        <v>6</v>
      </c>
    </row>
    <row r="77" spans="1:5">
      <c r="A77" s="111">
        <v>46097</v>
      </c>
      <c r="B77" s="92">
        <v>421</v>
      </c>
      <c r="C77" s="92">
        <v>421</v>
      </c>
      <c r="D77" s="92">
        <v>0</v>
      </c>
      <c r="E77" s="88" t="s">
        <v>6</v>
      </c>
    </row>
    <row r="78" spans="1:5">
      <c r="A78" s="111">
        <v>46098</v>
      </c>
      <c r="B78" s="92">
        <v>273</v>
      </c>
      <c r="C78" s="92">
        <v>273</v>
      </c>
      <c r="D78" s="92">
        <v>0</v>
      </c>
      <c r="E78" s="88" t="s">
        <v>6</v>
      </c>
    </row>
    <row r="79" spans="1:5">
      <c r="A79" s="111">
        <v>46099</v>
      </c>
      <c r="B79" s="113">
        <v>277</v>
      </c>
      <c r="C79" s="113">
        <v>277</v>
      </c>
      <c r="D79" s="92">
        <v>0</v>
      </c>
      <c r="E79" s="88" t="s">
        <v>6</v>
      </c>
    </row>
    <row r="80" spans="1:5">
      <c r="A80" s="111">
        <v>46100</v>
      </c>
      <c r="B80" s="92">
        <v>359</v>
      </c>
      <c r="C80" s="92">
        <v>359</v>
      </c>
      <c r="D80" s="92">
        <v>0</v>
      </c>
      <c r="E80" s="88" t="s">
        <v>6</v>
      </c>
    </row>
    <row r="81" spans="1:5">
      <c r="A81" s="111">
        <v>46101</v>
      </c>
      <c r="B81" s="92">
        <v>422</v>
      </c>
      <c r="C81" s="92">
        <v>422</v>
      </c>
      <c r="D81" s="92">
        <v>0</v>
      </c>
      <c r="E81" s="88" t="s">
        <v>6</v>
      </c>
    </row>
    <row r="82" spans="1:5">
      <c r="A82" s="111">
        <v>46102</v>
      </c>
      <c r="B82" s="92">
        <v>92</v>
      </c>
      <c r="C82" s="92">
        <v>92</v>
      </c>
      <c r="D82" s="92">
        <v>0</v>
      </c>
      <c r="E82" s="88" t="s">
        <v>6</v>
      </c>
    </row>
    <row r="83" spans="1:5">
      <c r="A83" s="111">
        <v>46103</v>
      </c>
      <c r="B83" s="92">
        <v>56</v>
      </c>
      <c r="C83" s="92">
        <v>56</v>
      </c>
      <c r="D83" s="92">
        <v>0</v>
      </c>
      <c r="E83" s="88" t="s">
        <v>6</v>
      </c>
    </row>
    <row r="84" spans="1:5">
      <c r="A84" s="111">
        <v>46104</v>
      </c>
      <c r="B84" s="92">
        <v>491</v>
      </c>
      <c r="C84" s="92">
        <v>491</v>
      </c>
      <c r="D84" s="92">
        <v>0</v>
      </c>
      <c r="E84" s="88" t="s">
        <v>6</v>
      </c>
    </row>
    <row r="85" spans="1:5">
      <c r="A85" s="111">
        <v>46105</v>
      </c>
      <c r="B85" s="92">
        <v>333</v>
      </c>
      <c r="C85" s="92">
        <v>333</v>
      </c>
      <c r="D85" s="92">
        <v>0</v>
      </c>
      <c r="E85" s="88" t="s">
        <v>6</v>
      </c>
    </row>
    <row r="86" spans="1:5">
      <c r="A86" s="111">
        <v>46106</v>
      </c>
      <c r="B86" s="92">
        <v>229</v>
      </c>
      <c r="C86" s="92">
        <v>229</v>
      </c>
      <c r="D86" s="92">
        <v>0</v>
      </c>
      <c r="E86" s="88" t="s">
        <v>6</v>
      </c>
    </row>
    <row r="87" spans="1:5">
      <c r="A87" s="111">
        <v>46107</v>
      </c>
      <c r="B87" s="92">
        <v>412</v>
      </c>
      <c r="C87" s="92">
        <v>412</v>
      </c>
      <c r="D87" s="92">
        <v>0</v>
      </c>
      <c r="E87" s="88" t="s">
        <v>6</v>
      </c>
    </row>
    <row r="88" spans="1:5">
      <c r="A88" s="111">
        <v>46108</v>
      </c>
      <c r="B88" s="92">
        <v>392</v>
      </c>
      <c r="C88" s="92">
        <v>392</v>
      </c>
      <c r="D88" s="92">
        <v>0</v>
      </c>
      <c r="E88" s="88" t="s">
        <v>6</v>
      </c>
    </row>
    <row r="89" spans="1:5">
      <c r="A89" s="111">
        <v>46109</v>
      </c>
      <c r="B89" s="92">
        <v>68</v>
      </c>
      <c r="C89" s="92">
        <v>68</v>
      </c>
      <c r="D89" s="92">
        <v>0</v>
      </c>
      <c r="E89" s="88" t="s">
        <v>6</v>
      </c>
    </row>
    <row r="90" spans="1:5">
      <c r="A90" s="111">
        <v>46110</v>
      </c>
      <c r="B90" s="92">
        <v>71</v>
      </c>
      <c r="C90" s="92">
        <v>71</v>
      </c>
      <c r="D90" s="92">
        <v>0</v>
      </c>
      <c r="E90" s="88" t="s">
        <v>6</v>
      </c>
    </row>
    <row r="91" spans="1:5">
      <c r="A91" s="111">
        <v>46111</v>
      </c>
      <c r="B91" s="92">
        <v>516</v>
      </c>
      <c r="C91" s="92">
        <v>516</v>
      </c>
      <c r="D91" s="92">
        <v>0</v>
      </c>
      <c r="E91" s="88" t="s">
        <v>6</v>
      </c>
    </row>
    <row r="92" spans="1:5">
      <c r="A92" s="111">
        <v>46112</v>
      </c>
      <c r="B92" s="92">
        <v>388</v>
      </c>
      <c r="C92" s="92">
        <v>388</v>
      </c>
      <c r="D92" s="92">
        <v>0</v>
      </c>
      <c r="E92" s="88" t="s">
        <v>6</v>
      </c>
    </row>
    <row r="93" spans="1:5">
      <c r="A93" s="111">
        <v>46113</v>
      </c>
      <c r="B93" s="92">
        <v>526</v>
      </c>
      <c r="C93" s="92">
        <v>526</v>
      </c>
      <c r="D93" s="92">
        <v>0</v>
      </c>
      <c r="E93" s="88" t="s">
        <v>6</v>
      </c>
    </row>
    <row r="94" spans="1:5">
      <c r="A94" s="111">
        <v>46114</v>
      </c>
      <c r="B94" s="92">
        <v>486</v>
      </c>
      <c r="C94" s="92">
        <v>486</v>
      </c>
      <c r="D94" s="92">
        <v>0</v>
      </c>
      <c r="E94" s="88" t="s">
        <v>6</v>
      </c>
    </row>
    <row r="95" spans="1:5">
      <c r="A95" s="111">
        <v>46115</v>
      </c>
      <c r="B95" s="92">
        <v>357</v>
      </c>
      <c r="C95" s="92">
        <v>357</v>
      </c>
      <c r="D95" s="92">
        <v>0</v>
      </c>
      <c r="E95" s="88" t="s">
        <v>6</v>
      </c>
    </row>
    <row r="96" spans="1:5">
      <c r="A96" s="111">
        <v>46116</v>
      </c>
      <c r="B96" s="92">
        <v>68</v>
      </c>
      <c r="C96" s="92">
        <v>68</v>
      </c>
      <c r="D96" s="92">
        <v>0</v>
      </c>
      <c r="E96" s="88" t="s">
        <v>6</v>
      </c>
    </row>
    <row r="97" spans="1:5">
      <c r="A97" s="111">
        <v>46117</v>
      </c>
      <c r="B97" s="92">
        <v>61</v>
      </c>
      <c r="C97" s="92">
        <v>61</v>
      </c>
      <c r="D97" s="92">
        <v>0</v>
      </c>
      <c r="E97" s="88" t="s">
        <v>6</v>
      </c>
    </row>
    <row r="98" spans="1:5">
      <c r="A98" s="111">
        <v>46118</v>
      </c>
      <c r="B98" s="92">
        <v>76</v>
      </c>
      <c r="C98" s="92">
        <v>76</v>
      </c>
      <c r="D98" s="92">
        <v>0</v>
      </c>
      <c r="E98" s="88" t="s">
        <v>6</v>
      </c>
    </row>
    <row r="99" spans="1:5">
      <c r="A99" s="111">
        <v>46119</v>
      </c>
      <c r="B99" s="92">
        <v>359</v>
      </c>
      <c r="C99" s="92">
        <v>359</v>
      </c>
      <c r="D99" s="92">
        <v>0</v>
      </c>
      <c r="E99" s="88" t="s">
        <v>6</v>
      </c>
    </row>
    <row r="100" spans="1:5">
      <c r="A100" s="111">
        <v>46120</v>
      </c>
      <c r="B100" s="92">
        <v>200</v>
      </c>
      <c r="C100" s="92">
        <v>200</v>
      </c>
      <c r="D100" s="92">
        <v>0</v>
      </c>
      <c r="E100" s="88" t="s">
        <v>6</v>
      </c>
    </row>
    <row r="101" spans="1:5">
      <c r="A101" s="111">
        <v>46121</v>
      </c>
      <c r="B101" s="92">
        <v>286</v>
      </c>
      <c r="C101" s="92">
        <v>286</v>
      </c>
      <c r="D101" s="92">
        <v>0</v>
      </c>
      <c r="E101" s="88" t="s">
        <v>6</v>
      </c>
    </row>
    <row r="102" spans="1:5">
      <c r="A102" s="111">
        <v>46122</v>
      </c>
      <c r="B102" s="92">
        <v>322</v>
      </c>
      <c r="C102" s="92">
        <v>322</v>
      </c>
      <c r="D102" s="92">
        <v>0</v>
      </c>
      <c r="E102" s="88" t="s">
        <v>6</v>
      </c>
    </row>
    <row r="103" spans="1:5">
      <c r="A103" s="111">
        <v>46123</v>
      </c>
      <c r="B103" s="92">
        <v>83</v>
      </c>
      <c r="C103" s="92">
        <v>83</v>
      </c>
      <c r="D103" s="92">
        <v>0</v>
      </c>
      <c r="E103" s="88" t="s">
        <v>6</v>
      </c>
    </row>
    <row r="104" spans="1:5">
      <c r="A104" s="111">
        <v>46124</v>
      </c>
      <c r="B104" s="92">
        <v>69</v>
      </c>
      <c r="C104" s="92">
        <v>69</v>
      </c>
      <c r="D104" s="92">
        <v>0</v>
      </c>
      <c r="E104" s="88" t="s">
        <v>6</v>
      </c>
    </row>
    <row r="105" spans="1:5">
      <c r="A105" s="111">
        <v>46125</v>
      </c>
      <c r="B105" s="92">
        <v>401</v>
      </c>
      <c r="C105" s="92">
        <v>401</v>
      </c>
      <c r="D105" s="92">
        <v>0</v>
      </c>
      <c r="E105" s="88" t="s">
        <v>6</v>
      </c>
    </row>
    <row r="106" ht="49.5" spans="1:5">
      <c r="A106" s="111">
        <v>46126</v>
      </c>
      <c r="B106" s="92">
        <v>266</v>
      </c>
      <c r="C106" s="92">
        <v>265</v>
      </c>
      <c r="D106" s="92">
        <v>1</v>
      </c>
      <c r="E106" s="88" t="s">
        <v>7</v>
      </c>
    </row>
    <row r="107" spans="1:5">
      <c r="A107" s="111">
        <v>46127</v>
      </c>
      <c r="B107" s="92">
        <v>243</v>
      </c>
      <c r="C107" s="92">
        <v>243</v>
      </c>
      <c r="D107" s="92">
        <v>0</v>
      </c>
      <c r="E107" s="88" t="s">
        <v>6</v>
      </c>
    </row>
    <row r="108" spans="1:5">
      <c r="A108" s="111">
        <v>46128</v>
      </c>
      <c r="B108" s="92">
        <v>349</v>
      </c>
      <c r="C108" s="92">
        <v>349</v>
      </c>
      <c r="D108" s="92">
        <v>0</v>
      </c>
      <c r="E108" s="88" t="s">
        <v>6</v>
      </c>
    </row>
    <row r="109" spans="1:5">
      <c r="A109" s="111">
        <v>46129</v>
      </c>
      <c r="B109" s="92">
        <v>309</v>
      </c>
      <c r="C109" s="92">
        <v>309</v>
      </c>
      <c r="D109" s="92">
        <v>0</v>
      </c>
      <c r="E109" s="88" t="s">
        <v>6</v>
      </c>
    </row>
    <row r="110" spans="1:5">
      <c r="A110" s="111">
        <v>46130</v>
      </c>
      <c r="B110" s="92">
        <v>80</v>
      </c>
      <c r="C110" s="92">
        <v>80</v>
      </c>
      <c r="D110" s="92">
        <v>0</v>
      </c>
      <c r="E110" s="88" t="s">
        <v>6</v>
      </c>
    </row>
    <row r="111" spans="1:5">
      <c r="A111" s="111">
        <v>46131</v>
      </c>
      <c r="B111" s="92">
        <v>71</v>
      </c>
      <c r="C111" s="92">
        <v>71</v>
      </c>
      <c r="D111" s="92">
        <v>0</v>
      </c>
      <c r="E111" s="88" t="s">
        <v>6</v>
      </c>
    </row>
    <row r="112" spans="1:5">
      <c r="A112" s="111">
        <v>46132</v>
      </c>
      <c r="B112" s="92">
        <v>514</v>
      </c>
      <c r="C112" s="92">
        <v>514</v>
      </c>
      <c r="D112" s="92">
        <v>0</v>
      </c>
      <c r="E112" s="88" t="s">
        <v>6</v>
      </c>
    </row>
    <row r="113" spans="1:5">
      <c r="A113" s="111">
        <v>46133</v>
      </c>
      <c r="B113" s="92">
        <v>262</v>
      </c>
      <c r="C113" s="92">
        <v>262</v>
      </c>
      <c r="D113" s="92">
        <v>0</v>
      </c>
      <c r="E113" s="88" t="s">
        <v>6</v>
      </c>
    </row>
    <row r="114" spans="1:5">
      <c r="A114" s="111">
        <v>46134</v>
      </c>
      <c r="B114" s="92">
        <v>247</v>
      </c>
      <c r="C114" s="92">
        <v>247</v>
      </c>
      <c r="D114" s="92">
        <v>0</v>
      </c>
      <c r="E114" s="88" t="s">
        <v>6</v>
      </c>
    </row>
    <row r="115" spans="1:5">
      <c r="A115" s="111">
        <v>46135</v>
      </c>
      <c r="B115" s="92">
        <v>387</v>
      </c>
      <c r="C115" s="92">
        <v>387</v>
      </c>
      <c r="D115" s="92">
        <v>0</v>
      </c>
      <c r="E115" s="88" t="s">
        <v>6</v>
      </c>
    </row>
    <row r="116" spans="1:5">
      <c r="A116" s="111">
        <v>46136</v>
      </c>
      <c r="B116" s="92">
        <v>365</v>
      </c>
      <c r="C116" s="92">
        <v>365</v>
      </c>
      <c r="D116" s="92">
        <v>0</v>
      </c>
      <c r="E116" s="88" t="s">
        <v>6</v>
      </c>
    </row>
    <row r="117" spans="1:5">
      <c r="A117" s="111">
        <v>46137</v>
      </c>
      <c r="B117" s="92">
        <v>49</v>
      </c>
      <c r="C117" s="92">
        <v>49</v>
      </c>
      <c r="D117" s="92">
        <v>0</v>
      </c>
      <c r="E117" s="88" t="s">
        <v>6</v>
      </c>
    </row>
    <row r="118" spans="1:5">
      <c r="A118" s="111">
        <v>46138</v>
      </c>
      <c r="B118" s="92">
        <v>56</v>
      </c>
      <c r="C118" s="92">
        <v>56</v>
      </c>
      <c r="D118" s="92">
        <v>0</v>
      </c>
      <c r="E118" s="88" t="s">
        <v>6</v>
      </c>
    </row>
    <row r="119" spans="1:5">
      <c r="A119" s="111">
        <v>46139</v>
      </c>
      <c r="B119" s="92">
        <v>500</v>
      </c>
      <c r="C119" s="92">
        <v>500</v>
      </c>
      <c r="D119" s="92">
        <v>0</v>
      </c>
      <c r="E119" s="88" t="s">
        <v>6</v>
      </c>
    </row>
    <row r="120" spans="1:5">
      <c r="A120" s="111">
        <v>46140</v>
      </c>
      <c r="B120" s="92">
        <v>406</v>
      </c>
      <c r="C120" s="92">
        <v>406</v>
      </c>
      <c r="D120" s="92">
        <v>0</v>
      </c>
      <c r="E120" s="88" t="s">
        <v>6</v>
      </c>
    </row>
    <row r="121" spans="1:5">
      <c r="A121" s="111">
        <v>46141</v>
      </c>
      <c r="B121" s="92">
        <v>453</v>
      </c>
      <c r="C121" s="92">
        <v>453</v>
      </c>
      <c r="D121" s="92">
        <v>0</v>
      </c>
      <c r="E121" s="88" t="s">
        <v>6</v>
      </c>
    </row>
    <row r="122" spans="1:5">
      <c r="A122" s="111">
        <v>46142</v>
      </c>
      <c r="B122" s="92">
        <v>527</v>
      </c>
      <c r="C122" s="92">
        <v>527</v>
      </c>
      <c r="D122" s="92">
        <v>0</v>
      </c>
      <c r="E122" s="88" t="s">
        <v>6</v>
      </c>
    </row>
    <row r="123" spans="1:5">
      <c r="A123" s="111">
        <v>46143</v>
      </c>
      <c r="B123" s="92">
        <v>64</v>
      </c>
      <c r="C123" s="92">
        <v>64</v>
      </c>
      <c r="D123" s="92">
        <v>0</v>
      </c>
      <c r="E123" s="88" t="s">
        <v>6</v>
      </c>
    </row>
    <row r="124" spans="1:5">
      <c r="A124" s="111">
        <v>46144</v>
      </c>
      <c r="B124" s="92">
        <v>64</v>
      </c>
      <c r="C124" s="92">
        <v>64</v>
      </c>
      <c r="D124" s="92">
        <v>0</v>
      </c>
      <c r="E124" s="88" t="s">
        <v>6</v>
      </c>
    </row>
    <row r="125" spans="1:5">
      <c r="A125" s="111">
        <v>46145</v>
      </c>
      <c r="B125" s="92">
        <v>35</v>
      </c>
      <c r="C125" s="92">
        <v>35</v>
      </c>
      <c r="D125" s="92">
        <v>0</v>
      </c>
      <c r="E125" s="88" t="s">
        <v>6</v>
      </c>
    </row>
    <row r="126" spans="1:5">
      <c r="A126" s="111">
        <v>46146</v>
      </c>
      <c r="B126" s="92">
        <v>91</v>
      </c>
      <c r="C126" s="92">
        <v>91</v>
      </c>
      <c r="D126" s="92">
        <v>0</v>
      </c>
      <c r="E126" s="88" t="s">
        <v>6</v>
      </c>
    </row>
    <row r="127" spans="1:5">
      <c r="A127" s="111">
        <v>46147</v>
      </c>
      <c r="B127" s="92">
        <v>70</v>
      </c>
      <c r="C127" s="92">
        <v>70</v>
      </c>
      <c r="D127" s="92">
        <v>0</v>
      </c>
      <c r="E127" s="88" t="s">
        <v>6</v>
      </c>
    </row>
    <row r="128" spans="1:5">
      <c r="A128" s="111">
        <v>46148</v>
      </c>
      <c r="B128" s="92">
        <v>401</v>
      </c>
      <c r="C128" s="92">
        <v>401</v>
      </c>
      <c r="D128" s="92">
        <v>0</v>
      </c>
      <c r="E128" s="88" t="s">
        <v>6</v>
      </c>
    </row>
    <row r="129" spans="1:5">
      <c r="A129" s="111">
        <v>46149</v>
      </c>
      <c r="B129" s="92">
        <v>350</v>
      </c>
      <c r="C129" s="92">
        <v>350</v>
      </c>
      <c r="D129" s="92">
        <v>0</v>
      </c>
      <c r="E129" s="88" t="s">
        <v>6</v>
      </c>
    </row>
    <row r="130" spans="1:5">
      <c r="A130" s="111">
        <v>46150</v>
      </c>
      <c r="B130" s="92">
        <v>300</v>
      </c>
      <c r="C130" s="92">
        <v>300</v>
      </c>
      <c r="D130" s="92">
        <v>0</v>
      </c>
      <c r="E130" s="88" t="s">
        <v>6</v>
      </c>
    </row>
    <row r="131" spans="1:5">
      <c r="A131" s="111">
        <v>46151</v>
      </c>
      <c r="B131" s="92">
        <v>170</v>
      </c>
      <c r="C131" s="92">
        <v>170</v>
      </c>
      <c r="D131" s="92">
        <v>0</v>
      </c>
      <c r="E131" s="88" t="s">
        <v>6</v>
      </c>
    </row>
    <row r="132" spans="1:5">
      <c r="A132" s="111">
        <v>46152</v>
      </c>
      <c r="B132" s="92">
        <v>80</v>
      </c>
      <c r="C132" s="92">
        <v>80</v>
      </c>
      <c r="D132" s="92">
        <v>0</v>
      </c>
      <c r="E132" s="88" t="s">
        <v>6</v>
      </c>
    </row>
    <row r="133" spans="1:5">
      <c r="A133" s="111">
        <v>46153</v>
      </c>
      <c r="B133" s="92">
        <v>347</v>
      </c>
      <c r="C133" s="92">
        <v>347</v>
      </c>
      <c r="D133" s="92">
        <v>0</v>
      </c>
      <c r="E133" s="88" t="s">
        <v>6</v>
      </c>
    </row>
    <row r="134" spans="1:5">
      <c r="A134" s="111">
        <v>46154</v>
      </c>
      <c r="B134" s="92">
        <v>173</v>
      </c>
      <c r="C134" s="92">
        <v>173</v>
      </c>
      <c r="D134" s="92">
        <v>0</v>
      </c>
      <c r="E134" s="88" t="s">
        <v>6</v>
      </c>
    </row>
    <row r="135" spans="1:5">
      <c r="A135" s="111">
        <v>46155</v>
      </c>
      <c r="B135" s="92">
        <v>160</v>
      </c>
      <c r="C135" s="92">
        <v>160</v>
      </c>
      <c r="D135" s="92">
        <v>0</v>
      </c>
      <c r="E135" s="88" t="s">
        <v>6</v>
      </c>
    </row>
    <row r="136" spans="1:5">
      <c r="A136" s="111">
        <v>46156</v>
      </c>
      <c r="B136" s="92">
        <v>339</v>
      </c>
      <c r="C136" s="92">
        <v>339</v>
      </c>
      <c r="D136" s="92">
        <v>0</v>
      </c>
      <c r="E136" s="88" t="s">
        <v>6</v>
      </c>
    </row>
    <row r="137" spans="1:5">
      <c r="A137" s="111">
        <v>46157</v>
      </c>
      <c r="B137" s="92">
        <v>278</v>
      </c>
      <c r="C137" s="92">
        <v>278</v>
      </c>
      <c r="D137" s="92">
        <v>0</v>
      </c>
      <c r="E137" s="88" t="s">
        <v>6</v>
      </c>
    </row>
    <row r="138" spans="1:5">
      <c r="A138" s="111">
        <v>46158</v>
      </c>
      <c r="B138" s="92">
        <v>66</v>
      </c>
      <c r="C138" s="92">
        <v>66</v>
      </c>
      <c r="D138" s="92">
        <v>0</v>
      </c>
      <c r="E138" s="88" t="s">
        <v>6</v>
      </c>
    </row>
    <row r="139" spans="1:5">
      <c r="A139" s="111">
        <v>46159</v>
      </c>
      <c r="B139" s="92">
        <v>52</v>
      </c>
      <c r="C139" s="92">
        <v>52</v>
      </c>
      <c r="D139" s="92">
        <v>0</v>
      </c>
      <c r="E139" s="88" t="s">
        <v>6</v>
      </c>
    </row>
    <row r="140" spans="1:5">
      <c r="A140" s="111">
        <v>46160</v>
      </c>
      <c r="B140" s="92">
        <v>399</v>
      </c>
      <c r="C140" s="92">
        <v>399</v>
      </c>
      <c r="D140" s="92">
        <v>0</v>
      </c>
      <c r="E140" s="88" t="s">
        <v>6</v>
      </c>
    </row>
    <row r="141" spans="1:5">
      <c r="A141" s="111">
        <v>46161</v>
      </c>
      <c r="B141" s="92">
        <v>229</v>
      </c>
      <c r="C141" s="92">
        <v>229</v>
      </c>
      <c r="D141" s="92">
        <v>0</v>
      </c>
      <c r="E141" s="88" t="s">
        <v>6</v>
      </c>
    </row>
    <row r="142" spans="1:5">
      <c r="A142" s="111">
        <v>46162</v>
      </c>
      <c r="B142" s="92">
        <v>221</v>
      </c>
      <c r="C142" s="92">
        <v>221</v>
      </c>
      <c r="D142" s="92">
        <v>0</v>
      </c>
      <c r="E142" s="88" t="s">
        <v>6</v>
      </c>
    </row>
    <row r="143" spans="1:5">
      <c r="A143" s="111">
        <v>46163</v>
      </c>
      <c r="B143" s="92">
        <v>313</v>
      </c>
      <c r="C143" s="92">
        <v>313</v>
      </c>
      <c r="D143" s="92">
        <v>0</v>
      </c>
      <c r="E143" s="88" t="s">
        <v>6</v>
      </c>
    </row>
    <row r="144" spans="1:5">
      <c r="A144" s="111">
        <v>46164</v>
      </c>
      <c r="B144" s="92">
        <v>319</v>
      </c>
      <c r="C144" s="92">
        <v>319</v>
      </c>
      <c r="D144" s="92">
        <v>0</v>
      </c>
      <c r="E144" s="88" t="s">
        <v>6</v>
      </c>
    </row>
    <row r="145" spans="1:5">
      <c r="A145" s="111">
        <v>46165</v>
      </c>
      <c r="B145" s="92">
        <v>45</v>
      </c>
      <c r="C145" s="92">
        <v>45</v>
      </c>
      <c r="D145" s="92">
        <v>0</v>
      </c>
      <c r="E145" s="88" t="s">
        <v>6</v>
      </c>
    </row>
    <row r="146" spans="1:5">
      <c r="A146" s="111">
        <v>46166</v>
      </c>
      <c r="B146" s="92">
        <v>80</v>
      </c>
      <c r="C146" s="92">
        <v>80</v>
      </c>
      <c r="D146" s="92">
        <v>0</v>
      </c>
      <c r="E146" s="88" t="s">
        <v>6</v>
      </c>
    </row>
    <row r="147" spans="1:5">
      <c r="A147" s="111">
        <v>46167</v>
      </c>
      <c r="B147" s="92">
        <v>440</v>
      </c>
      <c r="C147" s="92">
        <v>440</v>
      </c>
      <c r="D147" s="92">
        <v>0</v>
      </c>
      <c r="E147" s="88" t="s">
        <v>6</v>
      </c>
    </row>
    <row r="148" spans="1:5">
      <c r="A148" s="111">
        <v>46168</v>
      </c>
      <c r="B148" s="92">
        <v>225</v>
      </c>
      <c r="C148" s="92">
        <v>225</v>
      </c>
      <c r="D148" s="92">
        <v>0</v>
      </c>
      <c r="E148" s="88" t="s">
        <v>6</v>
      </c>
    </row>
    <row r="149" spans="1:5">
      <c r="A149" s="111">
        <v>46169</v>
      </c>
      <c r="B149" s="92">
        <v>215</v>
      </c>
      <c r="C149" s="92">
        <v>215</v>
      </c>
      <c r="D149" s="92">
        <v>0</v>
      </c>
      <c r="E149" s="88" t="s">
        <v>6</v>
      </c>
    </row>
    <row r="150" spans="1:5">
      <c r="A150" s="111">
        <v>46170</v>
      </c>
      <c r="B150" s="92">
        <v>396</v>
      </c>
      <c r="C150" s="92">
        <v>396</v>
      </c>
      <c r="D150" s="92">
        <v>0</v>
      </c>
      <c r="E150" s="88" t="s">
        <v>6</v>
      </c>
    </row>
    <row r="151" spans="1:5">
      <c r="A151" s="111">
        <v>46171</v>
      </c>
      <c r="B151" s="92">
        <v>360</v>
      </c>
      <c r="C151" s="92">
        <v>360</v>
      </c>
      <c r="D151" s="92">
        <v>0</v>
      </c>
      <c r="E151" s="88" t="s">
        <v>6</v>
      </c>
    </row>
    <row r="152" spans="1:5">
      <c r="A152" s="111">
        <v>46172</v>
      </c>
      <c r="B152" s="92">
        <v>57</v>
      </c>
      <c r="C152" s="92">
        <v>57</v>
      </c>
      <c r="D152" s="92">
        <v>0</v>
      </c>
      <c r="E152" s="88" t="s">
        <v>6</v>
      </c>
    </row>
    <row r="153" ht="49.5" spans="1:5">
      <c r="A153" s="111">
        <v>46173</v>
      </c>
      <c r="B153" s="92">
        <v>68</v>
      </c>
      <c r="C153" s="92">
        <v>67</v>
      </c>
      <c r="D153" s="92">
        <v>1</v>
      </c>
      <c r="E153" s="88" t="s">
        <v>8</v>
      </c>
    </row>
    <row r="154" ht="409" customHeight="1" spans="1:5">
      <c r="A154" s="111">
        <v>46174</v>
      </c>
      <c r="B154" s="92">
        <v>521</v>
      </c>
      <c r="C154" s="92">
        <v>498</v>
      </c>
      <c r="D154" s="92">
        <v>23</v>
      </c>
      <c r="E154" s="88" t="s">
        <v>9</v>
      </c>
    </row>
    <row r="155" spans="1:5">
      <c r="A155" s="111">
        <v>46175</v>
      </c>
      <c r="B155" s="92"/>
      <c r="C155" s="92"/>
      <c r="D155" s="92"/>
      <c r="E155" s="88"/>
    </row>
    <row r="156" spans="1:5">
      <c r="A156" s="111">
        <v>46176</v>
      </c>
      <c r="B156" s="92"/>
      <c r="C156" s="92"/>
      <c r="D156" s="92"/>
      <c r="E156" s="88"/>
    </row>
    <row r="157" spans="1:5">
      <c r="A157" s="111">
        <v>46177</v>
      </c>
      <c r="B157" s="92"/>
      <c r="C157" s="92"/>
      <c r="D157" s="92"/>
      <c r="E157" s="88"/>
    </row>
    <row r="158" spans="1:5">
      <c r="A158" s="111">
        <v>46178</v>
      </c>
      <c r="B158" s="92"/>
      <c r="C158" s="92"/>
      <c r="D158" s="92"/>
      <c r="E158" s="88"/>
    </row>
    <row r="159" spans="1:5">
      <c r="A159" s="111">
        <v>46179</v>
      </c>
      <c r="B159" s="92"/>
      <c r="C159" s="92"/>
      <c r="D159" s="92"/>
      <c r="E159" s="88"/>
    </row>
    <row r="160" spans="1:5">
      <c r="A160" s="111">
        <v>46180</v>
      </c>
      <c r="B160" s="92"/>
      <c r="C160" s="92"/>
      <c r="D160" s="92"/>
      <c r="E160" s="88"/>
    </row>
    <row r="161" spans="1:5">
      <c r="A161" s="111">
        <v>46181</v>
      </c>
      <c r="B161" s="92"/>
      <c r="C161" s="92"/>
      <c r="D161" s="92"/>
      <c r="E161" s="88"/>
    </row>
    <row r="162" spans="1:5">
      <c r="A162" s="111">
        <v>46182</v>
      </c>
      <c r="B162" s="92"/>
      <c r="C162" s="92"/>
      <c r="D162" s="92"/>
      <c r="E162" s="88"/>
    </row>
    <row r="163" spans="1:5">
      <c r="A163" s="111">
        <v>46183</v>
      </c>
      <c r="B163" s="92"/>
      <c r="C163" s="92"/>
      <c r="D163" s="92"/>
      <c r="E163" s="88"/>
    </row>
    <row r="164" spans="1:5">
      <c r="A164" s="111">
        <v>46184</v>
      </c>
      <c r="B164" s="92"/>
      <c r="C164" s="92"/>
      <c r="D164" s="92"/>
      <c r="E164" s="88"/>
    </row>
    <row r="165" spans="1:5">
      <c r="A165" s="111">
        <v>46185</v>
      </c>
      <c r="B165" s="92"/>
      <c r="C165" s="92"/>
      <c r="D165" s="92"/>
      <c r="E165" s="88"/>
    </row>
    <row r="166" spans="1:5">
      <c r="A166" s="111">
        <v>46186</v>
      </c>
      <c r="B166" s="92"/>
      <c r="C166" s="92"/>
      <c r="D166" s="92"/>
      <c r="E166" s="88"/>
    </row>
    <row r="167" spans="1:5">
      <c r="A167" s="111">
        <v>46187</v>
      </c>
      <c r="B167" s="92"/>
      <c r="C167" s="92"/>
      <c r="D167" s="92"/>
      <c r="E167" s="88"/>
    </row>
    <row r="168" spans="1:5">
      <c r="A168" s="111">
        <v>46188</v>
      </c>
      <c r="B168" s="92"/>
      <c r="C168" s="92"/>
      <c r="D168" s="92"/>
      <c r="E168" s="88"/>
    </row>
    <row r="169" spans="1:5">
      <c r="A169" s="111">
        <v>46189</v>
      </c>
      <c r="B169" s="92"/>
      <c r="C169" s="92"/>
      <c r="D169" s="92"/>
      <c r="E169" s="88"/>
    </row>
    <row r="170" spans="1:5">
      <c r="A170" s="111">
        <v>46190</v>
      </c>
      <c r="B170" s="92"/>
      <c r="C170" s="92"/>
      <c r="D170" s="92"/>
      <c r="E170" s="88"/>
    </row>
    <row r="171" spans="1:5">
      <c r="A171" s="111">
        <v>46191</v>
      </c>
      <c r="B171" s="92"/>
      <c r="C171" s="92"/>
      <c r="D171" s="92"/>
      <c r="E171" s="88"/>
    </row>
    <row r="172" spans="1:5">
      <c r="A172" s="111">
        <v>46192</v>
      </c>
      <c r="B172" s="92"/>
      <c r="C172" s="92"/>
      <c r="D172" s="92"/>
      <c r="E172" s="88"/>
    </row>
    <row r="173" spans="1:5">
      <c r="A173" s="111">
        <v>46193</v>
      </c>
      <c r="B173" s="92"/>
      <c r="C173" s="92"/>
      <c r="D173" s="92"/>
      <c r="E173" s="88"/>
    </row>
    <row r="174" spans="1:5">
      <c r="A174" s="111">
        <v>46194</v>
      </c>
      <c r="B174" s="92"/>
      <c r="C174" s="92"/>
      <c r="D174" s="92"/>
      <c r="E174" s="88"/>
    </row>
    <row r="175" spans="1:5">
      <c r="A175" s="111">
        <v>46195</v>
      </c>
      <c r="B175" s="92"/>
      <c r="C175" s="92"/>
      <c r="D175" s="92"/>
      <c r="E175" s="88"/>
    </row>
    <row r="176" spans="1:5">
      <c r="A176" s="111">
        <v>46196</v>
      </c>
      <c r="B176" s="92"/>
      <c r="C176" s="92"/>
      <c r="D176" s="92"/>
      <c r="E176" s="88"/>
    </row>
    <row r="177" spans="1:5">
      <c r="A177" s="111">
        <v>46197</v>
      </c>
      <c r="B177" s="92"/>
      <c r="C177" s="92"/>
      <c r="D177" s="92"/>
      <c r="E177" s="88"/>
    </row>
    <row r="178" spans="1:5">
      <c r="A178" s="111">
        <v>46198</v>
      </c>
      <c r="B178" s="92"/>
      <c r="C178" s="92"/>
      <c r="D178" s="92"/>
      <c r="E178" s="88"/>
    </row>
    <row r="179" spans="1:5">
      <c r="A179" s="111">
        <v>46199</v>
      </c>
      <c r="B179" s="92"/>
      <c r="C179" s="92"/>
      <c r="D179" s="92"/>
      <c r="E179" s="88"/>
    </row>
    <row r="180" spans="1:5">
      <c r="A180" s="111">
        <v>46200</v>
      </c>
      <c r="B180" s="92"/>
      <c r="C180" s="92"/>
      <c r="D180" s="92"/>
      <c r="E180" s="88"/>
    </row>
    <row r="181" spans="1:5">
      <c r="A181" s="111">
        <v>46201</v>
      </c>
      <c r="B181" s="92"/>
      <c r="C181" s="92"/>
      <c r="D181" s="92"/>
      <c r="E181" s="88"/>
    </row>
    <row r="182" spans="1:5">
      <c r="A182" s="111">
        <v>46202</v>
      </c>
      <c r="B182" s="92"/>
      <c r="C182" s="92"/>
      <c r="D182" s="92"/>
      <c r="E182" s="88"/>
    </row>
    <row r="183" spans="1:5">
      <c r="A183" s="111">
        <v>46203</v>
      </c>
      <c r="B183" s="92"/>
      <c r="C183" s="92"/>
      <c r="D183" s="92"/>
      <c r="E183" s="88"/>
    </row>
    <row r="184" spans="1:5">
      <c r="A184" s="111"/>
      <c r="B184" s="92"/>
      <c r="C184" s="92"/>
      <c r="D184" s="92"/>
      <c r="E184" s="88"/>
    </row>
    <row r="185" spans="1:5">
      <c r="A185" s="111"/>
      <c r="B185" s="92"/>
      <c r="C185" s="92"/>
      <c r="D185" s="92"/>
      <c r="E185" s="88"/>
    </row>
    <row r="186" spans="1:5">
      <c r="A186" s="111"/>
      <c r="B186" s="92"/>
      <c r="C186" s="92"/>
      <c r="D186" s="92"/>
      <c r="E186" s="88"/>
    </row>
    <row r="187" spans="1:5">
      <c r="A187" s="111"/>
      <c r="B187" s="92"/>
      <c r="C187" s="92"/>
      <c r="D187" s="92"/>
      <c r="E187" s="88"/>
    </row>
    <row r="188" spans="1:5">
      <c r="A188" s="111"/>
      <c r="B188" s="92"/>
      <c r="C188" s="92"/>
      <c r="D188" s="92"/>
      <c r="E188" s="88"/>
    </row>
    <row r="189" spans="1:5">
      <c r="A189" s="111"/>
      <c r="B189" s="92"/>
      <c r="C189" s="92"/>
      <c r="D189" s="92"/>
      <c r="E189" s="88"/>
    </row>
    <row r="190" spans="1:5">
      <c r="A190" s="111"/>
      <c r="B190" s="92"/>
      <c r="C190" s="92"/>
      <c r="D190" s="92"/>
      <c r="E190" s="88"/>
    </row>
    <row r="191" spans="1:5">
      <c r="A191" s="111"/>
      <c r="B191" s="92"/>
      <c r="C191" s="92"/>
      <c r="D191" s="92"/>
      <c r="E191" s="88"/>
    </row>
    <row r="192" spans="1:5">
      <c r="A192" s="111"/>
      <c r="B192" s="92"/>
      <c r="C192" s="92"/>
      <c r="D192" s="92"/>
      <c r="E192" s="88"/>
    </row>
    <row r="193" spans="1:5">
      <c r="A193" s="111"/>
      <c r="B193" s="92"/>
      <c r="C193" s="92"/>
      <c r="D193" s="92"/>
      <c r="E193" s="88"/>
    </row>
    <row r="194" spans="1:5">
      <c r="A194" s="111"/>
      <c r="B194" s="92"/>
      <c r="C194" s="92"/>
      <c r="D194" s="92"/>
      <c r="E194" s="88"/>
    </row>
    <row r="195" spans="1:5">
      <c r="A195" s="111"/>
      <c r="B195" s="92"/>
      <c r="C195" s="92"/>
      <c r="D195" s="92"/>
      <c r="E195" s="88"/>
    </row>
    <row r="196" spans="1:5">
      <c r="A196" s="111"/>
      <c r="B196" s="92"/>
      <c r="C196" s="92"/>
      <c r="D196" s="92"/>
      <c r="E196" s="88"/>
    </row>
    <row r="197" spans="1:5">
      <c r="A197" s="111"/>
      <c r="B197" s="92"/>
      <c r="C197" s="92"/>
      <c r="D197" s="92"/>
      <c r="E197" s="88"/>
    </row>
    <row r="198" spans="1:5">
      <c r="A198" s="111"/>
      <c r="B198" s="92"/>
      <c r="C198" s="92"/>
      <c r="D198" s="92"/>
      <c r="E198" s="88"/>
    </row>
    <row r="199" spans="1:5">
      <c r="A199" s="111"/>
      <c r="B199" s="92"/>
      <c r="C199" s="92"/>
      <c r="D199" s="92"/>
      <c r="E199" s="88"/>
    </row>
    <row r="200" spans="1:5">
      <c r="A200" s="111"/>
      <c r="B200" s="92"/>
      <c r="C200" s="92"/>
      <c r="D200" s="92"/>
      <c r="E200" s="88"/>
    </row>
    <row r="201" spans="1:5">
      <c r="A201" s="111"/>
      <c r="B201" s="92"/>
      <c r="C201" s="92"/>
      <c r="D201" s="92"/>
      <c r="E201" s="88"/>
    </row>
    <row r="202" spans="1:5">
      <c r="A202" s="111"/>
      <c r="B202" s="92"/>
      <c r="C202" s="92"/>
      <c r="D202" s="92"/>
      <c r="E202" s="88"/>
    </row>
    <row r="203" spans="1:5">
      <c r="A203" s="111"/>
      <c r="B203" s="92"/>
      <c r="C203" s="92"/>
      <c r="D203" s="92"/>
      <c r="E203" s="88"/>
    </row>
    <row r="204" spans="1:5">
      <c r="A204" s="111"/>
      <c r="B204" s="92"/>
      <c r="C204" s="92"/>
      <c r="D204" s="92"/>
      <c r="E204" s="88"/>
    </row>
    <row r="205" spans="1:5">
      <c r="A205" s="111"/>
      <c r="B205" s="92"/>
      <c r="C205" s="92"/>
      <c r="D205" s="92"/>
      <c r="E205" s="88"/>
    </row>
    <row r="206" spans="1:5">
      <c r="A206" s="111"/>
      <c r="B206" s="92"/>
      <c r="C206" s="92"/>
      <c r="D206" s="92"/>
      <c r="E206" s="88"/>
    </row>
    <row r="207" spans="1:5">
      <c r="A207" s="111"/>
      <c r="B207" s="92"/>
      <c r="C207" s="92"/>
      <c r="D207" s="92"/>
      <c r="E207" s="88"/>
    </row>
    <row r="208" spans="1:5">
      <c r="A208" s="111"/>
      <c r="B208" s="92"/>
      <c r="C208" s="92"/>
      <c r="D208" s="92"/>
      <c r="E208" s="88"/>
    </row>
    <row r="209" spans="1:5">
      <c r="A209" s="111"/>
      <c r="B209" s="92"/>
      <c r="C209" s="92"/>
      <c r="D209" s="92"/>
      <c r="E209" s="88"/>
    </row>
    <row r="210" spans="1:5">
      <c r="A210" s="111"/>
      <c r="B210" s="92"/>
      <c r="C210" s="92"/>
      <c r="D210" s="92"/>
      <c r="E210" s="88"/>
    </row>
    <row r="211" spans="1:5">
      <c r="A211" s="111"/>
      <c r="B211" s="92"/>
      <c r="C211" s="92"/>
      <c r="D211" s="92"/>
      <c r="E211" s="88"/>
    </row>
    <row r="212" spans="1:5">
      <c r="A212" s="111"/>
      <c r="B212" s="92"/>
      <c r="C212" s="92"/>
      <c r="D212" s="92"/>
      <c r="E212" s="88"/>
    </row>
    <row r="213" spans="1:5">
      <c r="A213" s="111"/>
      <c r="B213" s="92"/>
      <c r="C213" s="92"/>
      <c r="D213" s="92"/>
      <c r="E213" s="88"/>
    </row>
    <row r="214" spans="1:5">
      <c r="A214" s="111"/>
      <c r="B214" s="92"/>
      <c r="C214" s="92"/>
      <c r="D214" s="92"/>
      <c r="E214" s="88"/>
    </row>
    <row r="215" spans="1:5">
      <c r="A215" s="111"/>
      <c r="B215" s="92"/>
      <c r="C215" s="92"/>
      <c r="D215" s="92"/>
      <c r="E215" s="88"/>
    </row>
    <row r="216" spans="1:5">
      <c r="A216" s="111"/>
      <c r="B216" s="92"/>
      <c r="C216" s="92"/>
      <c r="D216" s="92"/>
      <c r="E216" s="88"/>
    </row>
    <row r="217" spans="1:5">
      <c r="A217" s="111"/>
      <c r="B217" s="92"/>
      <c r="C217" s="92"/>
      <c r="D217" s="92"/>
      <c r="E217" s="88"/>
    </row>
    <row r="218" spans="1:5">
      <c r="A218" s="111"/>
      <c r="B218" s="92"/>
      <c r="C218" s="92"/>
      <c r="D218" s="92"/>
      <c r="E218" s="88"/>
    </row>
    <row r="219" spans="1:5">
      <c r="A219" s="111"/>
      <c r="B219" s="92"/>
      <c r="C219" s="92"/>
      <c r="D219" s="92"/>
      <c r="E219" s="88"/>
    </row>
    <row r="220" spans="1:5">
      <c r="A220" s="111"/>
      <c r="B220" s="92"/>
      <c r="C220" s="92"/>
      <c r="D220" s="92"/>
      <c r="E220" s="88"/>
    </row>
    <row r="221" spans="1:5">
      <c r="A221" s="111"/>
      <c r="B221" s="92"/>
      <c r="C221" s="92"/>
      <c r="D221" s="92"/>
      <c r="E221" s="88"/>
    </row>
    <row r="222" spans="1:5">
      <c r="A222" s="111"/>
      <c r="B222" s="92"/>
      <c r="C222" s="92"/>
      <c r="D222" s="92"/>
      <c r="E222" s="88"/>
    </row>
    <row r="223" spans="1:5">
      <c r="A223" s="111"/>
      <c r="B223" s="92"/>
      <c r="C223" s="92"/>
      <c r="D223" s="92"/>
      <c r="E223" s="88"/>
    </row>
    <row r="224" spans="1:5">
      <c r="A224" s="111"/>
      <c r="B224" s="92"/>
      <c r="C224" s="92"/>
      <c r="D224" s="92"/>
      <c r="E224" s="88"/>
    </row>
    <row r="225" spans="1:5">
      <c r="A225" s="111"/>
      <c r="B225" s="92"/>
      <c r="C225" s="92"/>
      <c r="D225" s="92"/>
      <c r="E225" s="88"/>
    </row>
    <row r="226" spans="1:5">
      <c r="A226" s="111"/>
      <c r="B226" s="92"/>
      <c r="C226" s="92"/>
      <c r="D226" s="92"/>
      <c r="E226" s="88"/>
    </row>
    <row r="227" spans="1:5">
      <c r="A227" s="111"/>
      <c r="B227" s="92"/>
      <c r="C227" s="92"/>
      <c r="D227" s="92"/>
      <c r="E227" s="88"/>
    </row>
    <row r="228" spans="1:5">
      <c r="A228" s="111"/>
      <c r="B228" s="92"/>
      <c r="C228" s="92"/>
      <c r="D228" s="92"/>
      <c r="E228" s="88"/>
    </row>
    <row r="229" spans="1:5">
      <c r="A229" s="111"/>
      <c r="B229" s="92"/>
      <c r="C229" s="92"/>
      <c r="D229" s="92"/>
      <c r="E229" s="88"/>
    </row>
    <row r="230" spans="1:5">
      <c r="A230" s="111"/>
      <c r="B230" s="92"/>
      <c r="C230" s="92"/>
      <c r="D230" s="92"/>
      <c r="E230" s="88"/>
    </row>
    <row r="231" spans="1:5">
      <c r="A231" s="111"/>
      <c r="B231" s="92"/>
      <c r="C231" s="92"/>
      <c r="D231" s="92"/>
      <c r="E231" s="88"/>
    </row>
    <row r="232" spans="1:5">
      <c r="A232" s="111"/>
      <c r="B232" s="92"/>
      <c r="C232" s="92"/>
      <c r="D232" s="92"/>
      <c r="E232" s="88"/>
    </row>
    <row r="233" spans="1:5">
      <c r="A233" s="111"/>
      <c r="B233" s="92"/>
      <c r="C233" s="92"/>
      <c r="D233" s="92"/>
      <c r="E233" s="88"/>
    </row>
    <row r="234" spans="1:5">
      <c r="A234" s="111"/>
      <c r="B234" s="92"/>
      <c r="C234" s="92"/>
      <c r="D234" s="92"/>
      <c r="E234" s="88"/>
    </row>
    <row r="235" spans="1:5">
      <c r="A235" s="111"/>
      <c r="B235" s="92"/>
      <c r="C235" s="92"/>
      <c r="D235" s="92"/>
      <c r="E235" s="88"/>
    </row>
    <row r="236" spans="1:5">
      <c r="A236" s="111"/>
      <c r="B236" s="92"/>
      <c r="C236" s="92"/>
      <c r="D236" s="92"/>
      <c r="E236" s="88"/>
    </row>
    <row r="237" spans="1:5">
      <c r="A237" s="111"/>
      <c r="B237" s="92"/>
      <c r="C237" s="92"/>
      <c r="D237" s="92"/>
      <c r="E237" s="88"/>
    </row>
    <row r="238" spans="1:5">
      <c r="A238" s="111"/>
      <c r="B238" s="92"/>
      <c r="C238" s="92"/>
      <c r="D238" s="92"/>
      <c r="E238" s="88"/>
    </row>
    <row r="239" spans="1:5">
      <c r="A239" s="111"/>
      <c r="B239" s="92"/>
      <c r="C239" s="92"/>
      <c r="D239" s="92"/>
      <c r="E239" s="88"/>
    </row>
    <row r="240" spans="1:5">
      <c r="A240" s="111"/>
      <c r="B240" s="92"/>
      <c r="C240" s="92"/>
      <c r="D240" s="92"/>
      <c r="E240" s="88"/>
    </row>
    <row r="241" spans="1:5">
      <c r="A241" s="111"/>
      <c r="B241" s="92"/>
      <c r="C241" s="92"/>
      <c r="D241" s="92"/>
      <c r="E241" s="88"/>
    </row>
    <row r="242" spans="1:5">
      <c r="A242" s="111"/>
      <c r="B242" s="92"/>
      <c r="C242" s="92"/>
      <c r="D242" s="92"/>
      <c r="E242" s="88"/>
    </row>
    <row r="243" spans="1:5">
      <c r="A243" s="111"/>
      <c r="B243" s="114"/>
      <c r="C243" s="114"/>
      <c r="D243" s="92"/>
      <c r="E243" s="88"/>
    </row>
    <row r="244" spans="1:5">
      <c r="A244" s="111"/>
      <c r="B244" s="114"/>
      <c r="C244" s="114"/>
      <c r="D244" s="114"/>
      <c r="E244" s="85"/>
    </row>
    <row r="245" spans="1:5">
      <c r="A245" s="114"/>
      <c r="B245" s="114"/>
      <c r="C245" s="114"/>
      <c r="D245" s="114"/>
      <c r="E245" s="85"/>
    </row>
    <row r="246" spans="1:5">
      <c r="A246" s="114"/>
      <c r="B246" s="114"/>
      <c r="C246" s="114"/>
      <c r="D246" s="114"/>
      <c r="E246" s="85"/>
    </row>
    <row r="247" spans="1:5">
      <c r="A247" s="114"/>
      <c r="B247" s="114"/>
      <c r="C247" s="114"/>
      <c r="D247" s="114"/>
      <c r="E247" s="85"/>
    </row>
    <row r="248" spans="1:5">
      <c r="A248" s="114"/>
      <c r="B248" s="114"/>
      <c r="C248" s="114"/>
      <c r="D248" s="114"/>
      <c r="E248" s="85"/>
    </row>
    <row r="249" spans="1:5">
      <c r="A249" s="114"/>
      <c r="B249" s="114"/>
      <c r="C249" s="114"/>
      <c r="D249" s="114"/>
      <c r="E249" s="85"/>
    </row>
    <row r="250" spans="1:5">
      <c r="A250" s="114"/>
      <c r="B250" s="114"/>
      <c r="C250" s="114"/>
      <c r="D250" s="114"/>
      <c r="E250" s="85"/>
    </row>
    <row r="251" spans="1:5">
      <c r="A251" s="114"/>
      <c r="B251" s="114"/>
      <c r="C251" s="114"/>
      <c r="D251" s="114"/>
      <c r="E251" s="85"/>
    </row>
    <row r="252" spans="1:5">
      <c r="A252" s="114"/>
      <c r="B252" s="114"/>
      <c r="C252" s="114"/>
      <c r="D252" s="114"/>
      <c r="E252" s="85"/>
    </row>
    <row r="253" spans="1:5">
      <c r="A253" s="114"/>
      <c r="B253" s="114"/>
      <c r="C253" s="114"/>
      <c r="D253" s="114"/>
      <c r="E253" s="85"/>
    </row>
    <row r="254" spans="1:5">
      <c r="A254" s="114"/>
      <c r="B254" s="114"/>
      <c r="C254" s="114"/>
      <c r="D254" s="114"/>
      <c r="E254" s="85"/>
    </row>
    <row r="255" spans="1:5">
      <c r="A255" s="114"/>
      <c r="B255" s="114"/>
      <c r="C255" s="114"/>
      <c r="D255" s="114"/>
      <c r="E255" s="85"/>
    </row>
    <row r="256" spans="1:5">
      <c r="A256" s="114"/>
      <c r="B256" s="114"/>
      <c r="C256" s="114"/>
      <c r="D256" s="114"/>
      <c r="E256" s="85"/>
    </row>
    <row r="257" spans="1:5">
      <c r="A257" s="114"/>
      <c r="B257" s="114"/>
      <c r="C257" s="114"/>
      <c r="D257" s="114"/>
      <c r="E257" s="85"/>
    </row>
    <row r="258" spans="1:5">
      <c r="A258" s="114"/>
      <c r="B258" s="114"/>
      <c r="C258" s="114"/>
      <c r="D258" s="114"/>
      <c r="E258" s="85"/>
    </row>
    <row r="259" spans="1:5">
      <c r="A259" s="114"/>
      <c r="B259" s="114"/>
      <c r="C259" s="114"/>
      <c r="D259" s="114"/>
      <c r="E259" s="85"/>
    </row>
    <row r="260" spans="1:5">
      <c r="A260" s="114"/>
      <c r="B260" s="114"/>
      <c r="C260" s="114"/>
      <c r="D260" s="114"/>
      <c r="E260" s="85"/>
    </row>
    <row r="261" spans="1:5">
      <c r="A261" s="114"/>
      <c r="B261" s="114"/>
      <c r="C261" s="114"/>
      <c r="D261" s="114"/>
      <c r="E261" s="85"/>
    </row>
    <row r="262" spans="1:5">
      <c r="A262" s="114"/>
      <c r="B262" s="114"/>
      <c r="C262" s="114"/>
      <c r="D262" s="114"/>
      <c r="E262" s="85"/>
    </row>
    <row r="263" spans="1:5">
      <c r="A263" s="114"/>
      <c r="B263" s="114"/>
      <c r="C263" s="114"/>
      <c r="D263" s="114"/>
      <c r="E263" s="85"/>
    </row>
  </sheetData>
  <sheetProtection formatCells="0" formatColumns="0" formatRows="0" insertRows="0" insertColumns="0" insertHyperlinks="0" deleteColumns="0" deleteRows="0" sort="0" autoFilter="0" pivotTables="0"/>
  <mergeCells count="1">
    <mergeCell ref="A1:E1"/>
  </mergeCells>
  <pageMargins left="0.75" right="0.75" top="1" bottom="1" header="0.5" footer="0.5"/>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P919"/>
  <sheetViews>
    <sheetView tabSelected="1" zoomScale="80" zoomScaleNormal="80" workbookViewId="0">
      <selection activeCell="M844" sqref="M844"/>
    </sheetView>
  </sheetViews>
  <sheetFormatPr defaultColWidth="9" defaultRowHeight="16.5"/>
  <cols>
    <col min="1" max="1" width="5.31666666666667" style="70" customWidth="1"/>
    <col min="2" max="2" width="8.05833333333333" style="2" customWidth="1"/>
    <col min="3" max="3" width="8.05833333333333" style="1" customWidth="1"/>
    <col min="4" max="4" width="8.525" style="1" customWidth="1"/>
    <col min="5" max="5" width="24.1666666666667" style="1" customWidth="1"/>
    <col min="6" max="6" width="7" style="1" customWidth="1"/>
    <col min="7" max="7" width="23.125" style="1" customWidth="1"/>
    <col min="8" max="8" width="22.7916666666667" style="3" customWidth="1"/>
    <col min="9" max="9" width="2.35" style="1" customWidth="1"/>
    <col min="10" max="10" width="51.75" style="40" customWidth="1"/>
    <col min="11" max="11" width="11.4666666666667" style="71" customWidth="1"/>
    <col min="12" max="12" width="4.44166666666667" style="1" customWidth="1"/>
    <col min="13" max="13" width="87.6583333333333" style="40" customWidth="1"/>
    <col min="14" max="14" width="7" style="1" customWidth="1"/>
  </cols>
  <sheetData>
    <row r="1" ht="30" spans="1:16">
      <c r="A1" s="72" t="s">
        <v>10</v>
      </c>
      <c r="B1" s="73" t="s">
        <v>11</v>
      </c>
      <c r="C1" s="74" t="s">
        <v>12</v>
      </c>
      <c r="D1" s="75" t="s">
        <v>13</v>
      </c>
      <c r="E1" s="74" t="s">
        <v>14</v>
      </c>
      <c r="F1" s="76" t="s">
        <v>15</v>
      </c>
      <c r="G1" s="74" t="s">
        <v>16</v>
      </c>
      <c r="H1" s="74" t="s">
        <v>17</v>
      </c>
      <c r="I1" s="74" t="s">
        <v>18</v>
      </c>
      <c r="J1" s="77" t="s">
        <v>19</v>
      </c>
      <c r="K1" s="78" t="s">
        <v>20</v>
      </c>
      <c r="L1" s="79" t="s">
        <v>21</v>
      </c>
      <c r="M1" s="80" t="s">
        <v>22</v>
      </c>
      <c r="N1" s="81" t="s">
        <v>23</v>
      </c>
      <c r="O1" s="81" t="s">
        <v>24</v>
      </c>
      <c r="P1" s="82"/>
    </row>
    <row r="2" hidden="1" spans="1:16">
      <c r="A2" s="83">
        <v>1</v>
      </c>
      <c r="B2" s="84">
        <v>46026</v>
      </c>
      <c r="C2" s="85" t="s">
        <v>25</v>
      </c>
      <c r="D2" s="86" t="s">
        <v>26</v>
      </c>
      <c r="E2" s="85" t="s">
        <v>27</v>
      </c>
      <c r="F2" s="85" t="s">
        <v>28</v>
      </c>
      <c r="G2" s="87" t="s">
        <v>29</v>
      </c>
      <c r="H2" s="85" t="s">
        <v>30</v>
      </c>
      <c r="I2" s="85"/>
      <c r="J2" s="88" t="s">
        <v>31</v>
      </c>
      <c r="K2" s="89" t="s">
        <v>32</v>
      </c>
      <c r="L2" s="85"/>
      <c r="M2" s="88" t="s">
        <v>33</v>
      </c>
      <c r="N2" s="90" t="s">
        <v>34</v>
      </c>
      <c r="O2" s="91"/>
      <c r="P2" s="82"/>
    </row>
    <row r="3" ht="33" hidden="1" spans="1:16">
      <c r="A3" s="83">
        <v>2</v>
      </c>
      <c r="B3" s="84">
        <v>46026</v>
      </c>
      <c r="C3" s="85" t="s">
        <v>25</v>
      </c>
      <c r="D3" s="86" t="s">
        <v>26</v>
      </c>
      <c r="E3" s="85" t="s">
        <v>35</v>
      </c>
      <c r="F3" s="85" t="s">
        <v>28</v>
      </c>
      <c r="G3" s="87" t="s">
        <v>36</v>
      </c>
      <c r="H3" s="85" t="s">
        <v>37</v>
      </c>
      <c r="I3" s="85"/>
      <c r="J3" s="88" t="s">
        <v>38</v>
      </c>
      <c r="K3" s="92" t="s">
        <v>32</v>
      </c>
      <c r="L3" s="85"/>
      <c r="M3" s="88" t="s">
        <v>39</v>
      </c>
      <c r="N3" s="90" t="s">
        <v>34</v>
      </c>
      <c r="O3" s="91"/>
      <c r="P3" s="82"/>
    </row>
    <row r="4" hidden="1" spans="1:16">
      <c r="A4" s="83">
        <v>3</v>
      </c>
      <c r="B4" s="84">
        <v>46026</v>
      </c>
      <c r="C4" s="85" t="s">
        <v>25</v>
      </c>
      <c r="D4" s="86" t="s">
        <v>40</v>
      </c>
      <c r="E4" s="85" t="s">
        <v>41</v>
      </c>
      <c r="F4" s="85" t="s">
        <v>28</v>
      </c>
      <c r="G4" s="87" t="s">
        <v>42</v>
      </c>
      <c r="H4" s="85" t="s">
        <v>43</v>
      </c>
      <c r="I4" s="85"/>
      <c r="J4" s="88" t="s">
        <v>44</v>
      </c>
      <c r="K4" s="92" t="s">
        <v>32</v>
      </c>
      <c r="L4" s="85"/>
      <c r="M4" s="88" t="s">
        <v>45</v>
      </c>
      <c r="N4" s="90" t="s">
        <v>34</v>
      </c>
      <c r="O4" s="91"/>
      <c r="P4" s="82"/>
    </row>
    <row r="5" hidden="1" spans="1:16">
      <c r="A5" s="83">
        <v>4</v>
      </c>
      <c r="B5" s="84">
        <v>46026</v>
      </c>
      <c r="C5" s="85" t="s">
        <v>25</v>
      </c>
      <c r="D5" s="86" t="s">
        <v>40</v>
      </c>
      <c r="E5" s="85" t="s">
        <v>41</v>
      </c>
      <c r="F5" s="85" t="s">
        <v>28</v>
      </c>
      <c r="G5" s="87" t="s">
        <v>46</v>
      </c>
      <c r="H5" s="85" t="s">
        <v>47</v>
      </c>
      <c r="I5" s="85"/>
      <c r="J5" s="88" t="s">
        <v>48</v>
      </c>
      <c r="K5" s="92" t="s">
        <v>32</v>
      </c>
      <c r="L5" s="85"/>
      <c r="M5" s="88" t="s">
        <v>45</v>
      </c>
      <c r="N5" s="90" t="s">
        <v>34</v>
      </c>
      <c r="O5" s="91"/>
      <c r="P5" s="82"/>
    </row>
    <row r="6" hidden="1" spans="1:16">
      <c r="A6" s="83">
        <v>5</v>
      </c>
      <c r="B6" s="84">
        <v>46026</v>
      </c>
      <c r="C6" s="85" t="s">
        <v>49</v>
      </c>
      <c r="D6" s="86" t="s">
        <v>26</v>
      </c>
      <c r="E6" s="85" t="s">
        <v>27</v>
      </c>
      <c r="F6" s="85" t="s">
        <v>28</v>
      </c>
      <c r="G6" s="87" t="s">
        <v>50</v>
      </c>
      <c r="H6" s="85" t="s">
        <v>51</v>
      </c>
      <c r="I6" s="85"/>
      <c r="J6" s="88" t="s">
        <v>52</v>
      </c>
      <c r="K6" s="92" t="s">
        <v>49</v>
      </c>
      <c r="L6" s="85"/>
      <c r="M6" s="88" t="s">
        <v>53</v>
      </c>
      <c r="N6" s="90" t="s">
        <v>34</v>
      </c>
      <c r="O6" s="91"/>
      <c r="P6" s="82"/>
    </row>
    <row r="7" hidden="1" spans="1:16">
      <c r="A7" s="83">
        <v>6</v>
      </c>
      <c r="B7" s="84">
        <v>46026</v>
      </c>
      <c r="C7" s="85" t="s">
        <v>49</v>
      </c>
      <c r="D7" s="86" t="s">
        <v>40</v>
      </c>
      <c r="E7" s="85" t="s">
        <v>41</v>
      </c>
      <c r="F7" s="85" t="s">
        <v>28</v>
      </c>
      <c r="G7" s="87" t="s">
        <v>54</v>
      </c>
      <c r="H7" s="85" t="s">
        <v>55</v>
      </c>
      <c r="I7" s="85"/>
      <c r="J7" s="88" t="s">
        <v>52</v>
      </c>
      <c r="K7" s="92" t="s">
        <v>49</v>
      </c>
      <c r="L7" s="85"/>
      <c r="M7" s="88" t="s">
        <v>56</v>
      </c>
      <c r="N7" s="90" t="s">
        <v>34</v>
      </c>
      <c r="O7" s="91"/>
      <c r="P7" s="82"/>
    </row>
    <row r="8" hidden="1" spans="1:16">
      <c r="A8" s="83">
        <v>7</v>
      </c>
      <c r="B8" s="84">
        <v>46026</v>
      </c>
      <c r="C8" s="85" t="s">
        <v>49</v>
      </c>
      <c r="D8" s="86" t="s">
        <v>26</v>
      </c>
      <c r="E8" s="85" t="s">
        <v>27</v>
      </c>
      <c r="F8" s="85" t="s">
        <v>28</v>
      </c>
      <c r="G8" s="87" t="s">
        <v>57</v>
      </c>
      <c r="H8" s="85" t="s">
        <v>58</v>
      </c>
      <c r="I8" s="85"/>
      <c r="J8" s="88" t="s">
        <v>52</v>
      </c>
      <c r="K8" s="92" t="s">
        <v>49</v>
      </c>
      <c r="L8" s="85"/>
      <c r="M8" s="88" t="s">
        <v>53</v>
      </c>
      <c r="N8" s="90" t="s">
        <v>34</v>
      </c>
      <c r="O8" s="91"/>
      <c r="P8" s="82"/>
    </row>
    <row r="9" ht="49.5" hidden="1" customHeight="1" spans="1:16">
      <c r="A9" s="83">
        <v>8</v>
      </c>
      <c r="B9" s="84">
        <v>46026</v>
      </c>
      <c r="C9" s="85" t="s">
        <v>25</v>
      </c>
      <c r="D9" s="85" t="s">
        <v>40</v>
      </c>
      <c r="E9" s="85" t="s">
        <v>41</v>
      </c>
      <c r="F9" s="85" t="s">
        <v>28</v>
      </c>
      <c r="G9" s="87" t="s">
        <v>59</v>
      </c>
      <c r="H9" s="85" t="s">
        <v>60</v>
      </c>
      <c r="I9" s="85"/>
      <c r="J9" s="93" t="s">
        <v>61</v>
      </c>
      <c r="K9" s="92" t="s">
        <v>24</v>
      </c>
      <c r="L9" s="85"/>
      <c r="M9" s="88" t="s">
        <v>62</v>
      </c>
      <c r="N9" s="85" t="s">
        <v>34</v>
      </c>
      <c r="O9" s="94" t="s">
        <v>63</v>
      </c>
      <c r="P9" s="82"/>
    </row>
    <row r="10" ht="49.5" hidden="1" spans="1:16">
      <c r="A10" s="83">
        <v>9</v>
      </c>
      <c r="B10" s="84">
        <v>46026</v>
      </c>
      <c r="C10" s="85" t="s">
        <v>25</v>
      </c>
      <c r="D10" s="85" t="s">
        <v>40</v>
      </c>
      <c r="E10" s="85" t="s">
        <v>41</v>
      </c>
      <c r="F10" s="85" t="s">
        <v>28</v>
      </c>
      <c r="G10" s="87" t="s">
        <v>64</v>
      </c>
      <c r="H10" s="85" t="s">
        <v>65</v>
      </c>
      <c r="I10" s="85"/>
      <c r="J10" s="93"/>
      <c r="K10" s="92" t="s">
        <v>24</v>
      </c>
      <c r="L10" s="85"/>
      <c r="M10" s="88" t="s">
        <v>62</v>
      </c>
      <c r="N10" s="85" t="s">
        <v>34</v>
      </c>
      <c r="O10" s="94" t="s">
        <v>63</v>
      </c>
      <c r="P10" s="82"/>
    </row>
    <row r="11" ht="49.5" hidden="1" spans="1:16">
      <c r="A11" s="83">
        <v>10</v>
      </c>
      <c r="B11" s="84">
        <v>46026</v>
      </c>
      <c r="C11" s="85" t="s">
        <v>25</v>
      </c>
      <c r="D11" s="85" t="s">
        <v>40</v>
      </c>
      <c r="E11" s="85" t="s">
        <v>41</v>
      </c>
      <c r="F11" s="85" t="s">
        <v>28</v>
      </c>
      <c r="G11" s="85" t="s">
        <v>66</v>
      </c>
      <c r="H11" s="85" t="s">
        <v>67</v>
      </c>
      <c r="I11" s="85"/>
      <c r="J11" s="93"/>
      <c r="K11" s="92" t="s">
        <v>24</v>
      </c>
      <c r="L11" s="85"/>
      <c r="M11" s="88" t="s">
        <v>62</v>
      </c>
      <c r="N11" s="85" t="s">
        <v>34</v>
      </c>
      <c r="O11" s="94" t="s">
        <v>63</v>
      </c>
      <c r="P11" s="82"/>
    </row>
    <row r="12" hidden="1" spans="1:16">
      <c r="A12" s="83">
        <v>11</v>
      </c>
      <c r="B12" s="84">
        <v>46026</v>
      </c>
      <c r="C12" s="85" t="s">
        <v>68</v>
      </c>
      <c r="D12" s="85" t="s">
        <v>69</v>
      </c>
      <c r="E12" s="85" t="s">
        <v>70</v>
      </c>
      <c r="F12" s="85" t="s">
        <v>28</v>
      </c>
      <c r="G12" s="85" t="s">
        <v>71</v>
      </c>
      <c r="H12" s="85" t="s">
        <v>72</v>
      </c>
      <c r="I12" s="85"/>
      <c r="J12" s="88" t="s">
        <v>73</v>
      </c>
      <c r="K12" s="92" t="s">
        <v>32</v>
      </c>
      <c r="L12" s="85"/>
      <c r="M12" s="88" t="s">
        <v>74</v>
      </c>
      <c r="N12" s="85" t="s">
        <v>34</v>
      </c>
      <c r="O12" s="88"/>
      <c r="P12" s="82"/>
    </row>
    <row r="13" hidden="1" spans="1:16">
      <c r="A13" s="83">
        <v>12</v>
      </c>
      <c r="B13" s="84">
        <v>46026</v>
      </c>
      <c r="C13" s="85" t="s">
        <v>68</v>
      </c>
      <c r="D13" s="85" t="s">
        <v>26</v>
      </c>
      <c r="E13" s="85" t="s">
        <v>27</v>
      </c>
      <c r="F13" s="85" t="s">
        <v>28</v>
      </c>
      <c r="G13" s="85" t="s">
        <v>75</v>
      </c>
      <c r="H13" s="85" t="s">
        <v>76</v>
      </c>
      <c r="I13" s="85"/>
      <c r="J13" s="88" t="s">
        <v>77</v>
      </c>
      <c r="K13" s="92" t="s">
        <v>32</v>
      </c>
      <c r="L13" s="85"/>
      <c r="M13" s="85" t="s">
        <v>78</v>
      </c>
      <c r="N13" s="85" t="s">
        <v>34</v>
      </c>
      <c r="O13" s="88"/>
      <c r="P13" s="82"/>
    </row>
    <row r="14" hidden="1" spans="1:16">
      <c r="A14" s="83">
        <v>13</v>
      </c>
      <c r="B14" s="84">
        <v>46026</v>
      </c>
      <c r="C14" s="85" t="s">
        <v>68</v>
      </c>
      <c r="D14" s="85" t="s">
        <v>26</v>
      </c>
      <c r="E14" s="85" t="s">
        <v>27</v>
      </c>
      <c r="F14" s="85" t="s">
        <v>28</v>
      </c>
      <c r="G14" s="85" t="s">
        <v>79</v>
      </c>
      <c r="H14" s="85" t="s">
        <v>80</v>
      </c>
      <c r="I14" s="85"/>
      <c r="J14" s="88" t="s">
        <v>77</v>
      </c>
      <c r="K14" s="92" t="s">
        <v>32</v>
      </c>
      <c r="L14" s="85"/>
      <c r="M14" s="85" t="s">
        <v>78</v>
      </c>
      <c r="N14" s="85" t="s">
        <v>34</v>
      </c>
      <c r="O14" s="88"/>
      <c r="P14" s="82"/>
    </row>
    <row r="15" hidden="1" spans="1:16">
      <c r="A15" s="83">
        <v>14</v>
      </c>
      <c r="B15" s="84">
        <v>46026</v>
      </c>
      <c r="C15" s="85" t="s">
        <v>49</v>
      </c>
      <c r="D15" s="85" t="s">
        <v>26</v>
      </c>
      <c r="E15" s="85" t="s">
        <v>35</v>
      </c>
      <c r="F15" s="85" t="s">
        <v>28</v>
      </c>
      <c r="G15" s="85" t="s">
        <v>81</v>
      </c>
      <c r="H15" s="85" t="s">
        <v>82</v>
      </c>
      <c r="I15" s="85"/>
      <c r="J15" s="88" t="s">
        <v>52</v>
      </c>
      <c r="K15" s="92" t="s">
        <v>49</v>
      </c>
      <c r="L15" s="85"/>
      <c r="M15" s="88" t="s">
        <v>53</v>
      </c>
      <c r="N15" s="85" t="s">
        <v>34</v>
      </c>
      <c r="O15" s="88"/>
      <c r="P15" s="82"/>
    </row>
    <row r="16" hidden="1" spans="1:16">
      <c r="A16" s="83">
        <v>15</v>
      </c>
      <c r="B16" s="84">
        <v>46026</v>
      </c>
      <c r="C16" s="85" t="s">
        <v>49</v>
      </c>
      <c r="D16" s="85" t="s">
        <v>26</v>
      </c>
      <c r="E16" s="85" t="s">
        <v>27</v>
      </c>
      <c r="F16" s="85" t="s">
        <v>28</v>
      </c>
      <c r="G16" s="85" t="s">
        <v>83</v>
      </c>
      <c r="H16" s="85" t="s">
        <v>84</v>
      </c>
      <c r="I16" s="85"/>
      <c r="J16" s="88" t="s">
        <v>52</v>
      </c>
      <c r="K16" s="92" t="s">
        <v>49</v>
      </c>
      <c r="L16" s="85"/>
      <c r="M16" s="85" t="s">
        <v>53</v>
      </c>
      <c r="N16" s="85" t="s">
        <v>34</v>
      </c>
      <c r="O16" s="88"/>
      <c r="P16" s="82"/>
    </row>
    <row r="17" ht="33" hidden="1" spans="1:16">
      <c r="A17" s="83">
        <v>16</v>
      </c>
      <c r="B17" s="84">
        <v>46026</v>
      </c>
      <c r="C17" s="85" t="s">
        <v>68</v>
      </c>
      <c r="D17" s="85" t="s">
        <v>40</v>
      </c>
      <c r="E17" s="85" t="s">
        <v>41</v>
      </c>
      <c r="F17" s="85" t="s">
        <v>28</v>
      </c>
      <c r="G17" s="85" t="s">
        <v>85</v>
      </c>
      <c r="H17" s="85" t="s">
        <v>86</v>
      </c>
      <c r="I17" s="85"/>
      <c r="J17" s="88" t="s">
        <v>87</v>
      </c>
      <c r="K17" s="92" t="s">
        <v>24</v>
      </c>
      <c r="L17" s="85"/>
      <c r="M17" s="85" t="s">
        <v>88</v>
      </c>
      <c r="N17" s="85" t="s">
        <v>34</v>
      </c>
      <c r="O17" s="94" t="s">
        <v>63</v>
      </c>
      <c r="P17" s="82"/>
    </row>
    <row r="18" ht="33" hidden="1" spans="1:16">
      <c r="A18" s="83">
        <v>17</v>
      </c>
      <c r="B18" s="84">
        <v>46027</v>
      </c>
      <c r="C18" s="85" t="s">
        <v>25</v>
      </c>
      <c r="D18" s="85" t="s">
        <v>40</v>
      </c>
      <c r="E18" s="85" t="s">
        <v>41</v>
      </c>
      <c r="F18" s="85" t="s">
        <v>28</v>
      </c>
      <c r="G18" s="85" t="s">
        <v>89</v>
      </c>
      <c r="H18" s="85" t="s">
        <v>90</v>
      </c>
      <c r="I18" s="85"/>
      <c r="J18" s="88" t="s">
        <v>91</v>
      </c>
      <c r="K18" s="92" t="s">
        <v>92</v>
      </c>
      <c r="L18" s="85"/>
      <c r="M18" s="85" t="s">
        <v>93</v>
      </c>
      <c r="N18" s="85" t="s">
        <v>34</v>
      </c>
      <c r="O18" s="88"/>
      <c r="P18" s="82"/>
    </row>
    <row r="19" ht="33" hidden="1" spans="1:16">
      <c r="A19" s="83">
        <v>18</v>
      </c>
      <c r="B19" s="84">
        <v>46027</v>
      </c>
      <c r="C19" s="85" t="s">
        <v>68</v>
      </c>
      <c r="D19" s="85" t="s">
        <v>26</v>
      </c>
      <c r="E19" s="85" t="s">
        <v>35</v>
      </c>
      <c r="F19" s="85" t="s">
        <v>28</v>
      </c>
      <c r="G19" s="85" t="s">
        <v>94</v>
      </c>
      <c r="H19" s="85" t="s">
        <v>95</v>
      </c>
      <c r="I19" s="85"/>
      <c r="J19" s="88" t="s">
        <v>96</v>
      </c>
      <c r="K19" s="92" t="s">
        <v>97</v>
      </c>
      <c r="L19" s="85"/>
      <c r="M19" s="85" t="s">
        <v>98</v>
      </c>
      <c r="N19" s="85" t="s">
        <v>34</v>
      </c>
      <c r="O19" s="88"/>
      <c r="P19" s="82"/>
    </row>
    <row r="20" hidden="1" spans="1:16">
      <c r="A20" s="83">
        <v>19</v>
      </c>
      <c r="B20" s="84">
        <v>46027</v>
      </c>
      <c r="C20" s="85" t="s">
        <v>49</v>
      </c>
      <c r="D20" s="85" t="s">
        <v>26</v>
      </c>
      <c r="E20" s="85" t="s">
        <v>27</v>
      </c>
      <c r="F20" s="85" t="s">
        <v>28</v>
      </c>
      <c r="G20" s="85" t="s">
        <v>99</v>
      </c>
      <c r="H20" s="85">
        <v>262966761</v>
      </c>
      <c r="I20" s="85"/>
      <c r="J20" s="88" t="s">
        <v>100</v>
      </c>
      <c r="K20" s="92" t="s">
        <v>49</v>
      </c>
      <c r="L20" s="85"/>
      <c r="M20" s="85" t="s">
        <v>101</v>
      </c>
      <c r="N20" s="85" t="s">
        <v>34</v>
      </c>
      <c r="O20" s="88"/>
      <c r="P20" s="82"/>
    </row>
    <row r="21" ht="33" hidden="1" spans="1:16">
      <c r="A21" s="83">
        <v>20</v>
      </c>
      <c r="B21" s="84">
        <v>46027</v>
      </c>
      <c r="C21" s="85" t="s">
        <v>68</v>
      </c>
      <c r="D21" s="85" t="s">
        <v>26</v>
      </c>
      <c r="E21" s="85" t="s">
        <v>35</v>
      </c>
      <c r="F21" s="85" t="s">
        <v>28</v>
      </c>
      <c r="G21" s="85" t="s">
        <v>102</v>
      </c>
      <c r="H21" s="85" t="s">
        <v>103</v>
      </c>
      <c r="I21" s="85"/>
      <c r="J21" s="88" t="s">
        <v>104</v>
      </c>
      <c r="K21" s="95" t="s">
        <v>24</v>
      </c>
      <c r="L21" s="85"/>
      <c r="M21" s="88" t="s">
        <v>105</v>
      </c>
      <c r="N21" s="85" t="s">
        <v>34</v>
      </c>
      <c r="O21" s="88" t="s">
        <v>106</v>
      </c>
      <c r="P21" s="82"/>
    </row>
    <row r="22" ht="409" customHeight="1" spans="1:16">
      <c r="A22" s="83">
        <v>21</v>
      </c>
      <c r="B22" s="84">
        <v>46027</v>
      </c>
      <c r="C22" s="85" t="s">
        <v>68</v>
      </c>
      <c r="D22" s="85" t="s">
        <v>107</v>
      </c>
      <c r="E22" s="85" t="s">
        <v>108</v>
      </c>
      <c r="F22" s="85" t="s">
        <v>28</v>
      </c>
      <c r="G22" s="85" t="s">
        <v>109</v>
      </c>
      <c r="H22" s="85" t="s">
        <v>110</v>
      </c>
      <c r="I22" s="85"/>
      <c r="J22" s="96" t="s">
        <v>111</v>
      </c>
      <c r="K22" s="92" t="s">
        <v>32</v>
      </c>
      <c r="L22" s="86"/>
      <c r="M22" s="88" t="s">
        <v>112</v>
      </c>
      <c r="N22" s="85" t="s">
        <v>113</v>
      </c>
      <c r="O22" s="88"/>
      <c r="P22" s="82"/>
    </row>
    <row r="23" ht="33" hidden="1" spans="1:16">
      <c r="A23" s="83">
        <v>22</v>
      </c>
      <c r="B23" s="84">
        <v>46027</v>
      </c>
      <c r="C23" s="85" t="s">
        <v>68</v>
      </c>
      <c r="D23" s="85" t="s">
        <v>26</v>
      </c>
      <c r="E23" s="85" t="s">
        <v>27</v>
      </c>
      <c r="F23" s="85" t="s">
        <v>28</v>
      </c>
      <c r="G23" s="85" t="s">
        <v>114</v>
      </c>
      <c r="H23" s="85" t="s">
        <v>115</v>
      </c>
      <c r="I23" s="85"/>
      <c r="J23" s="88" t="s">
        <v>116</v>
      </c>
      <c r="K23" s="89" t="s">
        <v>32</v>
      </c>
      <c r="L23" s="85"/>
      <c r="M23" s="88" t="s">
        <v>117</v>
      </c>
      <c r="N23" s="85" t="s">
        <v>34</v>
      </c>
      <c r="O23" s="88"/>
      <c r="P23" s="82"/>
    </row>
    <row r="24" ht="33" hidden="1" spans="1:16">
      <c r="A24" s="83">
        <v>23</v>
      </c>
      <c r="B24" s="84">
        <v>46027</v>
      </c>
      <c r="C24" s="85" t="s">
        <v>68</v>
      </c>
      <c r="D24" s="85" t="s">
        <v>26</v>
      </c>
      <c r="E24" s="85" t="s">
        <v>27</v>
      </c>
      <c r="F24" s="85" t="s">
        <v>28</v>
      </c>
      <c r="G24" s="85" t="s">
        <v>118</v>
      </c>
      <c r="H24" s="85" t="s">
        <v>119</v>
      </c>
      <c r="I24" s="85"/>
      <c r="J24" s="88" t="s">
        <v>116</v>
      </c>
      <c r="K24" s="92" t="s">
        <v>32</v>
      </c>
      <c r="L24" s="85"/>
      <c r="M24" s="88" t="s">
        <v>117</v>
      </c>
      <c r="N24" s="85" t="s">
        <v>34</v>
      </c>
      <c r="O24" s="88"/>
      <c r="P24" s="82"/>
    </row>
    <row r="25" ht="33" hidden="1" spans="1:16">
      <c r="A25" s="83">
        <v>24</v>
      </c>
      <c r="B25" s="84">
        <v>46027</v>
      </c>
      <c r="C25" s="85" t="s">
        <v>68</v>
      </c>
      <c r="D25" s="85" t="s">
        <v>26</v>
      </c>
      <c r="E25" s="85" t="s">
        <v>27</v>
      </c>
      <c r="F25" s="85" t="s">
        <v>28</v>
      </c>
      <c r="G25" s="85" t="s">
        <v>120</v>
      </c>
      <c r="H25" s="85" t="s">
        <v>121</v>
      </c>
      <c r="I25" s="85"/>
      <c r="J25" s="88" t="s">
        <v>116</v>
      </c>
      <c r="K25" s="92" t="s">
        <v>32</v>
      </c>
      <c r="L25" s="85"/>
      <c r="M25" s="88" t="s">
        <v>117</v>
      </c>
      <c r="N25" s="85" t="s">
        <v>34</v>
      </c>
      <c r="O25" s="88"/>
      <c r="P25" s="82"/>
    </row>
    <row r="26" ht="33" hidden="1" spans="1:16">
      <c r="A26" s="83">
        <v>25</v>
      </c>
      <c r="B26" s="84">
        <v>46027</v>
      </c>
      <c r="C26" s="85" t="s">
        <v>68</v>
      </c>
      <c r="D26" s="85" t="s">
        <v>26</v>
      </c>
      <c r="E26" s="85" t="s">
        <v>27</v>
      </c>
      <c r="F26" s="85" t="s">
        <v>28</v>
      </c>
      <c r="G26" s="85" t="s">
        <v>122</v>
      </c>
      <c r="H26" s="85" t="s">
        <v>123</v>
      </c>
      <c r="I26" s="85"/>
      <c r="J26" s="88" t="s">
        <v>116</v>
      </c>
      <c r="K26" s="92" t="s">
        <v>32</v>
      </c>
      <c r="L26" s="85"/>
      <c r="M26" s="88" t="s">
        <v>117</v>
      </c>
      <c r="N26" s="85" t="s">
        <v>34</v>
      </c>
      <c r="O26" s="88"/>
      <c r="P26" s="82"/>
    </row>
    <row r="27" ht="49.5" hidden="1" spans="1:16">
      <c r="A27" s="83">
        <v>26</v>
      </c>
      <c r="B27" s="84">
        <v>46027</v>
      </c>
      <c r="C27" s="85" t="s">
        <v>68</v>
      </c>
      <c r="D27" s="85" t="s">
        <v>26</v>
      </c>
      <c r="E27" s="85" t="s">
        <v>27</v>
      </c>
      <c r="F27" s="85" t="s">
        <v>28</v>
      </c>
      <c r="G27" s="85" t="s">
        <v>124</v>
      </c>
      <c r="H27" s="85" t="s">
        <v>125</v>
      </c>
      <c r="I27" s="85"/>
      <c r="J27" s="88" t="s">
        <v>126</v>
      </c>
      <c r="K27" s="92" t="s">
        <v>32</v>
      </c>
      <c r="L27" s="85"/>
      <c r="M27" s="88" t="s">
        <v>127</v>
      </c>
      <c r="N27" s="85" t="s">
        <v>34</v>
      </c>
      <c r="O27" s="88"/>
      <c r="P27" s="82"/>
    </row>
    <row r="28" ht="33" hidden="1" spans="1:16">
      <c r="A28" s="83">
        <v>27</v>
      </c>
      <c r="B28" s="84">
        <v>46027</v>
      </c>
      <c r="C28" s="85" t="s">
        <v>68</v>
      </c>
      <c r="D28" s="85" t="s">
        <v>26</v>
      </c>
      <c r="E28" s="85" t="s">
        <v>27</v>
      </c>
      <c r="F28" s="85" t="s">
        <v>28</v>
      </c>
      <c r="G28" s="85" t="s">
        <v>128</v>
      </c>
      <c r="H28" s="85" t="s">
        <v>129</v>
      </c>
      <c r="I28" s="85"/>
      <c r="J28" s="88" t="s">
        <v>116</v>
      </c>
      <c r="K28" s="92" t="s">
        <v>32</v>
      </c>
      <c r="L28" s="85"/>
      <c r="M28" s="88" t="s">
        <v>117</v>
      </c>
      <c r="N28" s="85" t="s">
        <v>34</v>
      </c>
      <c r="O28" s="88"/>
      <c r="P28" s="82"/>
    </row>
    <row r="29" ht="33" hidden="1" spans="1:16">
      <c r="A29" s="83">
        <v>28</v>
      </c>
      <c r="B29" s="84">
        <v>46027</v>
      </c>
      <c r="C29" s="85" t="s">
        <v>68</v>
      </c>
      <c r="D29" s="85" t="s">
        <v>26</v>
      </c>
      <c r="E29" s="85" t="s">
        <v>27</v>
      </c>
      <c r="F29" s="85" t="s">
        <v>28</v>
      </c>
      <c r="G29" s="85" t="s">
        <v>130</v>
      </c>
      <c r="H29" s="85" t="s">
        <v>131</v>
      </c>
      <c r="I29" s="85"/>
      <c r="J29" s="88" t="s">
        <v>116</v>
      </c>
      <c r="K29" s="92" t="s">
        <v>32</v>
      </c>
      <c r="L29" s="85"/>
      <c r="M29" s="88" t="s">
        <v>117</v>
      </c>
      <c r="N29" s="85" t="s">
        <v>34</v>
      </c>
      <c r="O29" s="88"/>
      <c r="P29" s="82"/>
    </row>
    <row r="30" ht="33" hidden="1" spans="1:16">
      <c r="A30" s="83">
        <v>29</v>
      </c>
      <c r="B30" s="84">
        <v>46027</v>
      </c>
      <c r="C30" s="85" t="s">
        <v>68</v>
      </c>
      <c r="D30" s="85" t="s">
        <v>26</v>
      </c>
      <c r="E30" s="85" t="s">
        <v>27</v>
      </c>
      <c r="F30" s="85" t="s">
        <v>28</v>
      </c>
      <c r="G30" s="85" t="s">
        <v>132</v>
      </c>
      <c r="H30" s="85" t="s">
        <v>133</v>
      </c>
      <c r="I30" s="85"/>
      <c r="J30" s="88" t="s">
        <v>116</v>
      </c>
      <c r="K30" s="92" t="s">
        <v>32</v>
      </c>
      <c r="L30" s="85"/>
      <c r="M30" s="88" t="s">
        <v>117</v>
      </c>
      <c r="N30" s="85" t="s">
        <v>34</v>
      </c>
      <c r="O30" s="88"/>
      <c r="P30" s="82"/>
    </row>
    <row r="31" ht="49.5" hidden="1" customHeight="1" spans="1:16">
      <c r="A31" s="83">
        <v>30</v>
      </c>
      <c r="B31" s="84">
        <v>46027</v>
      </c>
      <c r="C31" s="85" t="s">
        <v>68</v>
      </c>
      <c r="D31" s="85" t="s">
        <v>26</v>
      </c>
      <c r="E31" s="85" t="s">
        <v>35</v>
      </c>
      <c r="F31" s="85" t="s">
        <v>28</v>
      </c>
      <c r="G31" s="85" t="s">
        <v>134</v>
      </c>
      <c r="H31" s="85" t="s">
        <v>135</v>
      </c>
      <c r="I31" s="85"/>
      <c r="J31" s="93" t="s">
        <v>136</v>
      </c>
      <c r="K31" s="92" t="s">
        <v>32</v>
      </c>
      <c r="L31" s="85"/>
      <c r="M31" s="88" t="s">
        <v>137</v>
      </c>
      <c r="N31" s="85" t="s">
        <v>34</v>
      </c>
      <c r="O31" s="88"/>
      <c r="P31" s="82"/>
    </row>
    <row r="32" ht="49.5" hidden="1" spans="1:16">
      <c r="A32" s="83">
        <v>31</v>
      </c>
      <c r="B32" s="84">
        <v>46027</v>
      </c>
      <c r="C32" s="85" t="s">
        <v>68</v>
      </c>
      <c r="D32" s="85" t="s">
        <v>26</v>
      </c>
      <c r="E32" s="85" t="s">
        <v>35</v>
      </c>
      <c r="F32" s="85" t="s">
        <v>28</v>
      </c>
      <c r="G32" s="85" t="s">
        <v>138</v>
      </c>
      <c r="H32" s="85" t="s">
        <v>139</v>
      </c>
      <c r="I32" s="85"/>
      <c r="J32" s="93"/>
      <c r="K32" s="92" t="s">
        <v>32</v>
      </c>
      <c r="L32" s="85"/>
      <c r="M32" s="88" t="s">
        <v>137</v>
      </c>
      <c r="N32" s="85" t="s">
        <v>34</v>
      </c>
      <c r="O32" s="88"/>
      <c r="P32" s="82"/>
    </row>
    <row r="33" ht="49.5" hidden="1" spans="1:16">
      <c r="A33" s="83">
        <v>32</v>
      </c>
      <c r="B33" s="84">
        <v>46027</v>
      </c>
      <c r="C33" s="85" t="s">
        <v>68</v>
      </c>
      <c r="D33" s="85" t="s">
        <v>26</v>
      </c>
      <c r="E33" s="85" t="s">
        <v>35</v>
      </c>
      <c r="F33" s="85" t="s">
        <v>28</v>
      </c>
      <c r="G33" s="85" t="s">
        <v>140</v>
      </c>
      <c r="H33" s="85" t="s">
        <v>141</v>
      </c>
      <c r="I33" s="85"/>
      <c r="J33" s="93"/>
      <c r="K33" s="92" t="s">
        <v>32</v>
      </c>
      <c r="L33" s="85"/>
      <c r="M33" s="88" t="s">
        <v>137</v>
      </c>
      <c r="N33" s="85" t="s">
        <v>34</v>
      </c>
      <c r="O33" s="88"/>
      <c r="P33" s="82"/>
    </row>
    <row r="34" ht="49.5" hidden="1" spans="1:16">
      <c r="A34" s="83">
        <v>33</v>
      </c>
      <c r="B34" s="84">
        <v>46027</v>
      </c>
      <c r="C34" s="85" t="s">
        <v>68</v>
      </c>
      <c r="D34" s="85" t="s">
        <v>26</v>
      </c>
      <c r="E34" s="85" t="s">
        <v>35</v>
      </c>
      <c r="F34" s="85" t="s">
        <v>28</v>
      </c>
      <c r="G34" s="85" t="s">
        <v>142</v>
      </c>
      <c r="H34" s="85" t="s">
        <v>143</v>
      </c>
      <c r="I34" s="85"/>
      <c r="J34" s="93"/>
      <c r="K34" s="92" t="s">
        <v>32</v>
      </c>
      <c r="L34" s="85"/>
      <c r="M34" s="88" t="s">
        <v>137</v>
      </c>
      <c r="N34" s="85" t="s">
        <v>34</v>
      </c>
      <c r="O34" s="88"/>
      <c r="P34" s="82"/>
    </row>
    <row r="35" ht="49.5" hidden="1" spans="1:16">
      <c r="A35" s="83">
        <v>34</v>
      </c>
      <c r="B35" s="84">
        <v>46027</v>
      </c>
      <c r="C35" s="85" t="s">
        <v>68</v>
      </c>
      <c r="D35" s="85" t="s">
        <v>26</v>
      </c>
      <c r="E35" s="85" t="s">
        <v>35</v>
      </c>
      <c r="F35" s="85" t="s">
        <v>28</v>
      </c>
      <c r="G35" s="85" t="s">
        <v>144</v>
      </c>
      <c r="H35" s="85" t="s">
        <v>145</v>
      </c>
      <c r="I35" s="85"/>
      <c r="J35" s="93"/>
      <c r="K35" s="92" t="s">
        <v>32</v>
      </c>
      <c r="L35" s="85"/>
      <c r="M35" s="88" t="s">
        <v>137</v>
      </c>
      <c r="N35" s="85" t="s">
        <v>34</v>
      </c>
      <c r="O35" s="88"/>
      <c r="P35" s="82"/>
    </row>
    <row r="36" ht="49.5" hidden="1" spans="1:16">
      <c r="A36" s="83">
        <v>35</v>
      </c>
      <c r="B36" s="84">
        <v>46027</v>
      </c>
      <c r="C36" s="85" t="s">
        <v>68</v>
      </c>
      <c r="D36" s="85" t="s">
        <v>26</v>
      </c>
      <c r="E36" s="85" t="s">
        <v>35</v>
      </c>
      <c r="F36" s="85" t="s">
        <v>28</v>
      </c>
      <c r="G36" s="85" t="s">
        <v>146</v>
      </c>
      <c r="H36" s="85" t="s">
        <v>147</v>
      </c>
      <c r="I36" s="85"/>
      <c r="J36" s="93"/>
      <c r="K36" s="92" t="s">
        <v>32</v>
      </c>
      <c r="L36" s="85"/>
      <c r="M36" s="88" t="s">
        <v>137</v>
      </c>
      <c r="N36" s="85" t="s">
        <v>34</v>
      </c>
      <c r="O36" s="88"/>
      <c r="P36" s="82"/>
    </row>
    <row r="37" ht="33" hidden="1" spans="1:16">
      <c r="A37" s="83">
        <v>36</v>
      </c>
      <c r="B37" s="84">
        <v>46027</v>
      </c>
      <c r="C37" s="85" t="s">
        <v>68</v>
      </c>
      <c r="D37" s="85" t="s">
        <v>40</v>
      </c>
      <c r="E37" s="85" t="s">
        <v>148</v>
      </c>
      <c r="F37" s="85" t="s">
        <v>28</v>
      </c>
      <c r="G37" s="85" t="s">
        <v>149</v>
      </c>
      <c r="H37" s="85" t="s">
        <v>150</v>
      </c>
      <c r="I37" s="85"/>
      <c r="J37" s="88" t="s">
        <v>151</v>
      </c>
      <c r="K37" s="92" t="s">
        <v>32</v>
      </c>
      <c r="L37" s="85"/>
      <c r="M37" s="88" t="s">
        <v>152</v>
      </c>
      <c r="N37" s="85" t="s">
        <v>34</v>
      </c>
      <c r="O37" s="88"/>
      <c r="P37" s="82"/>
    </row>
    <row r="38" hidden="1" spans="1:16">
      <c r="A38" s="83">
        <v>37</v>
      </c>
      <c r="B38" s="84">
        <v>46028</v>
      </c>
      <c r="C38" s="85" t="s">
        <v>49</v>
      </c>
      <c r="D38" s="85" t="s">
        <v>153</v>
      </c>
      <c r="E38" s="85" t="s">
        <v>154</v>
      </c>
      <c r="F38" s="85" t="s">
        <v>28</v>
      </c>
      <c r="G38" s="85" t="s">
        <v>155</v>
      </c>
      <c r="H38" s="85" t="s">
        <v>156</v>
      </c>
      <c r="I38" s="85"/>
      <c r="J38" s="88" t="s">
        <v>157</v>
      </c>
      <c r="K38" s="92" t="s">
        <v>49</v>
      </c>
      <c r="L38" s="85"/>
      <c r="M38" s="88" t="s">
        <v>158</v>
      </c>
      <c r="N38" s="85" t="s">
        <v>34</v>
      </c>
      <c r="O38" s="88"/>
      <c r="P38" s="82"/>
    </row>
    <row r="39" ht="33" hidden="1" spans="1:16">
      <c r="A39" s="83">
        <v>38</v>
      </c>
      <c r="B39" s="84">
        <v>46029</v>
      </c>
      <c r="C39" s="85" t="s">
        <v>25</v>
      </c>
      <c r="D39" s="85" t="s">
        <v>26</v>
      </c>
      <c r="E39" s="85" t="s">
        <v>27</v>
      </c>
      <c r="F39" s="85" t="s">
        <v>28</v>
      </c>
      <c r="G39" s="85" t="s">
        <v>159</v>
      </c>
      <c r="H39" s="85" t="s">
        <v>160</v>
      </c>
      <c r="I39" s="85"/>
      <c r="J39" s="88" t="s">
        <v>161</v>
      </c>
      <c r="K39" s="92" t="s">
        <v>24</v>
      </c>
      <c r="L39" s="85"/>
      <c r="M39" s="88" t="s">
        <v>162</v>
      </c>
      <c r="N39" s="85" t="s">
        <v>34</v>
      </c>
      <c r="O39" s="88" t="s">
        <v>163</v>
      </c>
      <c r="P39" s="82"/>
    </row>
    <row r="40" ht="111.15" hidden="1" customHeight="1" spans="1:16">
      <c r="A40" s="83">
        <v>39</v>
      </c>
      <c r="B40" s="84">
        <v>46029</v>
      </c>
      <c r="C40" s="85" t="s">
        <v>68</v>
      </c>
      <c r="D40" s="85" t="s">
        <v>164</v>
      </c>
      <c r="E40" s="85" t="s">
        <v>165</v>
      </c>
      <c r="F40" s="85" t="s">
        <v>28</v>
      </c>
      <c r="G40" s="85" t="s">
        <v>166</v>
      </c>
      <c r="H40" s="85" t="s">
        <v>167</v>
      </c>
      <c r="I40" s="85"/>
      <c r="J40" s="88" t="s">
        <v>168</v>
      </c>
      <c r="K40" s="92" t="s">
        <v>97</v>
      </c>
      <c r="L40" s="85"/>
      <c r="M40" s="88" t="s">
        <v>169</v>
      </c>
      <c r="N40" s="85" t="s">
        <v>34</v>
      </c>
      <c r="O40" s="88"/>
      <c r="P40" s="82"/>
    </row>
    <row r="41" hidden="1" spans="1:16">
      <c r="A41" s="83">
        <v>40</v>
      </c>
      <c r="B41" s="84">
        <v>46030</v>
      </c>
      <c r="C41" s="85" t="s">
        <v>25</v>
      </c>
      <c r="D41" s="85" t="s">
        <v>26</v>
      </c>
      <c r="E41" s="85" t="s">
        <v>27</v>
      </c>
      <c r="F41" s="85" t="s">
        <v>28</v>
      </c>
      <c r="G41" s="85" t="s">
        <v>170</v>
      </c>
      <c r="H41" s="85" t="s">
        <v>171</v>
      </c>
      <c r="I41" s="85"/>
      <c r="J41" s="88" t="s">
        <v>172</v>
      </c>
      <c r="K41" s="92" t="s">
        <v>24</v>
      </c>
      <c r="L41" s="85"/>
      <c r="M41" s="88" t="s">
        <v>173</v>
      </c>
      <c r="N41" s="85" t="s">
        <v>34</v>
      </c>
      <c r="O41" s="88" t="s">
        <v>174</v>
      </c>
      <c r="P41" s="82"/>
    </row>
    <row r="42" hidden="1" spans="1:16">
      <c r="A42" s="83">
        <v>41</v>
      </c>
      <c r="B42" s="84">
        <v>46030</v>
      </c>
      <c r="C42" s="85" t="s">
        <v>25</v>
      </c>
      <c r="D42" s="85" t="s">
        <v>26</v>
      </c>
      <c r="E42" s="85" t="s">
        <v>35</v>
      </c>
      <c r="F42" s="85" t="s">
        <v>28</v>
      </c>
      <c r="G42" s="85" t="s">
        <v>175</v>
      </c>
      <c r="H42" s="85" t="s">
        <v>176</v>
      </c>
      <c r="I42" s="85"/>
      <c r="J42" s="88" t="s">
        <v>177</v>
      </c>
      <c r="K42" s="92" t="s">
        <v>24</v>
      </c>
      <c r="L42" s="85"/>
      <c r="M42" s="88" t="s">
        <v>173</v>
      </c>
      <c r="N42" s="85" t="s">
        <v>34</v>
      </c>
      <c r="O42" s="88" t="s">
        <v>178</v>
      </c>
      <c r="P42" s="82"/>
    </row>
    <row r="43" ht="82.5" hidden="1" spans="1:16">
      <c r="A43" s="83">
        <v>42</v>
      </c>
      <c r="B43" s="84">
        <v>46030</v>
      </c>
      <c r="C43" s="85" t="s">
        <v>179</v>
      </c>
      <c r="D43" s="85" t="s">
        <v>40</v>
      </c>
      <c r="E43" s="85" t="s">
        <v>41</v>
      </c>
      <c r="F43" s="85" t="s">
        <v>28</v>
      </c>
      <c r="G43" s="85" t="s">
        <v>180</v>
      </c>
      <c r="H43" s="85" t="s">
        <v>181</v>
      </c>
      <c r="I43" s="85"/>
      <c r="J43" s="88" t="s">
        <v>182</v>
      </c>
      <c r="K43" s="92" t="s">
        <v>92</v>
      </c>
      <c r="L43" s="85"/>
      <c r="M43" s="88" t="s">
        <v>183</v>
      </c>
      <c r="N43" s="85" t="s">
        <v>34</v>
      </c>
      <c r="O43" s="88"/>
      <c r="P43" s="82"/>
    </row>
    <row r="44" hidden="1" spans="1:16">
      <c r="A44" s="83">
        <v>43</v>
      </c>
      <c r="B44" s="84">
        <v>46030</v>
      </c>
      <c r="C44" s="85" t="s">
        <v>49</v>
      </c>
      <c r="D44" s="85" t="s">
        <v>26</v>
      </c>
      <c r="E44" s="85" t="s">
        <v>27</v>
      </c>
      <c r="F44" s="85" t="s">
        <v>28</v>
      </c>
      <c r="G44" s="85" t="s">
        <v>184</v>
      </c>
      <c r="H44" s="85" t="s">
        <v>185</v>
      </c>
      <c r="I44" s="85"/>
      <c r="J44" s="88" t="s">
        <v>186</v>
      </c>
      <c r="K44" s="92" t="s">
        <v>49</v>
      </c>
      <c r="L44" s="85"/>
      <c r="M44" s="88" t="s">
        <v>187</v>
      </c>
      <c r="N44" s="85" t="s">
        <v>34</v>
      </c>
      <c r="O44" s="88"/>
      <c r="P44" s="82"/>
    </row>
    <row r="45" ht="49.5" hidden="1" spans="1:16">
      <c r="A45" s="83">
        <v>44</v>
      </c>
      <c r="B45" s="84">
        <v>46030</v>
      </c>
      <c r="C45" s="85" t="s">
        <v>49</v>
      </c>
      <c r="D45" s="85" t="s">
        <v>26</v>
      </c>
      <c r="E45" s="85" t="s">
        <v>27</v>
      </c>
      <c r="F45" s="85" t="s">
        <v>28</v>
      </c>
      <c r="G45" s="85" t="s">
        <v>188</v>
      </c>
      <c r="H45" s="85" t="s">
        <v>189</v>
      </c>
      <c r="I45" s="85"/>
      <c r="J45" s="88" t="s">
        <v>186</v>
      </c>
      <c r="K45" s="92" t="s">
        <v>49</v>
      </c>
      <c r="L45" s="85"/>
      <c r="M45" s="88" t="s">
        <v>190</v>
      </c>
      <c r="N45" s="85" t="s">
        <v>34</v>
      </c>
      <c r="O45" s="88"/>
      <c r="P45" s="82"/>
    </row>
    <row r="46" hidden="1" spans="1:16">
      <c r="A46" s="83">
        <v>45</v>
      </c>
      <c r="B46" s="84">
        <v>46030</v>
      </c>
      <c r="C46" s="85" t="s">
        <v>68</v>
      </c>
      <c r="D46" s="85" t="s">
        <v>26</v>
      </c>
      <c r="E46" s="85" t="s">
        <v>27</v>
      </c>
      <c r="F46" s="85" t="s">
        <v>28</v>
      </c>
      <c r="G46" s="85" t="s">
        <v>191</v>
      </c>
      <c r="H46" s="85" t="s">
        <v>192</v>
      </c>
      <c r="I46" s="85"/>
      <c r="J46" s="88" t="s">
        <v>193</v>
      </c>
      <c r="K46" s="92" t="s">
        <v>32</v>
      </c>
      <c r="L46" s="85"/>
      <c r="M46" s="88" t="s">
        <v>194</v>
      </c>
      <c r="N46" s="85" t="s">
        <v>34</v>
      </c>
      <c r="O46" s="88"/>
      <c r="P46" s="82"/>
    </row>
    <row r="47" hidden="1" spans="1:16">
      <c r="A47" s="83">
        <v>46</v>
      </c>
      <c r="B47" s="84">
        <v>46030</v>
      </c>
      <c r="C47" s="85" t="s">
        <v>68</v>
      </c>
      <c r="D47" s="85" t="s">
        <v>26</v>
      </c>
      <c r="E47" s="85" t="s">
        <v>27</v>
      </c>
      <c r="F47" s="85" t="s">
        <v>28</v>
      </c>
      <c r="G47" s="85" t="s">
        <v>195</v>
      </c>
      <c r="H47" s="85">
        <v>263886163</v>
      </c>
      <c r="I47" s="85"/>
      <c r="J47" s="88" t="s">
        <v>193</v>
      </c>
      <c r="K47" s="92" t="s">
        <v>32</v>
      </c>
      <c r="L47" s="85"/>
      <c r="M47" s="88" t="s">
        <v>194</v>
      </c>
      <c r="N47" s="85" t="s">
        <v>34</v>
      </c>
      <c r="O47" s="88"/>
      <c r="P47" s="82"/>
    </row>
    <row r="48" ht="49.5" hidden="1" spans="1:16">
      <c r="A48" s="83">
        <v>47</v>
      </c>
      <c r="B48" s="84">
        <v>46031</v>
      </c>
      <c r="C48" s="85" t="s">
        <v>49</v>
      </c>
      <c r="D48" s="85" t="s">
        <v>26</v>
      </c>
      <c r="E48" s="85" t="s">
        <v>27</v>
      </c>
      <c r="F48" s="85" t="s">
        <v>28</v>
      </c>
      <c r="G48" s="85" t="s">
        <v>196</v>
      </c>
      <c r="H48" s="85" t="s">
        <v>197</v>
      </c>
      <c r="I48" s="85"/>
      <c r="J48" s="88" t="s">
        <v>198</v>
      </c>
      <c r="K48" s="92" t="s">
        <v>49</v>
      </c>
      <c r="L48" s="85"/>
      <c r="M48" s="88" t="s">
        <v>199</v>
      </c>
      <c r="N48" s="85" t="s">
        <v>34</v>
      </c>
      <c r="O48" s="88"/>
      <c r="P48" s="82"/>
    </row>
    <row r="49" hidden="1" spans="1:16">
      <c r="A49" s="83">
        <v>48</v>
      </c>
      <c r="B49" s="84">
        <v>46031</v>
      </c>
      <c r="C49" s="85" t="s">
        <v>49</v>
      </c>
      <c r="D49" s="85" t="s">
        <v>26</v>
      </c>
      <c r="E49" s="85" t="s">
        <v>27</v>
      </c>
      <c r="F49" s="85" t="s">
        <v>28</v>
      </c>
      <c r="G49" s="85" t="s">
        <v>200</v>
      </c>
      <c r="H49" s="85" t="s">
        <v>201</v>
      </c>
      <c r="I49" s="85"/>
      <c r="J49" s="88" t="s">
        <v>202</v>
      </c>
      <c r="K49" s="92" t="s">
        <v>49</v>
      </c>
      <c r="L49" s="85"/>
      <c r="M49" s="88" t="s">
        <v>203</v>
      </c>
      <c r="N49" s="85" t="s">
        <v>34</v>
      </c>
      <c r="O49" s="88"/>
      <c r="P49" s="82"/>
    </row>
    <row r="50" ht="33" hidden="1" spans="1:16">
      <c r="A50" s="83">
        <v>49</v>
      </c>
      <c r="B50" s="84">
        <v>46031</v>
      </c>
      <c r="C50" s="85" t="s">
        <v>68</v>
      </c>
      <c r="D50" s="85" t="s">
        <v>40</v>
      </c>
      <c r="E50" s="85" t="s">
        <v>41</v>
      </c>
      <c r="F50" s="85" t="s">
        <v>28</v>
      </c>
      <c r="G50" s="85" t="s">
        <v>204</v>
      </c>
      <c r="H50" s="85" t="s">
        <v>205</v>
      </c>
      <c r="I50" s="85"/>
      <c r="J50" s="88" t="s">
        <v>206</v>
      </c>
      <c r="K50" s="92" t="s">
        <v>207</v>
      </c>
      <c r="L50" s="85"/>
      <c r="M50" s="88" t="s">
        <v>208</v>
      </c>
      <c r="N50" s="85" t="s">
        <v>34</v>
      </c>
      <c r="O50" s="88"/>
      <c r="P50" s="82"/>
    </row>
    <row r="51" ht="33" hidden="1" spans="1:16">
      <c r="A51" s="83">
        <v>50</v>
      </c>
      <c r="B51" s="84">
        <v>46031</v>
      </c>
      <c r="C51" s="85" t="s">
        <v>25</v>
      </c>
      <c r="D51" s="85" t="s">
        <v>40</v>
      </c>
      <c r="E51" s="85" t="s">
        <v>41</v>
      </c>
      <c r="F51" s="85" t="s">
        <v>28</v>
      </c>
      <c r="G51" s="85" t="s">
        <v>209</v>
      </c>
      <c r="H51" s="85" t="s">
        <v>210</v>
      </c>
      <c r="I51" s="85"/>
      <c r="J51" s="88" t="s">
        <v>211</v>
      </c>
      <c r="K51" s="92" t="s">
        <v>92</v>
      </c>
      <c r="L51" s="85"/>
      <c r="M51" s="88" t="s">
        <v>212</v>
      </c>
      <c r="N51" s="85" t="s">
        <v>34</v>
      </c>
      <c r="O51" s="88"/>
      <c r="P51" s="82"/>
    </row>
    <row r="52" ht="33" hidden="1" spans="1:16">
      <c r="A52" s="83">
        <v>51</v>
      </c>
      <c r="B52" s="84">
        <v>46034</v>
      </c>
      <c r="C52" s="85" t="s">
        <v>25</v>
      </c>
      <c r="D52" s="85" t="s">
        <v>40</v>
      </c>
      <c r="E52" s="85" t="s">
        <v>41</v>
      </c>
      <c r="F52" s="85" t="s">
        <v>28</v>
      </c>
      <c r="G52" s="85" t="s">
        <v>213</v>
      </c>
      <c r="H52" s="85" t="s">
        <v>214</v>
      </c>
      <c r="I52" s="85"/>
      <c r="J52" s="88" t="s">
        <v>215</v>
      </c>
      <c r="K52" s="92" t="s">
        <v>92</v>
      </c>
      <c r="L52" s="85"/>
      <c r="M52" s="88" t="s">
        <v>216</v>
      </c>
      <c r="N52" s="85" t="s">
        <v>34</v>
      </c>
      <c r="O52" s="88"/>
      <c r="P52" s="82"/>
    </row>
    <row r="53" ht="33" hidden="1" customHeight="1" spans="1:16">
      <c r="A53" s="83">
        <v>52</v>
      </c>
      <c r="B53" s="84">
        <v>46034</v>
      </c>
      <c r="C53" s="85" t="s">
        <v>25</v>
      </c>
      <c r="D53" s="85" t="s">
        <v>26</v>
      </c>
      <c r="E53" s="85" t="s">
        <v>35</v>
      </c>
      <c r="F53" s="85" t="s">
        <v>28</v>
      </c>
      <c r="G53" s="85" t="s">
        <v>217</v>
      </c>
      <c r="H53" s="85" t="s">
        <v>218</v>
      </c>
      <c r="I53" s="85"/>
      <c r="J53" s="93" t="s">
        <v>219</v>
      </c>
      <c r="K53" s="92" t="s">
        <v>24</v>
      </c>
      <c r="L53" s="85"/>
      <c r="M53" s="88" t="s">
        <v>220</v>
      </c>
      <c r="N53" s="85" t="s">
        <v>34</v>
      </c>
      <c r="O53" s="88" t="s">
        <v>221</v>
      </c>
      <c r="P53" s="82"/>
    </row>
    <row r="54" ht="33" hidden="1" spans="1:16">
      <c r="A54" s="83">
        <v>53</v>
      </c>
      <c r="B54" s="84">
        <v>46034</v>
      </c>
      <c r="C54" s="85" t="s">
        <v>25</v>
      </c>
      <c r="D54" s="85" t="s">
        <v>222</v>
      </c>
      <c r="E54" s="85" t="s">
        <v>223</v>
      </c>
      <c r="F54" s="85" t="s">
        <v>28</v>
      </c>
      <c r="G54" s="85" t="s">
        <v>224</v>
      </c>
      <c r="H54" s="85" t="s">
        <v>225</v>
      </c>
      <c r="I54" s="85"/>
      <c r="J54" s="93"/>
      <c r="K54" s="92" t="s">
        <v>24</v>
      </c>
      <c r="L54" s="85"/>
      <c r="M54" s="88" t="s">
        <v>220</v>
      </c>
      <c r="N54" s="85" t="s">
        <v>34</v>
      </c>
      <c r="O54" s="88" t="s">
        <v>221</v>
      </c>
      <c r="P54" s="82"/>
    </row>
    <row r="55" ht="33" hidden="1" spans="1:16">
      <c r="A55" s="83">
        <v>54</v>
      </c>
      <c r="B55" s="84">
        <v>46034</v>
      </c>
      <c r="C55" s="85" t="s">
        <v>25</v>
      </c>
      <c r="D55" s="85" t="s">
        <v>26</v>
      </c>
      <c r="E55" s="85" t="s">
        <v>35</v>
      </c>
      <c r="F55" s="85" t="s">
        <v>28</v>
      </c>
      <c r="G55" s="85" t="s">
        <v>226</v>
      </c>
      <c r="H55" s="85" t="s">
        <v>227</v>
      </c>
      <c r="I55" s="85"/>
      <c r="J55" s="93"/>
      <c r="K55" s="92" t="s">
        <v>24</v>
      </c>
      <c r="L55" s="85"/>
      <c r="M55" s="88" t="s">
        <v>220</v>
      </c>
      <c r="N55" s="85" t="s">
        <v>34</v>
      </c>
      <c r="O55" s="88" t="s">
        <v>221</v>
      </c>
      <c r="P55" s="82"/>
    </row>
    <row r="56" ht="33" hidden="1" spans="1:16">
      <c r="A56" s="83">
        <v>55</v>
      </c>
      <c r="B56" s="84">
        <v>46034</v>
      </c>
      <c r="C56" s="85" t="s">
        <v>25</v>
      </c>
      <c r="D56" s="85" t="s">
        <v>26</v>
      </c>
      <c r="E56" s="85" t="s">
        <v>35</v>
      </c>
      <c r="F56" s="85" t="s">
        <v>28</v>
      </c>
      <c r="G56" s="85" t="s">
        <v>228</v>
      </c>
      <c r="H56" s="85" t="s">
        <v>229</v>
      </c>
      <c r="I56" s="85"/>
      <c r="J56" s="93"/>
      <c r="K56" s="92" t="s">
        <v>24</v>
      </c>
      <c r="L56" s="85"/>
      <c r="M56" s="88" t="s">
        <v>220</v>
      </c>
      <c r="N56" s="85" t="s">
        <v>34</v>
      </c>
      <c r="O56" s="88" t="s">
        <v>221</v>
      </c>
      <c r="P56" s="82"/>
    </row>
    <row r="57" ht="33" hidden="1" spans="1:16">
      <c r="A57" s="83">
        <v>56</v>
      </c>
      <c r="B57" s="84">
        <v>46034</v>
      </c>
      <c r="C57" s="85" t="s">
        <v>25</v>
      </c>
      <c r="D57" s="85" t="s">
        <v>222</v>
      </c>
      <c r="E57" s="85" t="s">
        <v>223</v>
      </c>
      <c r="F57" s="85" t="s">
        <v>28</v>
      </c>
      <c r="G57" s="85" t="s">
        <v>230</v>
      </c>
      <c r="H57" s="85" t="s">
        <v>231</v>
      </c>
      <c r="I57" s="85"/>
      <c r="J57" s="93"/>
      <c r="K57" s="92" t="s">
        <v>24</v>
      </c>
      <c r="L57" s="85"/>
      <c r="M57" s="88" t="s">
        <v>220</v>
      </c>
      <c r="N57" s="85" t="s">
        <v>34</v>
      </c>
      <c r="O57" s="88" t="s">
        <v>221</v>
      </c>
      <c r="P57" s="82"/>
    </row>
    <row r="58" ht="33" hidden="1" spans="1:16">
      <c r="A58" s="83">
        <v>57</v>
      </c>
      <c r="B58" s="84">
        <v>46034</v>
      </c>
      <c r="C58" s="85" t="s">
        <v>25</v>
      </c>
      <c r="D58" s="85" t="s">
        <v>26</v>
      </c>
      <c r="E58" s="85" t="s">
        <v>35</v>
      </c>
      <c r="F58" s="85" t="s">
        <v>28</v>
      </c>
      <c r="G58" s="85" t="s">
        <v>232</v>
      </c>
      <c r="H58" s="85" t="s">
        <v>233</v>
      </c>
      <c r="I58" s="85"/>
      <c r="J58" s="93"/>
      <c r="K58" s="92" t="s">
        <v>24</v>
      </c>
      <c r="L58" s="85"/>
      <c r="M58" s="88" t="s">
        <v>220</v>
      </c>
      <c r="N58" s="85" t="s">
        <v>34</v>
      </c>
      <c r="O58" s="88" t="s">
        <v>221</v>
      </c>
      <c r="P58" s="82"/>
    </row>
    <row r="59" ht="33" hidden="1" spans="1:16">
      <c r="A59" s="83">
        <v>58</v>
      </c>
      <c r="B59" s="84">
        <v>46034</v>
      </c>
      <c r="C59" s="85" t="s">
        <v>25</v>
      </c>
      <c r="D59" s="85" t="s">
        <v>222</v>
      </c>
      <c r="E59" s="85" t="s">
        <v>223</v>
      </c>
      <c r="F59" s="85" t="s">
        <v>28</v>
      </c>
      <c r="G59" s="85" t="s">
        <v>234</v>
      </c>
      <c r="H59" s="85" t="s">
        <v>235</v>
      </c>
      <c r="I59" s="85"/>
      <c r="J59" s="93"/>
      <c r="K59" s="92" t="s">
        <v>24</v>
      </c>
      <c r="L59" s="85"/>
      <c r="M59" s="88" t="s">
        <v>220</v>
      </c>
      <c r="N59" s="85" t="s">
        <v>34</v>
      </c>
      <c r="O59" s="88" t="s">
        <v>221</v>
      </c>
      <c r="P59" s="82"/>
    </row>
    <row r="60" hidden="1" spans="1:16">
      <c r="A60" s="83">
        <v>59</v>
      </c>
      <c r="B60" s="84">
        <v>46034</v>
      </c>
      <c r="C60" s="85" t="s">
        <v>49</v>
      </c>
      <c r="D60" s="85" t="s">
        <v>40</v>
      </c>
      <c r="E60" s="85" t="s">
        <v>41</v>
      </c>
      <c r="F60" s="85" t="s">
        <v>28</v>
      </c>
      <c r="G60" s="85" t="s">
        <v>236</v>
      </c>
      <c r="H60" s="85" t="s">
        <v>237</v>
      </c>
      <c r="I60" s="85"/>
      <c r="J60" s="88" t="s">
        <v>238</v>
      </c>
      <c r="K60" s="92" t="s">
        <v>49</v>
      </c>
      <c r="L60" s="85"/>
      <c r="M60" s="88" t="s">
        <v>239</v>
      </c>
      <c r="N60" s="85" t="s">
        <v>34</v>
      </c>
      <c r="O60" s="88"/>
      <c r="P60" s="82"/>
    </row>
    <row r="61" hidden="1" spans="1:16">
      <c r="A61" s="83">
        <v>60</v>
      </c>
      <c r="B61" s="84">
        <v>46034</v>
      </c>
      <c r="C61" s="85" t="s">
        <v>49</v>
      </c>
      <c r="D61" s="85" t="s">
        <v>40</v>
      </c>
      <c r="E61" s="85" t="s">
        <v>41</v>
      </c>
      <c r="F61" s="85" t="s">
        <v>28</v>
      </c>
      <c r="G61" s="85" t="s">
        <v>240</v>
      </c>
      <c r="H61" s="85" t="s">
        <v>241</v>
      </c>
      <c r="I61" s="85"/>
      <c r="J61" s="88" t="s">
        <v>238</v>
      </c>
      <c r="K61" s="92" t="s">
        <v>49</v>
      </c>
      <c r="L61" s="85"/>
      <c r="M61" s="88" t="s">
        <v>239</v>
      </c>
      <c r="N61" s="85" t="s">
        <v>34</v>
      </c>
      <c r="O61" s="88"/>
      <c r="P61" s="82"/>
    </row>
    <row r="62" hidden="1" spans="1:16">
      <c r="A62" s="83">
        <v>61</v>
      </c>
      <c r="B62" s="84">
        <v>46034</v>
      </c>
      <c r="C62" s="85" t="s">
        <v>49</v>
      </c>
      <c r="D62" s="85" t="s">
        <v>40</v>
      </c>
      <c r="E62" s="85" t="s">
        <v>41</v>
      </c>
      <c r="F62" s="85" t="s">
        <v>28</v>
      </c>
      <c r="G62" s="85" t="s">
        <v>242</v>
      </c>
      <c r="H62" s="85" t="s">
        <v>243</v>
      </c>
      <c r="I62" s="85"/>
      <c r="J62" s="88" t="s">
        <v>238</v>
      </c>
      <c r="K62" s="92" t="s">
        <v>49</v>
      </c>
      <c r="L62" s="85"/>
      <c r="M62" s="88" t="s">
        <v>239</v>
      </c>
      <c r="N62" s="85" t="s">
        <v>34</v>
      </c>
      <c r="O62" s="88"/>
      <c r="P62" s="82"/>
    </row>
    <row r="63" hidden="1" spans="1:16">
      <c r="A63" s="83">
        <v>62</v>
      </c>
      <c r="B63" s="84">
        <v>46034</v>
      </c>
      <c r="C63" s="85" t="s">
        <v>49</v>
      </c>
      <c r="D63" s="85" t="s">
        <v>26</v>
      </c>
      <c r="E63" s="85" t="s">
        <v>27</v>
      </c>
      <c r="F63" s="85" t="s">
        <v>28</v>
      </c>
      <c r="G63" s="85" t="s">
        <v>244</v>
      </c>
      <c r="H63" s="85" t="s">
        <v>245</v>
      </c>
      <c r="I63" s="85"/>
      <c r="J63" s="88" t="s">
        <v>238</v>
      </c>
      <c r="K63" s="92" t="s">
        <v>49</v>
      </c>
      <c r="L63" s="85"/>
      <c r="M63" s="88" t="s">
        <v>239</v>
      </c>
      <c r="N63" s="85" t="s">
        <v>34</v>
      </c>
      <c r="O63" s="88"/>
      <c r="P63" s="82"/>
    </row>
    <row r="64" hidden="1" spans="1:16">
      <c r="A64" s="83">
        <v>63</v>
      </c>
      <c r="B64" s="84">
        <v>46034</v>
      </c>
      <c r="C64" s="85" t="s">
        <v>68</v>
      </c>
      <c r="D64" s="85" t="s">
        <v>26</v>
      </c>
      <c r="E64" s="85" t="s">
        <v>27</v>
      </c>
      <c r="F64" s="85" t="s">
        <v>28</v>
      </c>
      <c r="G64" s="85" t="s">
        <v>246</v>
      </c>
      <c r="H64" s="85">
        <v>263177740</v>
      </c>
      <c r="I64" s="85"/>
      <c r="J64" s="88" t="s">
        <v>247</v>
      </c>
      <c r="K64" s="92" t="s">
        <v>32</v>
      </c>
      <c r="L64" s="85"/>
      <c r="M64" s="88" t="s">
        <v>248</v>
      </c>
      <c r="N64" s="85" t="s">
        <v>34</v>
      </c>
      <c r="O64" s="88"/>
      <c r="P64" s="82"/>
    </row>
    <row r="65" hidden="1" spans="1:16">
      <c r="A65" s="83">
        <v>64</v>
      </c>
      <c r="B65" s="84">
        <v>46034</v>
      </c>
      <c r="C65" s="85" t="s">
        <v>68</v>
      </c>
      <c r="D65" s="85" t="s">
        <v>26</v>
      </c>
      <c r="E65" s="85" t="s">
        <v>27</v>
      </c>
      <c r="F65" s="85" t="s">
        <v>28</v>
      </c>
      <c r="G65" s="85" t="s">
        <v>249</v>
      </c>
      <c r="H65" s="85" t="s">
        <v>250</v>
      </c>
      <c r="I65" s="85"/>
      <c r="J65" s="88" t="s">
        <v>251</v>
      </c>
      <c r="K65" s="92" t="s">
        <v>32</v>
      </c>
      <c r="L65" s="85"/>
      <c r="M65" s="88" t="s">
        <v>248</v>
      </c>
      <c r="N65" s="85" t="s">
        <v>34</v>
      </c>
      <c r="O65" s="88"/>
      <c r="P65" s="82"/>
    </row>
    <row r="66" hidden="1" spans="1:16">
      <c r="A66" s="83">
        <v>65</v>
      </c>
      <c r="B66" s="84">
        <v>46034</v>
      </c>
      <c r="C66" s="85" t="s">
        <v>68</v>
      </c>
      <c r="D66" s="85" t="s">
        <v>26</v>
      </c>
      <c r="E66" s="85" t="s">
        <v>27</v>
      </c>
      <c r="F66" s="85" t="s">
        <v>28</v>
      </c>
      <c r="G66" s="85" t="s">
        <v>252</v>
      </c>
      <c r="H66" s="85" t="s">
        <v>253</v>
      </c>
      <c r="I66" s="85"/>
      <c r="J66" s="88" t="s">
        <v>247</v>
      </c>
      <c r="K66" s="92" t="s">
        <v>32</v>
      </c>
      <c r="L66" s="85"/>
      <c r="M66" s="88" t="s">
        <v>248</v>
      </c>
      <c r="N66" s="85" t="s">
        <v>34</v>
      </c>
      <c r="O66" s="88"/>
      <c r="P66" s="82"/>
    </row>
    <row r="67" hidden="1" spans="1:16">
      <c r="A67" s="83">
        <v>66</v>
      </c>
      <c r="B67" s="84">
        <v>46034</v>
      </c>
      <c r="C67" s="85" t="s">
        <v>68</v>
      </c>
      <c r="D67" s="85" t="s">
        <v>26</v>
      </c>
      <c r="E67" s="85" t="s">
        <v>27</v>
      </c>
      <c r="F67" s="85" t="s">
        <v>28</v>
      </c>
      <c r="G67" s="85" t="s">
        <v>254</v>
      </c>
      <c r="H67" s="85" t="s">
        <v>255</v>
      </c>
      <c r="I67" s="85"/>
      <c r="J67" s="88" t="s">
        <v>247</v>
      </c>
      <c r="K67" s="92" t="s">
        <v>32</v>
      </c>
      <c r="L67" s="85"/>
      <c r="M67" s="88" t="s">
        <v>248</v>
      </c>
      <c r="N67" s="85" t="s">
        <v>34</v>
      </c>
      <c r="O67" s="88"/>
      <c r="P67" s="82"/>
    </row>
    <row r="68" hidden="1" spans="1:16">
      <c r="A68" s="83">
        <v>67</v>
      </c>
      <c r="B68" s="84">
        <v>46034</v>
      </c>
      <c r="C68" s="85" t="s">
        <v>68</v>
      </c>
      <c r="D68" s="85" t="s">
        <v>26</v>
      </c>
      <c r="E68" s="85" t="s">
        <v>27</v>
      </c>
      <c r="F68" s="85" t="s">
        <v>28</v>
      </c>
      <c r="G68" s="85" t="s">
        <v>256</v>
      </c>
      <c r="H68" s="85" t="s">
        <v>257</v>
      </c>
      <c r="I68" s="85"/>
      <c r="J68" s="88" t="s">
        <v>251</v>
      </c>
      <c r="K68" s="92" t="s">
        <v>32</v>
      </c>
      <c r="L68" s="85"/>
      <c r="M68" s="88" t="s">
        <v>248</v>
      </c>
      <c r="N68" s="85" t="s">
        <v>34</v>
      </c>
      <c r="O68" s="88"/>
      <c r="P68" s="82"/>
    </row>
    <row r="69" hidden="1" spans="1:16">
      <c r="A69" s="83">
        <v>68</v>
      </c>
      <c r="B69" s="84">
        <v>46034</v>
      </c>
      <c r="C69" s="85" t="s">
        <v>49</v>
      </c>
      <c r="D69" s="85" t="s">
        <v>26</v>
      </c>
      <c r="E69" s="85" t="s">
        <v>35</v>
      </c>
      <c r="F69" s="85" t="s">
        <v>28</v>
      </c>
      <c r="G69" s="85" t="s">
        <v>258</v>
      </c>
      <c r="H69" s="85" t="s">
        <v>259</v>
      </c>
      <c r="I69" s="85"/>
      <c r="J69" s="88" t="s">
        <v>260</v>
      </c>
      <c r="K69" s="92" t="s">
        <v>49</v>
      </c>
      <c r="L69" s="85"/>
      <c r="M69" s="88" t="s">
        <v>261</v>
      </c>
      <c r="N69" s="85" t="s">
        <v>34</v>
      </c>
      <c r="O69" s="88"/>
      <c r="P69" s="82"/>
    </row>
    <row r="70" hidden="1" spans="1:16">
      <c r="A70" s="83">
        <v>69</v>
      </c>
      <c r="B70" s="84">
        <v>46035</v>
      </c>
      <c r="C70" s="85" t="s">
        <v>68</v>
      </c>
      <c r="D70" s="85" t="s">
        <v>40</v>
      </c>
      <c r="E70" s="85" t="s">
        <v>41</v>
      </c>
      <c r="F70" s="85" t="s">
        <v>28</v>
      </c>
      <c r="G70" s="85" t="s">
        <v>262</v>
      </c>
      <c r="H70" s="85" t="s">
        <v>263</v>
      </c>
      <c r="I70" s="85"/>
      <c r="J70" s="88" t="s">
        <v>264</v>
      </c>
      <c r="K70" s="92" t="s">
        <v>32</v>
      </c>
      <c r="L70" s="85"/>
      <c r="M70" s="88" t="s">
        <v>248</v>
      </c>
      <c r="N70" s="85" t="s">
        <v>34</v>
      </c>
      <c r="O70" s="88"/>
      <c r="P70" s="82"/>
    </row>
    <row r="71" hidden="1" spans="1:16">
      <c r="A71" s="83">
        <v>70</v>
      </c>
      <c r="B71" s="84">
        <v>46035</v>
      </c>
      <c r="C71" s="85" t="s">
        <v>68</v>
      </c>
      <c r="D71" s="85" t="s">
        <v>153</v>
      </c>
      <c r="E71" s="85" t="s">
        <v>154</v>
      </c>
      <c r="F71" s="85" t="s">
        <v>28</v>
      </c>
      <c r="G71" s="85" t="s">
        <v>265</v>
      </c>
      <c r="H71" s="85">
        <v>264346776</v>
      </c>
      <c r="I71" s="85"/>
      <c r="J71" s="88" t="s">
        <v>264</v>
      </c>
      <c r="K71" s="92" t="s">
        <v>32</v>
      </c>
      <c r="L71" s="85"/>
      <c r="M71" s="88" t="s">
        <v>248</v>
      </c>
      <c r="N71" s="85" t="s">
        <v>34</v>
      </c>
      <c r="O71" s="88"/>
      <c r="P71" s="82"/>
    </row>
    <row r="72" hidden="1" spans="1:16">
      <c r="A72" s="83">
        <v>71</v>
      </c>
      <c r="B72" s="84">
        <v>46035</v>
      </c>
      <c r="C72" s="85" t="s">
        <v>25</v>
      </c>
      <c r="D72" s="85" t="s">
        <v>26</v>
      </c>
      <c r="E72" s="85" t="s">
        <v>35</v>
      </c>
      <c r="F72" s="85" t="s">
        <v>28</v>
      </c>
      <c r="G72" s="85" t="s">
        <v>266</v>
      </c>
      <c r="H72" s="85" t="s">
        <v>267</v>
      </c>
      <c r="I72" s="85"/>
      <c r="J72" s="88" t="s">
        <v>268</v>
      </c>
      <c r="K72" s="92" t="s">
        <v>24</v>
      </c>
      <c r="L72" s="85"/>
      <c r="M72" s="88" t="s">
        <v>269</v>
      </c>
      <c r="N72" s="85" t="s">
        <v>34</v>
      </c>
      <c r="O72" s="88" t="s">
        <v>221</v>
      </c>
      <c r="P72" s="82"/>
    </row>
    <row r="73" hidden="1" spans="1:16">
      <c r="A73" s="83">
        <v>72</v>
      </c>
      <c r="B73" s="84">
        <v>46035</v>
      </c>
      <c r="C73" s="85" t="s">
        <v>25</v>
      </c>
      <c r="D73" s="85" t="s">
        <v>26</v>
      </c>
      <c r="E73" s="85" t="s">
        <v>35</v>
      </c>
      <c r="F73" s="85" t="s">
        <v>28</v>
      </c>
      <c r="G73" s="85" t="s">
        <v>270</v>
      </c>
      <c r="H73" s="85" t="s">
        <v>271</v>
      </c>
      <c r="I73" s="85"/>
      <c r="J73" s="88" t="s">
        <v>272</v>
      </c>
      <c r="K73" s="92" t="s">
        <v>24</v>
      </c>
      <c r="L73" s="85"/>
      <c r="M73" s="88" t="s">
        <v>269</v>
      </c>
      <c r="N73" s="85" t="s">
        <v>34</v>
      </c>
      <c r="O73" s="88" t="s">
        <v>221</v>
      </c>
      <c r="P73" s="82"/>
    </row>
    <row r="74" hidden="1" spans="1:16">
      <c r="A74" s="83">
        <v>73</v>
      </c>
      <c r="B74" s="84">
        <v>46035</v>
      </c>
      <c r="C74" s="85" t="s">
        <v>49</v>
      </c>
      <c r="D74" s="85" t="s">
        <v>26</v>
      </c>
      <c r="E74" s="85" t="s">
        <v>35</v>
      </c>
      <c r="F74" s="85" t="s">
        <v>28</v>
      </c>
      <c r="G74" s="88" t="s">
        <v>273</v>
      </c>
      <c r="H74" s="85" t="s">
        <v>274</v>
      </c>
      <c r="I74" s="85"/>
      <c r="J74" s="88" t="s">
        <v>275</v>
      </c>
      <c r="K74" s="92" t="s">
        <v>49</v>
      </c>
      <c r="L74" s="85"/>
      <c r="M74" s="88" t="s">
        <v>239</v>
      </c>
      <c r="N74" s="85" t="s">
        <v>34</v>
      </c>
      <c r="O74" s="88"/>
      <c r="P74" s="82"/>
    </row>
    <row r="75" ht="33" hidden="1" spans="1:16">
      <c r="A75" s="83">
        <v>74</v>
      </c>
      <c r="B75" s="84">
        <v>46035</v>
      </c>
      <c r="C75" s="85" t="s">
        <v>68</v>
      </c>
      <c r="D75" s="85" t="s">
        <v>26</v>
      </c>
      <c r="E75" s="85" t="s">
        <v>35</v>
      </c>
      <c r="F75" s="85" t="s">
        <v>28</v>
      </c>
      <c r="G75" s="85" t="s">
        <v>276</v>
      </c>
      <c r="H75" s="85" t="s">
        <v>277</v>
      </c>
      <c r="I75" s="85"/>
      <c r="J75" s="88" t="s">
        <v>278</v>
      </c>
      <c r="K75" s="92" t="s">
        <v>24</v>
      </c>
      <c r="L75" s="85"/>
      <c r="M75" s="88" t="s">
        <v>279</v>
      </c>
      <c r="N75" s="85" t="s">
        <v>34</v>
      </c>
      <c r="O75" s="88" t="s">
        <v>280</v>
      </c>
      <c r="P75" s="82"/>
    </row>
    <row r="76" hidden="1" spans="1:16">
      <c r="A76" s="83">
        <v>75</v>
      </c>
      <c r="B76" s="84">
        <v>46035</v>
      </c>
      <c r="C76" s="85" t="s">
        <v>49</v>
      </c>
      <c r="D76" s="85" t="s">
        <v>26</v>
      </c>
      <c r="E76" s="85" t="s">
        <v>27</v>
      </c>
      <c r="F76" s="85" t="s">
        <v>28</v>
      </c>
      <c r="G76" s="88" t="s">
        <v>281</v>
      </c>
      <c r="H76" s="85" t="s">
        <v>282</v>
      </c>
      <c r="I76" s="85"/>
      <c r="J76" s="88" t="s">
        <v>275</v>
      </c>
      <c r="K76" s="92" t="s">
        <v>49</v>
      </c>
      <c r="L76" s="85"/>
      <c r="M76" s="88" t="s">
        <v>283</v>
      </c>
      <c r="N76" s="85" t="s">
        <v>34</v>
      </c>
      <c r="O76" s="88"/>
      <c r="P76" s="82"/>
    </row>
    <row r="77" hidden="1" spans="1:16">
      <c r="A77" s="83">
        <v>76</v>
      </c>
      <c r="B77" s="84">
        <v>46035</v>
      </c>
      <c r="C77" s="85" t="s">
        <v>68</v>
      </c>
      <c r="D77" s="85" t="s">
        <v>26</v>
      </c>
      <c r="E77" s="85" t="s">
        <v>27</v>
      </c>
      <c r="F77" s="85" t="s">
        <v>28</v>
      </c>
      <c r="G77" s="88" t="s">
        <v>284</v>
      </c>
      <c r="H77" s="85">
        <v>264478769</v>
      </c>
      <c r="I77" s="85"/>
      <c r="J77" s="88" t="s">
        <v>285</v>
      </c>
      <c r="K77" s="92" t="s">
        <v>32</v>
      </c>
      <c r="L77" s="85"/>
      <c r="M77" s="88" t="s">
        <v>286</v>
      </c>
      <c r="N77" s="85" t="s">
        <v>34</v>
      </c>
      <c r="O77" s="88"/>
      <c r="P77" s="82"/>
    </row>
    <row r="78" hidden="1" spans="1:16">
      <c r="A78" s="83">
        <v>77</v>
      </c>
      <c r="B78" s="84">
        <v>46035</v>
      </c>
      <c r="C78" s="85" t="s">
        <v>68</v>
      </c>
      <c r="D78" s="85" t="s">
        <v>26</v>
      </c>
      <c r="E78" s="85" t="s">
        <v>27</v>
      </c>
      <c r="F78" s="85" t="s">
        <v>28</v>
      </c>
      <c r="G78" s="85" t="s">
        <v>287</v>
      </c>
      <c r="H78" s="85" t="s">
        <v>288</v>
      </c>
      <c r="I78" s="85"/>
      <c r="J78" s="88" t="s">
        <v>247</v>
      </c>
      <c r="K78" s="92" t="s">
        <v>32</v>
      </c>
      <c r="L78" s="85"/>
      <c r="M78" s="88" t="s">
        <v>286</v>
      </c>
      <c r="N78" s="85" t="s">
        <v>34</v>
      </c>
      <c r="O78" s="88"/>
      <c r="P78" s="82"/>
    </row>
    <row r="79" hidden="1" spans="1:16">
      <c r="A79" s="83">
        <v>78</v>
      </c>
      <c r="B79" s="84">
        <v>46035</v>
      </c>
      <c r="C79" s="85" t="s">
        <v>49</v>
      </c>
      <c r="D79" s="85" t="s">
        <v>40</v>
      </c>
      <c r="E79" s="85" t="s">
        <v>41</v>
      </c>
      <c r="F79" s="85" t="s">
        <v>28</v>
      </c>
      <c r="G79" s="85" t="s">
        <v>289</v>
      </c>
      <c r="H79" s="85" t="s">
        <v>290</v>
      </c>
      <c r="I79" s="85"/>
      <c r="J79" s="88" t="s">
        <v>275</v>
      </c>
      <c r="K79" s="92" t="s">
        <v>49</v>
      </c>
      <c r="L79" s="85"/>
      <c r="M79" s="88" t="s">
        <v>283</v>
      </c>
      <c r="N79" s="85" t="s">
        <v>34</v>
      </c>
      <c r="O79" s="88"/>
      <c r="P79" s="82"/>
    </row>
    <row r="80" ht="33" hidden="1" spans="1:16">
      <c r="A80" s="83">
        <v>79</v>
      </c>
      <c r="B80" s="84">
        <v>46035</v>
      </c>
      <c r="C80" s="85" t="s">
        <v>68</v>
      </c>
      <c r="D80" s="85" t="s">
        <v>26</v>
      </c>
      <c r="E80" s="85" t="s">
        <v>27</v>
      </c>
      <c r="F80" s="85" t="s">
        <v>28</v>
      </c>
      <c r="G80" s="85" t="s">
        <v>291</v>
      </c>
      <c r="H80" s="85" t="s">
        <v>292</v>
      </c>
      <c r="I80" s="85"/>
      <c r="J80" s="88" t="s">
        <v>293</v>
      </c>
      <c r="K80" s="92" t="s">
        <v>32</v>
      </c>
      <c r="L80" s="85"/>
      <c r="M80" s="88" t="s">
        <v>294</v>
      </c>
      <c r="N80" s="85" t="s">
        <v>34</v>
      </c>
      <c r="O80" s="88"/>
      <c r="P80" s="82"/>
    </row>
    <row r="81" ht="66" hidden="1" spans="1:16">
      <c r="A81" s="83">
        <v>80</v>
      </c>
      <c r="B81" s="84">
        <v>46036</v>
      </c>
      <c r="C81" s="85" t="s">
        <v>25</v>
      </c>
      <c r="D81" s="85" t="s">
        <v>222</v>
      </c>
      <c r="E81" s="85" t="s">
        <v>295</v>
      </c>
      <c r="F81" s="85" t="s">
        <v>28</v>
      </c>
      <c r="G81" s="85" t="s">
        <v>296</v>
      </c>
      <c r="H81" s="88" t="s">
        <v>297</v>
      </c>
      <c r="I81" s="85"/>
      <c r="J81" s="88" t="s">
        <v>298</v>
      </c>
      <c r="K81" s="92" t="s">
        <v>92</v>
      </c>
      <c r="L81" s="85"/>
      <c r="M81" s="88" t="s">
        <v>299</v>
      </c>
      <c r="N81" s="85" t="s">
        <v>34</v>
      </c>
      <c r="O81" s="88"/>
      <c r="P81" s="82"/>
    </row>
    <row r="82" ht="66" hidden="1" spans="1:16">
      <c r="A82" s="83">
        <v>81</v>
      </c>
      <c r="B82" s="84">
        <v>46036</v>
      </c>
      <c r="C82" s="85" t="s">
        <v>68</v>
      </c>
      <c r="D82" s="85" t="s">
        <v>40</v>
      </c>
      <c r="E82" s="85" t="s">
        <v>41</v>
      </c>
      <c r="F82" s="85" t="s">
        <v>28</v>
      </c>
      <c r="G82" s="87" t="s">
        <v>300</v>
      </c>
      <c r="H82" s="85" t="s">
        <v>301</v>
      </c>
      <c r="I82" s="85"/>
      <c r="J82" s="88" t="s">
        <v>302</v>
      </c>
      <c r="K82" s="92" t="s">
        <v>92</v>
      </c>
      <c r="L82" s="85"/>
      <c r="M82" s="88" t="s">
        <v>303</v>
      </c>
      <c r="N82" s="85" t="s">
        <v>34</v>
      </c>
      <c r="O82" s="88"/>
      <c r="P82" s="82"/>
    </row>
    <row r="83" ht="66" hidden="1" spans="1:16">
      <c r="A83" s="83">
        <v>82</v>
      </c>
      <c r="B83" s="84">
        <v>46036</v>
      </c>
      <c r="C83" s="85" t="s">
        <v>68</v>
      </c>
      <c r="D83" s="85" t="s">
        <v>40</v>
      </c>
      <c r="E83" s="85" t="s">
        <v>41</v>
      </c>
      <c r="F83" s="85" t="s">
        <v>28</v>
      </c>
      <c r="G83" s="87" t="s">
        <v>304</v>
      </c>
      <c r="H83" s="85" t="s">
        <v>305</v>
      </c>
      <c r="I83" s="85"/>
      <c r="J83" s="88" t="s">
        <v>302</v>
      </c>
      <c r="K83" s="92" t="s">
        <v>92</v>
      </c>
      <c r="L83" s="85"/>
      <c r="M83" s="88" t="s">
        <v>303</v>
      </c>
      <c r="N83" s="85" t="s">
        <v>34</v>
      </c>
      <c r="O83" s="88"/>
      <c r="P83" s="82"/>
    </row>
    <row r="84" hidden="1" spans="1:16">
      <c r="A84" s="83">
        <v>83</v>
      </c>
      <c r="B84" s="84">
        <v>46036</v>
      </c>
      <c r="C84" s="85" t="s">
        <v>49</v>
      </c>
      <c r="D84" s="85" t="s">
        <v>40</v>
      </c>
      <c r="E84" s="85" t="s">
        <v>41</v>
      </c>
      <c r="F84" s="85" t="s">
        <v>28</v>
      </c>
      <c r="G84" s="85" t="s">
        <v>306</v>
      </c>
      <c r="H84" s="97">
        <v>263411280</v>
      </c>
      <c r="I84" s="85"/>
      <c r="J84" s="88" t="s">
        <v>307</v>
      </c>
      <c r="K84" s="92" t="s">
        <v>49</v>
      </c>
      <c r="L84" s="85"/>
      <c r="M84" s="88" t="s">
        <v>283</v>
      </c>
      <c r="N84" s="85" t="s">
        <v>34</v>
      </c>
      <c r="O84" s="88"/>
      <c r="P84" s="82"/>
    </row>
    <row r="85" ht="33" hidden="1" spans="1:16">
      <c r="A85" s="83">
        <v>84</v>
      </c>
      <c r="B85" s="84">
        <v>46036</v>
      </c>
      <c r="C85" s="85" t="s">
        <v>68</v>
      </c>
      <c r="D85" s="85" t="s">
        <v>26</v>
      </c>
      <c r="E85" s="85" t="s">
        <v>35</v>
      </c>
      <c r="F85" s="85" t="s">
        <v>28</v>
      </c>
      <c r="G85" s="85" t="s">
        <v>308</v>
      </c>
      <c r="H85" s="88" t="s">
        <v>309</v>
      </c>
      <c r="I85" s="85"/>
      <c r="J85" s="88" t="s">
        <v>310</v>
      </c>
      <c r="K85" s="92" t="s">
        <v>32</v>
      </c>
      <c r="L85" s="85"/>
      <c r="M85" s="88" t="s">
        <v>311</v>
      </c>
      <c r="N85" s="85" t="s">
        <v>34</v>
      </c>
      <c r="O85" s="88"/>
      <c r="P85" s="82"/>
    </row>
    <row r="86" ht="33" hidden="1" spans="1:16">
      <c r="A86" s="83">
        <v>85</v>
      </c>
      <c r="B86" s="84">
        <v>46036</v>
      </c>
      <c r="C86" s="85" t="s">
        <v>68</v>
      </c>
      <c r="D86" s="85" t="s">
        <v>153</v>
      </c>
      <c r="E86" s="85" t="s">
        <v>154</v>
      </c>
      <c r="F86" s="85" t="s">
        <v>28</v>
      </c>
      <c r="G86" s="85" t="s">
        <v>312</v>
      </c>
      <c r="H86" s="88" t="s">
        <v>313</v>
      </c>
      <c r="I86" s="85"/>
      <c r="J86" s="88" t="s">
        <v>314</v>
      </c>
      <c r="K86" s="92" t="s">
        <v>24</v>
      </c>
      <c r="L86" s="85"/>
      <c r="M86" s="88" t="s">
        <v>315</v>
      </c>
      <c r="N86" s="85" t="s">
        <v>34</v>
      </c>
      <c r="O86" s="88" t="s">
        <v>316</v>
      </c>
      <c r="P86" s="82"/>
    </row>
    <row r="87" hidden="1" spans="1:16">
      <c r="A87" s="83">
        <v>86</v>
      </c>
      <c r="B87" s="84">
        <v>46036</v>
      </c>
      <c r="C87" s="85" t="s">
        <v>68</v>
      </c>
      <c r="D87" s="85" t="s">
        <v>317</v>
      </c>
      <c r="E87" s="85" t="s">
        <v>318</v>
      </c>
      <c r="F87" s="85" t="s">
        <v>28</v>
      </c>
      <c r="G87" s="85" t="s">
        <v>319</v>
      </c>
      <c r="H87" s="88" t="s">
        <v>320</v>
      </c>
      <c r="I87" s="85"/>
      <c r="J87" s="88" t="s">
        <v>310</v>
      </c>
      <c r="K87" s="92" t="s">
        <v>32</v>
      </c>
      <c r="L87" s="85"/>
      <c r="M87" s="88" t="s">
        <v>321</v>
      </c>
      <c r="N87" s="85" t="s">
        <v>34</v>
      </c>
      <c r="O87" s="88"/>
      <c r="P87" s="82"/>
    </row>
    <row r="88" hidden="1" spans="1:16">
      <c r="A88" s="83">
        <v>87</v>
      </c>
      <c r="B88" s="84">
        <v>46036</v>
      </c>
      <c r="C88" s="85" t="s">
        <v>68</v>
      </c>
      <c r="D88" s="85" t="s">
        <v>40</v>
      </c>
      <c r="E88" s="85" t="s">
        <v>41</v>
      </c>
      <c r="F88" s="85" t="s">
        <v>28</v>
      </c>
      <c r="G88" s="85" t="s">
        <v>322</v>
      </c>
      <c r="H88" s="88" t="s">
        <v>323</v>
      </c>
      <c r="I88" s="85"/>
      <c r="J88" s="88" t="s">
        <v>310</v>
      </c>
      <c r="K88" s="92" t="s">
        <v>32</v>
      </c>
      <c r="L88" s="85"/>
      <c r="M88" s="88" t="s">
        <v>311</v>
      </c>
      <c r="N88" s="85" t="s">
        <v>34</v>
      </c>
      <c r="O88" s="88"/>
      <c r="P88" s="82"/>
    </row>
    <row r="89" hidden="1" spans="1:16">
      <c r="A89" s="83">
        <v>88</v>
      </c>
      <c r="B89" s="84">
        <v>46036</v>
      </c>
      <c r="C89" s="85" t="s">
        <v>68</v>
      </c>
      <c r="D89" s="85" t="s">
        <v>40</v>
      </c>
      <c r="E89" s="85" t="s">
        <v>41</v>
      </c>
      <c r="F89" s="85" t="s">
        <v>28</v>
      </c>
      <c r="G89" s="85" t="s">
        <v>324</v>
      </c>
      <c r="H89" s="88" t="s">
        <v>325</v>
      </c>
      <c r="I89" s="85"/>
      <c r="J89" s="88" t="s">
        <v>310</v>
      </c>
      <c r="K89" s="92" t="s">
        <v>32</v>
      </c>
      <c r="L89" s="85"/>
      <c r="M89" s="88" t="s">
        <v>311</v>
      </c>
      <c r="N89" s="85" t="s">
        <v>34</v>
      </c>
      <c r="O89" s="88"/>
      <c r="P89" s="82"/>
    </row>
    <row r="90" hidden="1" spans="1:16">
      <c r="A90" s="83">
        <v>89</v>
      </c>
      <c r="B90" s="84">
        <v>46036</v>
      </c>
      <c r="C90" s="85" t="s">
        <v>68</v>
      </c>
      <c r="D90" s="85" t="s">
        <v>40</v>
      </c>
      <c r="E90" s="85" t="s">
        <v>41</v>
      </c>
      <c r="F90" s="85" t="s">
        <v>28</v>
      </c>
      <c r="G90" s="85" t="s">
        <v>326</v>
      </c>
      <c r="H90" s="88" t="s">
        <v>327</v>
      </c>
      <c r="I90" s="85"/>
      <c r="J90" s="88" t="s">
        <v>310</v>
      </c>
      <c r="K90" s="92" t="s">
        <v>32</v>
      </c>
      <c r="L90" s="85"/>
      <c r="M90" s="88" t="s">
        <v>311</v>
      </c>
      <c r="N90" s="85" t="s">
        <v>34</v>
      </c>
      <c r="O90" s="88"/>
      <c r="P90" s="82"/>
    </row>
    <row r="91" ht="21.65" hidden="1" customHeight="1" spans="1:16">
      <c r="A91" s="83">
        <v>90</v>
      </c>
      <c r="B91" s="84">
        <v>46036</v>
      </c>
      <c r="C91" s="85" t="s">
        <v>68</v>
      </c>
      <c r="D91" s="85" t="s">
        <v>107</v>
      </c>
      <c r="E91" s="88" t="s">
        <v>108</v>
      </c>
      <c r="F91" s="88" t="s">
        <v>28</v>
      </c>
      <c r="G91" s="88" t="s">
        <v>328</v>
      </c>
      <c r="H91" s="88" t="s">
        <v>329</v>
      </c>
      <c r="I91" s="85"/>
      <c r="J91" s="88" t="s">
        <v>310</v>
      </c>
      <c r="K91" s="92" t="s">
        <v>32</v>
      </c>
      <c r="L91" s="85"/>
      <c r="M91" s="88" t="s">
        <v>321</v>
      </c>
      <c r="N91" s="85" t="s">
        <v>34</v>
      </c>
      <c r="O91" s="88"/>
      <c r="P91" s="82"/>
    </row>
    <row r="92" hidden="1" spans="1:16">
      <c r="A92" s="83">
        <v>91</v>
      </c>
      <c r="B92" s="84">
        <v>46037</v>
      </c>
      <c r="C92" s="85" t="s">
        <v>49</v>
      </c>
      <c r="D92" s="85" t="s">
        <v>40</v>
      </c>
      <c r="E92" s="88" t="s">
        <v>41</v>
      </c>
      <c r="F92" s="88" t="s">
        <v>28</v>
      </c>
      <c r="G92" s="88" t="s">
        <v>330</v>
      </c>
      <c r="H92" s="88" t="s">
        <v>331</v>
      </c>
      <c r="I92" s="85"/>
      <c r="J92" s="88" t="s">
        <v>332</v>
      </c>
      <c r="K92" s="92" t="s">
        <v>49</v>
      </c>
      <c r="L92" s="85"/>
      <c r="M92" s="88" t="s">
        <v>333</v>
      </c>
      <c r="N92" s="85" t="s">
        <v>34</v>
      </c>
      <c r="O92" s="88"/>
      <c r="P92" s="82"/>
    </row>
    <row r="93" hidden="1" spans="1:16">
      <c r="A93" s="83">
        <v>92</v>
      </c>
      <c r="B93" s="84">
        <v>46037</v>
      </c>
      <c r="C93" s="85" t="s">
        <v>49</v>
      </c>
      <c r="D93" s="85" t="s">
        <v>26</v>
      </c>
      <c r="E93" s="88" t="s">
        <v>27</v>
      </c>
      <c r="F93" s="88" t="s">
        <v>28</v>
      </c>
      <c r="G93" s="88" t="s">
        <v>334</v>
      </c>
      <c r="H93" s="88" t="s">
        <v>335</v>
      </c>
      <c r="I93" s="85"/>
      <c r="J93" s="88" t="s">
        <v>332</v>
      </c>
      <c r="K93" s="92" t="s">
        <v>49</v>
      </c>
      <c r="L93" s="85"/>
      <c r="M93" s="88" t="s">
        <v>333</v>
      </c>
      <c r="N93" s="85" t="s">
        <v>34</v>
      </c>
      <c r="O93" s="88"/>
      <c r="P93" s="82"/>
    </row>
    <row r="94" hidden="1" spans="1:16">
      <c r="A94" s="83">
        <v>93</v>
      </c>
      <c r="B94" s="84">
        <v>46037</v>
      </c>
      <c r="C94" s="85" t="s">
        <v>49</v>
      </c>
      <c r="D94" s="85" t="s">
        <v>26</v>
      </c>
      <c r="E94" s="88" t="s">
        <v>35</v>
      </c>
      <c r="F94" s="88" t="s">
        <v>28</v>
      </c>
      <c r="G94" s="88" t="s">
        <v>336</v>
      </c>
      <c r="H94" s="88" t="s">
        <v>337</v>
      </c>
      <c r="I94" s="85"/>
      <c r="J94" s="88" t="s">
        <v>338</v>
      </c>
      <c r="K94" s="92" t="s">
        <v>49</v>
      </c>
      <c r="L94" s="85"/>
      <c r="M94" s="88" t="s">
        <v>333</v>
      </c>
      <c r="N94" s="85" t="s">
        <v>34</v>
      </c>
      <c r="O94" s="88"/>
      <c r="P94" s="82"/>
    </row>
    <row r="95" ht="33" hidden="1" spans="1:16">
      <c r="A95" s="83">
        <v>94</v>
      </c>
      <c r="B95" s="84">
        <v>46037</v>
      </c>
      <c r="C95" s="85" t="s">
        <v>25</v>
      </c>
      <c r="D95" s="85" t="s">
        <v>26</v>
      </c>
      <c r="E95" s="88" t="s">
        <v>27</v>
      </c>
      <c r="F95" s="88" t="s">
        <v>28</v>
      </c>
      <c r="G95" s="88" t="s">
        <v>339</v>
      </c>
      <c r="H95" s="88" t="s">
        <v>340</v>
      </c>
      <c r="I95" s="85"/>
      <c r="J95" s="88" t="s">
        <v>341</v>
      </c>
      <c r="K95" s="92" t="s">
        <v>342</v>
      </c>
      <c r="L95" s="85"/>
      <c r="M95" s="88" t="s">
        <v>343</v>
      </c>
      <c r="N95" s="85" t="s">
        <v>34</v>
      </c>
      <c r="O95" s="88"/>
      <c r="P95" s="82"/>
    </row>
    <row r="96" ht="132" hidden="1" spans="1:16">
      <c r="A96" s="83">
        <v>95</v>
      </c>
      <c r="B96" s="84">
        <v>46037</v>
      </c>
      <c r="C96" s="85" t="s">
        <v>25</v>
      </c>
      <c r="D96" s="85" t="s">
        <v>26</v>
      </c>
      <c r="E96" s="85" t="s">
        <v>35</v>
      </c>
      <c r="F96" s="88" t="s">
        <v>28</v>
      </c>
      <c r="G96" s="85" t="s">
        <v>344</v>
      </c>
      <c r="H96" s="88" t="s">
        <v>345</v>
      </c>
      <c r="I96" s="85"/>
      <c r="J96" s="88" t="s">
        <v>346</v>
      </c>
      <c r="K96" s="92" t="s">
        <v>24</v>
      </c>
      <c r="L96" s="85"/>
      <c r="M96" s="88" t="s">
        <v>347</v>
      </c>
      <c r="N96" s="85" t="s">
        <v>34</v>
      </c>
      <c r="O96" s="88" t="s">
        <v>348</v>
      </c>
      <c r="P96" s="82"/>
    </row>
    <row r="97" hidden="1" spans="1:16">
      <c r="A97" s="83">
        <v>96</v>
      </c>
      <c r="B97" s="84">
        <v>46038</v>
      </c>
      <c r="C97" s="85" t="s">
        <v>68</v>
      </c>
      <c r="D97" s="85" t="s">
        <v>26</v>
      </c>
      <c r="E97" s="88" t="s">
        <v>27</v>
      </c>
      <c r="F97" s="88" t="s">
        <v>28</v>
      </c>
      <c r="G97" s="88" t="s">
        <v>349</v>
      </c>
      <c r="H97" s="88">
        <v>263336633</v>
      </c>
      <c r="I97" s="85"/>
      <c r="J97" s="88" t="s">
        <v>350</v>
      </c>
      <c r="K97" s="92" t="s">
        <v>32</v>
      </c>
      <c r="L97" s="85"/>
      <c r="M97" s="88" t="s">
        <v>351</v>
      </c>
      <c r="N97" s="85" t="s">
        <v>34</v>
      </c>
      <c r="O97" s="88"/>
      <c r="P97" s="82"/>
    </row>
    <row r="98" ht="33" hidden="1" spans="1:16">
      <c r="A98" s="83">
        <v>97</v>
      </c>
      <c r="B98" s="84">
        <v>46038</v>
      </c>
      <c r="C98" s="85" t="s">
        <v>25</v>
      </c>
      <c r="D98" s="85" t="s">
        <v>40</v>
      </c>
      <c r="E98" s="88" t="s">
        <v>41</v>
      </c>
      <c r="F98" s="88" t="s">
        <v>28</v>
      </c>
      <c r="G98" s="88" t="s">
        <v>352</v>
      </c>
      <c r="H98" s="88" t="s">
        <v>353</v>
      </c>
      <c r="I98" s="85"/>
      <c r="J98" s="88" t="s">
        <v>354</v>
      </c>
      <c r="K98" s="92" t="s">
        <v>355</v>
      </c>
      <c r="L98" s="85"/>
      <c r="M98" s="88" t="s">
        <v>356</v>
      </c>
      <c r="N98" s="85" t="s">
        <v>34</v>
      </c>
      <c r="O98" s="88"/>
      <c r="P98" s="82"/>
    </row>
    <row r="99" ht="33" hidden="1" spans="1:16">
      <c r="A99" s="83">
        <v>98</v>
      </c>
      <c r="B99" s="84">
        <v>46038</v>
      </c>
      <c r="C99" s="85" t="s">
        <v>49</v>
      </c>
      <c r="D99" s="85" t="s">
        <v>40</v>
      </c>
      <c r="E99" s="88" t="s">
        <v>41</v>
      </c>
      <c r="F99" s="88" t="s">
        <v>28</v>
      </c>
      <c r="G99" s="88" t="s">
        <v>357</v>
      </c>
      <c r="H99" s="88" t="s">
        <v>358</v>
      </c>
      <c r="I99" s="85"/>
      <c r="J99" s="88" t="s">
        <v>359</v>
      </c>
      <c r="K99" s="92" t="s">
        <v>49</v>
      </c>
      <c r="L99" s="85"/>
      <c r="M99" s="88" t="s">
        <v>360</v>
      </c>
      <c r="N99" s="85" t="s">
        <v>34</v>
      </c>
      <c r="O99" s="88"/>
      <c r="P99" s="82"/>
    </row>
    <row r="100" hidden="1" spans="1:16">
      <c r="A100" s="83">
        <v>99</v>
      </c>
      <c r="B100" s="84">
        <v>46038</v>
      </c>
      <c r="C100" s="85" t="s">
        <v>25</v>
      </c>
      <c r="D100" s="85" t="s">
        <v>40</v>
      </c>
      <c r="E100" s="88" t="s">
        <v>41</v>
      </c>
      <c r="F100" s="88" t="s">
        <v>28</v>
      </c>
      <c r="G100" s="88" t="s">
        <v>361</v>
      </c>
      <c r="H100" s="88" t="s">
        <v>362</v>
      </c>
      <c r="I100" s="85"/>
      <c r="J100" s="88" t="s">
        <v>363</v>
      </c>
      <c r="K100" s="92" t="s">
        <v>24</v>
      </c>
      <c r="L100" s="85"/>
      <c r="M100" s="88" t="s">
        <v>356</v>
      </c>
      <c r="N100" s="85" t="s">
        <v>34</v>
      </c>
      <c r="O100" s="88" t="s">
        <v>364</v>
      </c>
      <c r="P100" s="82"/>
    </row>
    <row r="101" hidden="1" spans="1:16">
      <c r="A101" s="83">
        <v>100</v>
      </c>
      <c r="B101" s="84">
        <v>46038</v>
      </c>
      <c r="C101" s="85" t="s">
        <v>68</v>
      </c>
      <c r="D101" s="85" t="s">
        <v>40</v>
      </c>
      <c r="E101" s="88" t="s">
        <v>41</v>
      </c>
      <c r="F101" s="88" t="s">
        <v>28</v>
      </c>
      <c r="G101" s="88" t="s">
        <v>365</v>
      </c>
      <c r="H101" s="88" t="s">
        <v>366</v>
      </c>
      <c r="I101" s="85"/>
      <c r="J101" s="88" t="s">
        <v>367</v>
      </c>
      <c r="K101" s="92" t="s">
        <v>32</v>
      </c>
      <c r="L101" s="85"/>
      <c r="M101" s="88" t="s">
        <v>368</v>
      </c>
      <c r="N101" s="85" t="s">
        <v>34</v>
      </c>
      <c r="O101" s="88"/>
      <c r="P101" s="82"/>
    </row>
    <row r="102" ht="49.5" hidden="1" spans="1:16">
      <c r="A102" s="83">
        <v>101</v>
      </c>
      <c r="B102" s="98">
        <v>46041</v>
      </c>
      <c r="C102" s="85" t="s">
        <v>49</v>
      </c>
      <c r="D102" s="85" t="s">
        <v>40</v>
      </c>
      <c r="E102" s="88" t="s">
        <v>41</v>
      </c>
      <c r="F102" s="88" t="s">
        <v>28</v>
      </c>
      <c r="G102" s="88" t="s">
        <v>369</v>
      </c>
      <c r="H102" s="88" t="s">
        <v>370</v>
      </c>
      <c r="I102" s="85"/>
      <c r="J102" s="88" t="s">
        <v>371</v>
      </c>
      <c r="K102" s="92" t="s">
        <v>49</v>
      </c>
      <c r="L102" s="85"/>
      <c r="M102" s="88" t="s">
        <v>372</v>
      </c>
      <c r="N102" s="85" t="s">
        <v>34</v>
      </c>
      <c r="O102" s="88"/>
      <c r="P102" s="82"/>
    </row>
    <row r="103" ht="115.5" hidden="1" spans="1:16">
      <c r="A103" s="83">
        <v>102</v>
      </c>
      <c r="B103" s="98">
        <v>46041</v>
      </c>
      <c r="C103" s="85" t="s">
        <v>49</v>
      </c>
      <c r="D103" s="85" t="s">
        <v>26</v>
      </c>
      <c r="E103" s="88" t="s">
        <v>35</v>
      </c>
      <c r="F103" s="88" t="s">
        <v>28</v>
      </c>
      <c r="G103" s="88" t="s">
        <v>373</v>
      </c>
      <c r="H103" s="88" t="s">
        <v>374</v>
      </c>
      <c r="I103" s="85"/>
      <c r="J103" s="88" t="s">
        <v>371</v>
      </c>
      <c r="K103" s="92" t="s">
        <v>49</v>
      </c>
      <c r="L103" s="85"/>
      <c r="M103" s="88" t="s">
        <v>375</v>
      </c>
      <c r="N103" s="85" t="s">
        <v>34</v>
      </c>
      <c r="O103" s="88"/>
      <c r="P103" s="82"/>
    </row>
    <row r="104" hidden="1" spans="1:16">
      <c r="A104" s="83">
        <v>103</v>
      </c>
      <c r="B104" s="98">
        <v>46041</v>
      </c>
      <c r="C104" s="85" t="s">
        <v>68</v>
      </c>
      <c r="D104" s="85" t="s">
        <v>40</v>
      </c>
      <c r="E104" s="88" t="s">
        <v>41</v>
      </c>
      <c r="F104" s="88" t="s">
        <v>28</v>
      </c>
      <c r="G104" s="88" t="s">
        <v>376</v>
      </c>
      <c r="H104" s="88" t="s">
        <v>377</v>
      </c>
      <c r="I104" s="85"/>
      <c r="J104" s="88" t="s">
        <v>378</v>
      </c>
      <c r="K104" s="92" t="s">
        <v>24</v>
      </c>
      <c r="L104" s="85"/>
      <c r="M104" s="88" t="s">
        <v>379</v>
      </c>
      <c r="N104" s="85" t="s">
        <v>34</v>
      </c>
      <c r="O104" s="88" t="s">
        <v>380</v>
      </c>
      <c r="P104" s="82"/>
    </row>
    <row r="105" hidden="1" spans="1:16">
      <c r="A105" s="83">
        <v>104</v>
      </c>
      <c r="B105" s="98">
        <v>46041</v>
      </c>
      <c r="C105" s="85" t="s">
        <v>68</v>
      </c>
      <c r="D105" s="85" t="s">
        <v>317</v>
      </c>
      <c r="E105" s="88" t="s">
        <v>318</v>
      </c>
      <c r="F105" s="88" t="s">
        <v>28</v>
      </c>
      <c r="G105" s="88" t="s">
        <v>381</v>
      </c>
      <c r="H105" s="88" t="s">
        <v>382</v>
      </c>
      <c r="I105" s="85"/>
      <c r="J105" s="88" t="s">
        <v>383</v>
      </c>
      <c r="K105" s="92" t="s">
        <v>32</v>
      </c>
      <c r="L105" s="85"/>
      <c r="M105" s="88" t="s">
        <v>384</v>
      </c>
      <c r="N105" s="90" t="s">
        <v>34</v>
      </c>
      <c r="O105" s="91"/>
      <c r="P105" s="82"/>
    </row>
    <row r="106" hidden="1" spans="1:16">
      <c r="A106" s="83">
        <v>105</v>
      </c>
      <c r="B106" s="98">
        <v>46041</v>
      </c>
      <c r="C106" s="85" t="s">
        <v>68</v>
      </c>
      <c r="D106" s="85" t="s">
        <v>26</v>
      </c>
      <c r="E106" s="88" t="s">
        <v>27</v>
      </c>
      <c r="F106" s="88" t="s">
        <v>28</v>
      </c>
      <c r="G106" s="88" t="s">
        <v>385</v>
      </c>
      <c r="H106" s="88" t="s">
        <v>386</v>
      </c>
      <c r="I106" s="85"/>
      <c r="J106" s="88" t="s">
        <v>387</v>
      </c>
      <c r="K106" s="92" t="s">
        <v>32</v>
      </c>
      <c r="L106" s="85"/>
      <c r="M106" s="88" t="s">
        <v>384</v>
      </c>
      <c r="N106" s="90" t="s">
        <v>34</v>
      </c>
      <c r="O106" s="91"/>
      <c r="P106" s="82"/>
    </row>
    <row r="107" ht="33" hidden="1" spans="1:16">
      <c r="A107" s="83">
        <v>106</v>
      </c>
      <c r="B107" s="98">
        <v>46041</v>
      </c>
      <c r="C107" s="85" t="s">
        <v>49</v>
      </c>
      <c r="D107" s="85" t="s">
        <v>26</v>
      </c>
      <c r="E107" s="88" t="s">
        <v>27</v>
      </c>
      <c r="F107" s="88" t="s">
        <v>28</v>
      </c>
      <c r="G107" s="88" t="s">
        <v>388</v>
      </c>
      <c r="H107" s="88" t="s">
        <v>389</v>
      </c>
      <c r="I107" s="85"/>
      <c r="J107" s="88" t="s">
        <v>371</v>
      </c>
      <c r="K107" s="92" t="s">
        <v>49</v>
      </c>
      <c r="L107" s="85"/>
      <c r="M107" s="88" t="s">
        <v>390</v>
      </c>
      <c r="N107" s="90" t="s">
        <v>34</v>
      </c>
      <c r="O107" s="91"/>
      <c r="P107" s="82"/>
    </row>
    <row r="108" hidden="1" spans="1:16">
      <c r="A108" s="83">
        <v>107</v>
      </c>
      <c r="B108" s="98">
        <v>46041</v>
      </c>
      <c r="C108" s="85" t="s">
        <v>68</v>
      </c>
      <c r="D108" s="85" t="s">
        <v>26</v>
      </c>
      <c r="E108" s="88" t="s">
        <v>27</v>
      </c>
      <c r="F108" s="88" t="s">
        <v>28</v>
      </c>
      <c r="G108" s="88" t="s">
        <v>391</v>
      </c>
      <c r="H108" s="88" t="s">
        <v>392</v>
      </c>
      <c r="I108" s="85"/>
      <c r="J108" s="88" t="s">
        <v>393</v>
      </c>
      <c r="K108" s="92" t="s">
        <v>32</v>
      </c>
      <c r="L108" s="85"/>
      <c r="M108" s="88" t="s">
        <v>384</v>
      </c>
      <c r="N108" s="90" t="s">
        <v>34</v>
      </c>
      <c r="O108" s="91"/>
      <c r="P108" s="82"/>
    </row>
    <row r="109" hidden="1" spans="1:16">
      <c r="A109" s="83">
        <v>108</v>
      </c>
      <c r="B109" s="98">
        <v>46041</v>
      </c>
      <c r="C109" s="85" t="s">
        <v>68</v>
      </c>
      <c r="D109" s="85" t="s">
        <v>26</v>
      </c>
      <c r="E109" s="88" t="s">
        <v>27</v>
      </c>
      <c r="F109" s="88" t="s">
        <v>28</v>
      </c>
      <c r="G109" s="88" t="s">
        <v>394</v>
      </c>
      <c r="H109" s="88" t="s">
        <v>395</v>
      </c>
      <c r="I109" s="85"/>
      <c r="J109" s="88" t="s">
        <v>387</v>
      </c>
      <c r="K109" s="92" t="s">
        <v>32</v>
      </c>
      <c r="L109" s="85"/>
      <c r="M109" s="88" t="s">
        <v>384</v>
      </c>
      <c r="N109" s="90" t="s">
        <v>34</v>
      </c>
      <c r="O109" s="91"/>
      <c r="P109" s="82"/>
    </row>
    <row r="110" hidden="1" spans="1:16">
      <c r="A110" s="83">
        <v>109</v>
      </c>
      <c r="B110" s="98">
        <v>46041</v>
      </c>
      <c r="C110" s="85" t="s">
        <v>68</v>
      </c>
      <c r="D110" s="85" t="s">
        <v>26</v>
      </c>
      <c r="E110" s="88" t="s">
        <v>27</v>
      </c>
      <c r="F110" s="88" t="s">
        <v>28</v>
      </c>
      <c r="G110" s="88" t="s">
        <v>396</v>
      </c>
      <c r="H110" s="88" t="s">
        <v>397</v>
      </c>
      <c r="I110" s="85"/>
      <c r="J110" s="88" t="s">
        <v>393</v>
      </c>
      <c r="K110" s="92" t="s">
        <v>32</v>
      </c>
      <c r="L110" s="85"/>
      <c r="M110" s="88" t="s">
        <v>384</v>
      </c>
      <c r="N110" s="90" t="s">
        <v>34</v>
      </c>
      <c r="O110" s="91"/>
      <c r="P110" s="82"/>
    </row>
    <row r="111" ht="33" hidden="1" spans="1:16">
      <c r="A111" s="83">
        <v>110</v>
      </c>
      <c r="B111" s="98">
        <v>46041</v>
      </c>
      <c r="C111" s="85" t="s">
        <v>68</v>
      </c>
      <c r="D111" s="85" t="s">
        <v>26</v>
      </c>
      <c r="E111" s="88" t="s">
        <v>27</v>
      </c>
      <c r="F111" s="88" t="s">
        <v>28</v>
      </c>
      <c r="G111" s="88" t="s">
        <v>398</v>
      </c>
      <c r="H111" s="88" t="s">
        <v>399</v>
      </c>
      <c r="I111" s="85"/>
      <c r="J111" s="88" t="s">
        <v>387</v>
      </c>
      <c r="K111" s="92" t="s">
        <v>32</v>
      </c>
      <c r="L111" s="85"/>
      <c r="M111" s="88" t="s">
        <v>400</v>
      </c>
      <c r="N111" s="90" t="s">
        <v>34</v>
      </c>
      <c r="O111" s="91"/>
      <c r="P111" s="82"/>
    </row>
    <row r="112" ht="33" hidden="1" spans="1:16">
      <c r="A112" s="83">
        <v>111</v>
      </c>
      <c r="B112" s="98">
        <v>46041</v>
      </c>
      <c r="C112" s="85" t="s">
        <v>68</v>
      </c>
      <c r="D112" s="85" t="s">
        <v>26</v>
      </c>
      <c r="E112" s="88" t="s">
        <v>27</v>
      </c>
      <c r="F112" s="88" t="s">
        <v>28</v>
      </c>
      <c r="G112" s="88" t="s">
        <v>401</v>
      </c>
      <c r="H112" s="88" t="s">
        <v>402</v>
      </c>
      <c r="I112" s="85"/>
      <c r="J112" s="88" t="s">
        <v>383</v>
      </c>
      <c r="K112" s="92" t="s">
        <v>32</v>
      </c>
      <c r="L112" s="85"/>
      <c r="M112" s="88" t="s">
        <v>400</v>
      </c>
      <c r="N112" s="90" t="s">
        <v>34</v>
      </c>
      <c r="O112" s="91"/>
      <c r="P112" s="82"/>
    </row>
    <row r="113" ht="33" hidden="1" spans="1:16">
      <c r="A113" s="83">
        <v>112</v>
      </c>
      <c r="B113" s="98">
        <v>46041</v>
      </c>
      <c r="C113" s="85" t="s">
        <v>403</v>
      </c>
      <c r="D113" s="85" t="s">
        <v>40</v>
      </c>
      <c r="E113" s="88" t="s">
        <v>41</v>
      </c>
      <c r="F113" s="88" t="s">
        <v>28</v>
      </c>
      <c r="G113" s="88" t="s">
        <v>404</v>
      </c>
      <c r="H113" s="88" t="s">
        <v>405</v>
      </c>
      <c r="I113" s="85"/>
      <c r="J113" s="88" t="s">
        <v>406</v>
      </c>
      <c r="K113" s="92" t="s">
        <v>92</v>
      </c>
      <c r="L113" s="85"/>
      <c r="M113" s="99" t="s">
        <v>407</v>
      </c>
      <c r="N113" s="90" t="s">
        <v>34</v>
      </c>
      <c r="O113" s="91"/>
      <c r="P113" s="82"/>
    </row>
    <row r="114" ht="33" hidden="1" spans="1:16">
      <c r="A114" s="83">
        <v>113</v>
      </c>
      <c r="B114" s="98">
        <v>46041</v>
      </c>
      <c r="C114" s="85" t="s">
        <v>403</v>
      </c>
      <c r="D114" s="85" t="s">
        <v>40</v>
      </c>
      <c r="E114" s="88" t="s">
        <v>41</v>
      </c>
      <c r="F114" s="88" t="s">
        <v>28</v>
      </c>
      <c r="G114" s="88" t="s">
        <v>408</v>
      </c>
      <c r="H114" s="88" t="s">
        <v>409</v>
      </c>
      <c r="I114" s="85"/>
      <c r="J114" s="88" t="s">
        <v>410</v>
      </c>
      <c r="K114" s="92" t="s">
        <v>92</v>
      </c>
      <c r="L114" s="85"/>
      <c r="M114" s="99" t="s">
        <v>407</v>
      </c>
      <c r="N114" s="90" t="s">
        <v>34</v>
      </c>
      <c r="O114" s="91"/>
      <c r="P114" s="82"/>
    </row>
    <row r="115" ht="49.5" hidden="1" spans="1:16">
      <c r="A115" s="83">
        <v>114</v>
      </c>
      <c r="B115" s="98">
        <v>46041</v>
      </c>
      <c r="C115" s="85" t="s">
        <v>68</v>
      </c>
      <c r="D115" s="85" t="s">
        <v>153</v>
      </c>
      <c r="E115" s="88" t="s">
        <v>411</v>
      </c>
      <c r="F115" s="88" t="s">
        <v>28</v>
      </c>
      <c r="G115" s="88" t="s">
        <v>412</v>
      </c>
      <c r="H115" s="88" t="s">
        <v>413</v>
      </c>
      <c r="I115" s="85"/>
      <c r="J115" s="88" t="s">
        <v>414</v>
      </c>
      <c r="K115" s="92" t="s">
        <v>355</v>
      </c>
      <c r="L115" s="85"/>
      <c r="M115" s="88" t="s">
        <v>415</v>
      </c>
      <c r="N115" s="90" t="s">
        <v>34</v>
      </c>
      <c r="O115" s="91"/>
      <c r="P115" s="82"/>
    </row>
    <row r="116" ht="33" hidden="1" spans="1:16">
      <c r="A116" s="83">
        <v>115</v>
      </c>
      <c r="B116" s="98">
        <v>46041</v>
      </c>
      <c r="C116" s="85" t="s">
        <v>49</v>
      </c>
      <c r="D116" s="85" t="s">
        <v>164</v>
      </c>
      <c r="E116" s="85" t="s">
        <v>416</v>
      </c>
      <c r="F116" s="88" t="s">
        <v>28</v>
      </c>
      <c r="G116" s="85" t="s">
        <v>417</v>
      </c>
      <c r="H116" s="88" t="s">
        <v>418</v>
      </c>
      <c r="I116" s="85"/>
      <c r="J116" s="88" t="s">
        <v>371</v>
      </c>
      <c r="K116" s="92" t="s">
        <v>49</v>
      </c>
      <c r="L116" s="85"/>
      <c r="M116" s="88" t="s">
        <v>419</v>
      </c>
      <c r="N116" s="90" t="s">
        <v>34</v>
      </c>
      <c r="O116" s="91"/>
      <c r="P116" s="82"/>
    </row>
    <row r="117" hidden="1" spans="1:16">
      <c r="A117" s="83">
        <v>116</v>
      </c>
      <c r="B117" s="98">
        <v>46042</v>
      </c>
      <c r="C117" s="85" t="s">
        <v>68</v>
      </c>
      <c r="D117" s="85" t="s">
        <v>26</v>
      </c>
      <c r="E117" s="85" t="s">
        <v>27</v>
      </c>
      <c r="F117" s="88" t="s">
        <v>28</v>
      </c>
      <c r="G117" s="85" t="s">
        <v>420</v>
      </c>
      <c r="H117" s="88" t="s">
        <v>421</v>
      </c>
      <c r="I117" s="85"/>
      <c r="J117" s="88" t="s">
        <v>422</v>
      </c>
      <c r="K117" s="92" t="s">
        <v>32</v>
      </c>
      <c r="L117" s="85"/>
      <c r="M117" s="88" t="s">
        <v>423</v>
      </c>
      <c r="N117" s="90" t="s">
        <v>34</v>
      </c>
      <c r="O117" s="91"/>
      <c r="P117" s="82"/>
    </row>
    <row r="118" hidden="1" spans="1:16">
      <c r="A118" s="83">
        <v>117</v>
      </c>
      <c r="B118" s="98">
        <v>46042</v>
      </c>
      <c r="C118" s="85" t="s">
        <v>68</v>
      </c>
      <c r="D118" s="85" t="s">
        <v>26</v>
      </c>
      <c r="E118" s="85" t="s">
        <v>27</v>
      </c>
      <c r="F118" s="88" t="s">
        <v>28</v>
      </c>
      <c r="G118" s="85" t="s">
        <v>424</v>
      </c>
      <c r="H118" s="88" t="s">
        <v>425</v>
      </c>
      <c r="I118" s="85"/>
      <c r="J118" s="88" t="s">
        <v>426</v>
      </c>
      <c r="K118" s="92" t="s">
        <v>32</v>
      </c>
      <c r="L118" s="85"/>
      <c r="M118" s="88" t="s">
        <v>423</v>
      </c>
      <c r="N118" s="90" t="s">
        <v>34</v>
      </c>
      <c r="O118" s="91"/>
      <c r="P118" s="82"/>
    </row>
    <row r="119" hidden="1" spans="1:16">
      <c r="A119" s="83">
        <v>118</v>
      </c>
      <c r="B119" s="98">
        <v>46042</v>
      </c>
      <c r="C119" s="85" t="s">
        <v>68</v>
      </c>
      <c r="D119" s="85" t="s">
        <v>26</v>
      </c>
      <c r="E119" s="85" t="s">
        <v>27</v>
      </c>
      <c r="F119" s="88" t="s">
        <v>28</v>
      </c>
      <c r="G119" s="85" t="s">
        <v>427</v>
      </c>
      <c r="H119" s="88" t="s">
        <v>428</v>
      </c>
      <c r="I119" s="85"/>
      <c r="J119" s="88" t="s">
        <v>422</v>
      </c>
      <c r="K119" s="92" t="s">
        <v>32</v>
      </c>
      <c r="L119" s="85"/>
      <c r="M119" s="88" t="s">
        <v>423</v>
      </c>
      <c r="N119" s="90" t="s">
        <v>34</v>
      </c>
      <c r="O119" s="91"/>
      <c r="P119" s="82"/>
    </row>
    <row r="120" ht="49.5" hidden="1" spans="1:16">
      <c r="A120" s="83">
        <v>119</v>
      </c>
      <c r="B120" s="98">
        <v>46042</v>
      </c>
      <c r="C120" s="85" t="s">
        <v>68</v>
      </c>
      <c r="D120" s="85" t="s">
        <v>26</v>
      </c>
      <c r="E120" s="85" t="s">
        <v>27</v>
      </c>
      <c r="F120" s="88" t="s">
        <v>28</v>
      </c>
      <c r="G120" s="85" t="s">
        <v>429</v>
      </c>
      <c r="H120" s="88" t="s">
        <v>430</v>
      </c>
      <c r="I120" s="85"/>
      <c r="J120" s="88" t="s">
        <v>431</v>
      </c>
      <c r="K120" s="92" t="s">
        <v>32</v>
      </c>
      <c r="L120" s="85"/>
      <c r="M120" s="88" t="s">
        <v>432</v>
      </c>
      <c r="N120" s="90" t="s">
        <v>34</v>
      </c>
      <c r="O120" s="91"/>
      <c r="P120" s="82"/>
    </row>
    <row r="121" hidden="1" spans="1:16">
      <c r="A121" s="83">
        <v>120</v>
      </c>
      <c r="B121" s="98">
        <v>46042</v>
      </c>
      <c r="C121" s="85" t="s">
        <v>68</v>
      </c>
      <c r="D121" s="85" t="s">
        <v>40</v>
      </c>
      <c r="E121" s="85" t="s">
        <v>41</v>
      </c>
      <c r="F121" s="88" t="s">
        <v>28</v>
      </c>
      <c r="G121" s="88" t="s">
        <v>433</v>
      </c>
      <c r="H121" s="88" t="s">
        <v>434</v>
      </c>
      <c r="I121" s="85"/>
      <c r="J121" s="88" t="s">
        <v>422</v>
      </c>
      <c r="K121" s="92" t="s">
        <v>32</v>
      </c>
      <c r="L121" s="85"/>
      <c r="M121" s="88" t="s">
        <v>423</v>
      </c>
      <c r="N121" s="90" t="s">
        <v>34</v>
      </c>
      <c r="O121" s="91"/>
      <c r="P121" s="82"/>
    </row>
    <row r="122" hidden="1" spans="1:16">
      <c r="A122" s="83">
        <v>121</v>
      </c>
      <c r="B122" s="98">
        <v>46042</v>
      </c>
      <c r="C122" s="85" t="s">
        <v>49</v>
      </c>
      <c r="D122" s="85" t="s">
        <v>153</v>
      </c>
      <c r="E122" s="85" t="s">
        <v>411</v>
      </c>
      <c r="F122" s="88" t="s">
        <v>28</v>
      </c>
      <c r="G122" s="85" t="s">
        <v>435</v>
      </c>
      <c r="H122" s="88" t="s">
        <v>436</v>
      </c>
      <c r="I122" s="85"/>
      <c r="J122" s="88" t="s">
        <v>437</v>
      </c>
      <c r="K122" s="92" t="s">
        <v>49</v>
      </c>
      <c r="L122" s="85"/>
      <c r="M122" s="88" t="s">
        <v>438</v>
      </c>
      <c r="N122" s="90" t="s">
        <v>34</v>
      </c>
      <c r="O122" s="91"/>
      <c r="P122" s="82"/>
    </row>
    <row r="123" hidden="1" spans="1:16">
      <c r="A123" s="83">
        <v>122</v>
      </c>
      <c r="B123" s="98">
        <v>46042</v>
      </c>
      <c r="C123" s="85" t="s">
        <v>68</v>
      </c>
      <c r="D123" s="85" t="s">
        <v>40</v>
      </c>
      <c r="E123" s="85" t="s">
        <v>41</v>
      </c>
      <c r="F123" s="88" t="s">
        <v>28</v>
      </c>
      <c r="G123" s="85" t="s">
        <v>439</v>
      </c>
      <c r="H123" s="88" t="s">
        <v>440</v>
      </c>
      <c r="I123" s="85"/>
      <c r="J123" s="88" t="s">
        <v>422</v>
      </c>
      <c r="K123" s="92" t="s">
        <v>32</v>
      </c>
      <c r="L123" s="85"/>
      <c r="M123" s="88" t="s">
        <v>423</v>
      </c>
      <c r="N123" s="90" t="s">
        <v>34</v>
      </c>
      <c r="O123" s="91"/>
      <c r="P123" s="82"/>
    </row>
    <row r="124" ht="49.5" hidden="1" spans="1:16">
      <c r="A124" s="83">
        <v>123</v>
      </c>
      <c r="B124" s="98">
        <v>46042</v>
      </c>
      <c r="C124" s="85" t="s">
        <v>49</v>
      </c>
      <c r="D124" s="85" t="s">
        <v>26</v>
      </c>
      <c r="E124" s="85" t="s">
        <v>35</v>
      </c>
      <c r="F124" s="88" t="s">
        <v>28</v>
      </c>
      <c r="G124" s="85" t="s">
        <v>441</v>
      </c>
      <c r="H124" s="88" t="s">
        <v>442</v>
      </c>
      <c r="I124" s="85"/>
      <c r="J124" s="88" t="s">
        <v>443</v>
      </c>
      <c r="K124" s="92" t="s">
        <v>49</v>
      </c>
      <c r="L124" s="85"/>
      <c r="M124" s="88" t="s">
        <v>444</v>
      </c>
      <c r="N124" s="90" t="s">
        <v>34</v>
      </c>
      <c r="O124" s="91"/>
      <c r="P124" s="82"/>
    </row>
    <row r="125" hidden="1" spans="1:16">
      <c r="A125" s="83">
        <v>124</v>
      </c>
      <c r="B125" s="98">
        <v>46042</v>
      </c>
      <c r="C125" s="85" t="s">
        <v>68</v>
      </c>
      <c r="D125" s="85" t="s">
        <v>26</v>
      </c>
      <c r="E125" s="85" t="s">
        <v>35</v>
      </c>
      <c r="F125" s="88" t="s">
        <v>28</v>
      </c>
      <c r="G125" s="85" t="s">
        <v>445</v>
      </c>
      <c r="H125" s="88" t="s">
        <v>446</v>
      </c>
      <c r="I125" s="85"/>
      <c r="J125" s="88" t="s">
        <v>422</v>
      </c>
      <c r="K125" s="92" t="s">
        <v>32</v>
      </c>
      <c r="L125" s="85"/>
      <c r="M125" s="88" t="s">
        <v>447</v>
      </c>
      <c r="N125" s="90" t="s">
        <v>34</v>
      </c>
      <c r="O125" s="91"/>
      <c r="P125" s="82"/>
    </row>
    <row r="126" hidden="1" spans="1:16">
      <c r="A126" s="83">
        <v>125</v>
      </c>
      <c r="B126" s="98">
        <v>46042</v>
      </c>
      <c r="C126" s="85" t="s">
        <v>68</v>
      </c>
      <c r="D126" s="85" t="s">
        <v>26</v>
      </c>
      <c r="E126" s="85" t="s">
        <v>35</v>
      </c>
      <c r="F126" s="88" t="s">
        <v>28</v>
      </c>
      <c r="G126" s="85" t="s">
        <v>448</v>
      </c>
      <c r="H126" s="88" t="s">
        <v>449</v>
      </c>
      <c r="I126" s="85"/>
      <c r="J126" s="88" t="s">
        <v>422</v>
      </c>
      <c r="K126" s="92" t="s">
        <v>32</v>
      </c>
      <c r="L126" s="85"/>
      <c r="M126" s="88" t="s">
        <v>447</v>
      </c>
      <c r="N126" s="90" t="s">
        <v>34</v>
      </c>
      <c r="O126" s="91"/>
      <c r="P126" s="82"/>
    </row>
    <row r="127" hidden="1" spans="1:16">
      <c r="A127" s="83">
        <v>126</v>
      </c>
      <c r="B127" s="98">
        <v>46042</v>
      </c>
      <c r="C127" s="85" t="s">
        <v>68</v>
      </c>
      <c r="D127" s="85" t="s">
        <v>26</v>
      </c>
      <c r="E127" s="85" t="s">
        <v>35</v>
      </c>
      <c r="F127" s="88" t="s">
        <v>28</v>
      </c>
      <c r="G127" s="85" t="s">
        <v>450</v>
      </c>
      <c r="H127" s="88" t="s">
        <v>451</v>
      </c>
      <c r="I127" s="85"/>
      <c r="J127" s="88" t="s">
        <v>422</v>
      </c>
      <c r="K127" s="92" t="s">
        <v>32</v>
      </c>
      <c r="L127" s="85"/>
      <c r="M127" s="88" t="s">
        <v>447</v>
      </c>
      <c r="N127" s="90" t="s">
        <v>34</v>
      </c>
      <c r="O127" s="91"/>
      <c r="P127" s="82"/>
    </row>
    <row r="128" hidden="1" spans="1:16">
      <c r="A128" s="83">
        <v>127</v>
      </c>
      <c r="B128" s="98">
        <v>46042</v>
      </c>
      <c r="C128" s="85" t="s">
        <v>68</v>
      </c>
      <c r="D128" s="85" t="s">
        <v>26</v>
      </c>
      <c r="E128" s="85" t="s">
        <v>35</v>
      </c>
      <c r="F128" s="88" t="s">
        <v>28</v>
      </c>
      <c r="G128" s="85" t="s">
        <v>452</v>
      </c>
      <c r="H128" s="88" t="s">
        <v>453</v>
      </c>
      <c r="I128" s="85"/>
      <c r="J128" s="88" t="s">
        <v>422</v>
      </c>
      <c r="K128" s="92" t="s">
        <v>32</v>
      </c>
      <c r="L128" s="85"/>
      <c r="M128" s="88" t="s">
        <v>447</v>
      </c>
      <c r="N128" s="90" t="s">
        <v>34</v>
      </c>
      <c r="O128" s="91"/>
      <c r="P128" s="82"/>
    </row>
    <row r="129" hidden="1" spans="1:16">
      <c r="A129" s="83">
        <v>128</v>
      </c>
      <c r="B129" s="98">
        <v>46042</v>
      </c>
      <c r="C129" s="85" t="s">
        <v>68</v>
      </c>
      <c r="D129" s="85" t="s">
        <v>26</v>
      </c>
      <c r="E129" s="85" t="s">
        <v>35</v>
      </c>
      <c r="F129" s="88" t="s">
        <v>28</v>
      </c>
      <c r="G129" s="85" t="s">
        <v>454</v>
      </c>
      <c r="H129" s="88" t="s">
        <v>455</v>
      </c>
      <c r="I129" s="85"/>
      <c r="J129" s="88" t="s">
        <v>422</v>
      </c>
      <c r="K129" s="92" t="s">
        <v>32</v>
      </c>
      <c r="L129" s="85"/>
      <c r="M129" s="88" t="s">
        <v>447</v>
      </c>
      <c r="N129" s="90" t="s">
        <v>34</v>
      </c>
      <c r="O129" s="91"/>
      <c r="P129" s="82"/>
    </row>
    <row r="130" hidden="1" spans="1:16">
      <c r="A130" s="83">
        <v>129</v>
      </c>
      <c r="B130" s="98">
        <v>46042</v>
      </c>
      <c r="C130" s="85" t="s">
        <v>68</v>
      </c>
      <c r="D130" s="85" t="s">
        <v>26</v>
      </c>
      <c r="E130" s="85" t="s">
        <v>35</v>
      </c>
      <c r="F130" s="88" t="s">
        <v>28</v>
      </c>
      <c r="G130" s="85" t="s">
        <v>456</v>
      </c>
      <c r="H130" s="88" t="s">
        <v>457</v>
      </c>
      <c r="I130" s="85"/>
      <c r="J130" s="88" t="s">
        <v>422</v>
      </c>
      <c r="K130" s="92" t="s">
        <v>32</v>
      </c>
      <c r="L130" s="85"/>
      <c r="M130" s="88" t="s">
        <v>447</v>
      </c>
      <c r="N130" s="90" t="s">
        <v>34</v>
      </c>
      <c r="O130" s="91"/>
      <c r="P130" s="82"/>
    </row>
    <row r="131" hidden="1" spans="1:16">
      <c r="A131" s="83">
        <v>130</v>
      </c>
      <c r="B131" s="98">
        <v>46042</v>
      </c>
      <c r="C131" s="85" t="s">
        <v>68</v>
      </c>
      <c r="D131" s="85" t="s">
        <v>26</v>
      </c>
      <c r="E131" s="85" t="s">
        <v>35</v>
      </c>
      <c r="F131" s="88" t="s">
        <v>28</v>
      </c>
      <c r="G131" s="85" t="s">
        <v>458</v>
      </c>
      <c r="H131" s="88" t="s">
        <v>459</v>
      </c>
      <c r="I131" s="85"/>
      <c r="J131" s="88" t="s">
        <v>422</v>
      </c>
      <c r="K131" s="92" t="s">
        <v>32</v>
      </c>
      <c r="L131" s="85"/>
      <c r="M131" s="88" t="s">
        <v>447</v>
      </c>
      <c r="N131" s="90" t="s">
        <v>34</v>
      </c>
      <c r="O131" s="91"/>
      <c r="P131" s="82"/>
    </row>
    <row r="132" hidden="1" spans="1:16">
      <c r="A132" s="83">
        <v>131</v>
      </c>
      <c r="B132" s="98">
        <v>46042</v>
      </c>
      <c r="C132" s="85" t="s">
        <v>68</v>
      </c>
      <c r="D132" s="85" t="s">
        <v>26</v>
      </c>
      <c r="E132" s="85" t="s">
        <v>35</v>
      </c>
      <c r="F132" s="88" t="s">
        <v>28</v>
      </c>
      <c r="G132" s="85" t="s">
        <v>460</v>
      </c>
      <c r="H132" s="88" t="s">
        <v>461</v>
      </c>
      <c r="I132" s="85"/>
      <c r="J132" s="88" t="s">
        <v>422</v>
      </c>
      <c r="K132" s="92" t="s">
        <v>32</v>
      </c>
      <c r="L132" s="85"/>
      <c r="M132" s="88" t="s">
        <v>447</v>
      </c>
      <c r="N132" s="90" t="s">
        <v>34</v>
      </c>
      <c r="O132" s="91"/>
      <c r="P132" s="82"/>
    </row>
    <row r="133" hidden="1" spans="1:16">
      <c r="A133" s="83">
        <v>132</v>
      </c>
      <c r="B133" s="98">
        <v>46042</v>
      </c>
      <c r="C133" s="85" t="s">
        <v>68</v>
      </c>
      <c r="D133" s="85" t="s">
        <v>26</v>
      </c>
      <c r="E133" s="85" t="s">
        <v>35</v>
      </c>
      <c r="F133" s="88" t="s">
        <v>28</v>
      </c>
      <c r="G133" s="85" t="s">
        <v>462</v>
      </c>
      <c r="H133" s="88" t="s">
        <v>463</v>
      </c>
      <c r="I133" s="85"/>
      <c r="J133" s="88" t="s">
        <v>422</v>
      </c>
      <c r="K133" s="92" t="s">
        <v>32</v>
      </c>
      <c r="L133" s="85"/>
      <c r="M133" s="88" t="s">
        <v>447</v>
      </c>
      <c r="N133" s="90" t="s">
        <v>34</v>
      </c>
      <c r="O133" s="91"/>
      <c r="P133" s="82"/>
    </row>
    <row r="134" hidden="1" spans="1:16">
      <c r="A134" s="83">
        <v>133</v>
      </c>
      <c r="B134" s="98">
        <v>46042</v>
      </c>
      <c r="C134" s="85" t="s">
        <v>68</v>
      </c>
      <c r="D134" s="85" t="s">
        <v>26</v>
      </c>
      <c r="E134" s="85" t="s">
        <v>35</v>
      </c>
      <c r="F134" s="88" t="s">
        <v>28</v>
      </c>
      <c r="G134" s="85" t="s">
        <v>464</v>
      </c>
      <c r="H134" s="88" t="s">
        <v>465</v>
      </c>
      <c r="I134" s="85"/>
      <c r="J134" s="88" t="s">
        <v>422</v>
      </c>
      <c r="K134" s="92" t="s">
        <v>32</v>
      </c>
      <c r="L134" s="85"/>
      <c r="M134" s="88" t="s">
        <v>447</v>
      </c>
      <c r="N134" s="90" t="s">
        <v>34</v>
      </c>
      <c r="O134" s="91"/>
      <c r="P134" s="82"/>
    </row>
    <row r="135" hidden="1" spans="1:16">
      <c r="A135" s="83">
        <v>134</v>
      </c>
      <c r="B135" s="98">
        <v>46042</v>
      </c>
      <c r="C135" s="85" t="s">
        <v>68</v>
      </c>
      <c r="D135" s="85" t="s">
        <v>40</v>
      </c>
      <c r="E135" s="85" t="s">
        <v>41</v>
      </c>
      <c r="F135" s="88" t="s">
        <v>28</v>
      </c>
      <c r="G135" s="85" t="s">
        <v>466</v>
      </c>
      <c r="H135" s="88" t="s">
        <v>467</v>
      </c>
      <c r="I135" s="85"/>
      <c r="J135" s="88" t="s">
        <v>468</v>
      </c>
      <c r="K135" s="92" t="s">
        <v>32</v>
      </c>
      <c r="L135" s="85"/>
      <c r="M135" s="88" t="s">
        <v>447</v>
      </c>
      <c r="N135" s="90" t="s">
        <v>34</v>
      </c>
      <c r="O135" s="91"/>
      <c r="P135" s="82"/>
    </row>
    <row r="136" hidden="1" spans="1:16">
      <c r="A136" s="83">
        <v>135</v>
      </c>
      <c r="B136" s="98">
        <v>46042</v>
      </c>
      <c r="C136" s="85" t="s">
        <v>68</v>
      </c>
      <c r="D136" s="85" t="s">
        <v>40</v>
      </c>
      <c r="E136" s="85" t="s">
        <v>469</v>
      </c>
      <c r="F136" s="88" t="s">
        <v>28</v>
      </c>
      <c r="G136" s="85" t="s">
        <v>470</v>
      </c>
      <c r="H136" s="88" t="s">
        <v>471</v>
      </c>
      <c r="I136" s="85"/>
      <c r="J136" s="88" t="s">
        <v>472</v>
      </c>
      <c r="K136" s="92" t="s">
        <v>32</v>
      </c>
      <c r="L136" s="85"/>
      <c r="M136" s="88" t="s">
        <v>447</v>
      </c>
      <c r="N136" s="90" t="s">
        <v>34</v>
      </c>
      <c r="O136" s="91"/>
      <c r="P136" s="82"/>
    </row>
    <row r="137" ht="33" hidden="1" spans="1:16">
      <c r="A137" s="83">
        <v>136</v>
      </c>
      <c r="B137" s="98">
        <v>46042</v>
      </c>
      <c r="C137" s="85" t="s">
        <v>68</v>
      </c>
      <c r="D137" s="85" t="s">
        <v>317</v>
      </c>
      <c r="E137" s="85" t="s">
        <v>318</v>
      </c>
      <c r="F137" s="88" t="s">
        <v>28</v>
      </c>
      <c r="G137" s="85" t="s">
        <v>473</v>
      </c>
      <c r="H137" s="88" t="s">
        <v>474</v>
      </c>
      <c r="I137" s="85"/>
      <c r="J137" s="88" t="s">
        <v>475</v>
      </c>
      <c r="K137" s="92" t="s">
        <v>355</v>
      </c>
      <c r="L137" s="85"/>
      <c r="M137" s="88" t="s">
        <v>476</v>
      </c>
      <c r="N137" s="90" t="s">
        <v>34</v>
      </c>
      <c r="O137" s="91"/>
      <c r="P137" s="82"/>
    </row>
    <row r="138" ht="33" hidden="1" spans="1:16">
      <c r="A138" s="83">
        <v>137</v>
      </c>
      <c r="B138" s="98">
        <v>46042</v>
      </c>
      <c r="C138" s="85" t="s">
        <v>68</v>
      </c>
      <c r="D138" s="85" t="s">
        <v>40</v>
      </c>
      <c r="E138" s="85" t="s">
        <v>41</v>
      </c>
      <c r="F138" s="88" t="s">
        <v>28</v>
      </c>
      <c r="G138" s="85" t="s">
        <v>477</v>
      </c>
      <c r="H138" s="88" t="s">
        <v>478</v>
      </c>
      <c r="I138" s="85"/>
      <c r="J138" s="88" t="s">
        <v>472</v>
      </c>
      <c r="K138" s="92" t="s">
        <v>32</v>
      </c>
      <c r="L138" s="85"/>
      <c r="M138" s="88" t="s">
        <v>479</v>
      </c>
      <c r="N138" s="90" t="s">
        <v>34</v>
      </c>
      <c r="O138" s="91"/>
      <c r="P138" s="82"/>
    </row>
    <row r="139" hidden="1" spans="1:16">
      <c r="A139" s="83">
        <v>138</v>
      </c>
      <c r="B139" s="98">
        <v>46043</v>
      </c>
      <c r="C139" s="85" t="s">
        <v>68</v>
      </c>
      <c r="D139" s="85" t="s">
        <v>26</v>
      </c>
      <c r="E139" s="85" t="s">
        <v>27</v>
      </c>
      <c r="F139" s="88" t="s">
        <v>28</v>
      </c>
      <c r="G139" s="85" t="s">
        <v>480</v>
      </c>
      <c r="H139" s="88" t="s">
        <v>481</v>
      </c>
      <c r="I139" s="85"/>
      <c r="J139" s="88" t="s">
        <v>482</v>
      </c>
      <c r="K139" s="92" t="s">
        <v>32</v>
      </c>
      <c r="L139" s="85"/>
      <c r="M139" s="88" t="s">
        <v>483</v>
      </c>
      <c r="N139" s="90" t="s">
        <v>34</v>
      </c>
      <c r="O139" s="91"/>
      <c r="P139" s="82"/>
    </row>
    <row r="140" ht="33" hidden="1" spans="1:16">
      <c r="A140" s="83">
        <v>139</v>
      </c>
      <c r="B140" s="98">
        <v>46043</v>
      </c>
      <c r="C140" s="85" t="s">
        <v>68</v>
      </c>
      <c r="D140" s="85" t="s">
        <v>317</v>
      </c>
      <c r="E140" s="85" t="s">
        <v>318</v>
      </c>
      <c r="F140" s="88" t="s">
        <v>28</v>
      </c>
      <c r="G140" s="85" t="s">
        <v>484</v>
      </c>
      <c r="H140" s="88" t="s">
        <v>485</v>
      </c>
      <c r="I140" s="85"/>
      <c r="J140" s="88" t="s">
        <v>486</v>
      </c>
      <c r="K140" s="92" t="s">
        <v>24</v>
      </c>
      <c r="L140" s="85"/>
      <c r="M140" s="88" t="s">
        <v>487</v>
      </c>
      <c r="N140" s="90" t="s">
        <v>34</v>
      </c>
      <c r="O140" s="88" t="s">
        <v>488</v>
      </c>
      <c r="P140" s="82"/>
    </row>
    <row r="141" hidden="1" spans="1:16">
      <c r="A141" s="83">
        <v>140</v>
      </c>
      <c r="B141" s="98">
        <v>46043</v>
      </c>
      <c r="C141" s="85" t="s">
        <v>25</v>
      </c>
      <c r="D141" s="85" t="s">
        <v>489</v>
      </c>
      <c r="E141" s="85" t="s">
        <v>490</v>
      </c>
      <c r="F141" s="88" t="s">
        <v>28</v>
      </c>
      <c r="G141" s="85" t="s">
        <v>491</v>
      </c>
      <c r="H141" s="88" t="s">
        <v>492</v>
      </c>
      <c r="I141" s="85"/>
      <c r="J141" s="88" t="s">
        <v>493</v>
      </c>
      <c r="K141" s="92" t="s">
        <v>494</v>
      </c>
      <c r="L141" s="85"/>
      <c r="M141" s="88" t="s">
        <v>495</v>
      </c>
      <c r="N141" s="90" t="s">
        <v>34</v>
      </c>
      <c r="O141" s="91"/>
      <c r="P141" s="82"/>
    </row>
    <row r="142" ht="33" hidden="1" spans="1:16">
      <c r="A142" s="83">
        <v>141</v>
      </c>
      <c r="B142" s="98">
        <v>46044</v>
      </c>
      <c r="C142" s="85" t="s">
        <v>25</v>
      </c>
      <c r="D142" s="85" t="s">
        <v>26</v>
      </c>
      <c r="E142" s="85" t="s">
        <v>35</v>
      </c>
      <c r="F142" s="88" t="s">
        <v>28</v>
      </c>
      <c r="G142" s="85" t="s">
        <v>496</v>
      </c>
      <c r="H142" s="97" t="s">
        <v>497</v>
      </c>
      <c r="I142" s="85"/>
      <c r="J142" s="88" t="s">
        <v>498</v>
      </c>
      <c r="K142" s="92" t="s">
        <v>24</v>
      </c>
      <c r="L142" s="85"/>
      <c r="M142" s="88" t="s">
        <v>499</v>
      </c>
      <c r="N142" s="90" t="s">
        <v>34</v>
      </c>
      <c r="O142" s="88" t="s">
        <v>500</v>
      </c>
      <c r="P142" s="82"/>
    </row>
    <row r="143" hidden="1" spans="1:16">
      <c r="A143" s="83">
        <v>142</v>
      </c>
      <c r="B143" s="98">
        <v>46044</v>
      </c>
      <c r="C143" s="85" t="s">
        <v>68</v>
      </c>
      <c r="D143" s="85" t="s">
        <v>26</v>
      </c>
      <c r="E143" s="85" t="s">
        <v>27</v>
      </c>
      <c r="F143" s="88" t="s">
        <v>28</v>
      </c>
      <c r="G143" s="85" t="s">
        <v>501</v>
      </c>
      <c r="H143" s="88" t="s">
        <v>502</v>
      </c>
      <c r="I143" s="85"/>
      <c r="J143" s="88" t="s">
        <v>503</v>
      </c>
      <c r="K143" s="92" t="s">
        <v>32</v>
      </c>
      <c r="L143" s="85"/>
      <c r="M143" s="88" t="s">
        <v>504</v>
      </c>
      <c r="N143" s="90" t="s">
        <v>34</v>
      </c>
      <c r="O143" s="91"/>
      <c r="P143" s="82"/>
    </row>
    <row r="144" hidden="1" spans="1:16">
      <c r="A144" s="83">
        <v>143</v>
      </c>
      <c r="B144" s="98">
        <v>46044</v>
      </c>
      <c r="C144" s="85" t="s">
        <v>68</v>
      </c>
      <c r="D144" s="85" t="s">
        <v>26</v>
      </c>
      <c r="E144" s="85" t="s">
        <v>27</v>
      </c>
      <c r="F144" s="85" t="s">
        <v>28</v>
      </c>
      <c r="G144" s="85" t="s">
        <v>505</v>
      </c>
      <c r="H144" s="85" t="s">
        <v>506</v>
      </c>
      <c r="I144" s="85"/>
      <c r="J144" s="88" t="s">
        <v>503</v>
      </c>
      <c r="K144" s="92" t="s">
        <v>32</v>
      </c>
      <c r="L144" s="85"/>
      <c r="M144" s="88" t="s">
        <v>504</v>
      </c>
      <c r="N144" s="90" t="s">
        <v>34</v>
      </c>
      <c r="O144" s="91"/>
      <c r="P144" s="82"/>
    </row>
    <row r="145" hidden="1" spans="1:16">
      <c r="A145" s="83">
        <v>144</v>
      </c>
      <c r="B145" s="98">
        <v>46044</v>
      </c>
      <c r="C145" s="85" t="s">
        <v>68</v>
      </c>
      <c r="D145" s="85" t="s">
        <v>26</v>
      </c>
      <c r="E145" s="85" t="s">
        <v>27</v>
      </c>
      <c r="F145" s="85" t="s">
        <v>28</v>
      </c>
      <c r="G145" s="85" t="s">
        <v>507</v>
      </c>
      <c r="H145" s="85" t="s">
        <v>508</v>
      </c>
      <c r="I145" s="85"/>
      <c r="J145" s="88" t="s">
        <v>509</v>
      </c>
      <c r="K145" s="92" t="s">
        <v>32</v>
      </c>
      <c r="L145" s="85"/>
      <c r="M145" s="88" t="s">
        <v>504</v>
      </c>
      <c r="N145" s="90" t="s">
        <v>34</v>
      </c>
      <c r="O145" s="91"/>
      <c r="P145" s="82"/>
    </row>
    <row r="146" ht="44.25" hidden="1" customHeight="1" spans="1:16">
      <c r="A146" s="83">
        <v>145</v>
      </c>
      <c r="B146" s="98">
        <v>46044</v>
      </c>
      <c r="C146" s="85" t="s">
        <v>68</v>
      </c>
      <c r="D146" s="85" t="s">
        <v>26</v>
      </c>
      <c r="E146" s="85" t="s">
        <v>35</v>
      </c>
      <c r="F146" s="85" t="s">
        <v>28</v>
      </c>
      <c r="G146" s="85" t="s">
        <v>510</v>
      </c>
      <c r="H146" s="85" t="s">
        <v>511</v>
      </c>
      <c r="I146" s="85"/>
      <c r="J146" s="88" t="s">
        <v>503</v>
      </c>
      <c r="K146" s="92" t="s">
        <v>32</v>
      </c>
      <c r="L146" s="85"/>
      <c r="M146" s="88" t="s">
        <v>512</v>
      </c>
      <c r="N146" s="90" t="s">
        <v>34</v>
      </c>
      <c r="O146" s="91"/>
      <c r="P146" s="82"/>
    </row>
    <row r="147" ht="33" hidden="1" spans="1:16">
      <c r="A147" s="83">
        <v>146</v>
      </c>
      <c r="B147" s="98">
        <v>46044</v>
      </c>
      <c r="C147" s="85" t="s">
        <v>49</v>
      </c>
      <c r="D147" s="85" t="s">
        <v>40</v>
      </c>
      <c r="E147" s="85" t="s">
        <v>41</v>
      </c>
      <c r="F147" s="85" t="s">
        <v>28</v>
      </c>
      <c r="G147" s="85" t="s">
        <v>513</v>
      </c>
      <c r="H147" s="88" t="s">
        <v>514</v>
      </c>
      <c r="I147" s="85"/>
      <c r="J147" s="88" t="s">
        <v>515</v>
      </c>
      <c r="K147" s="92" t="s">
        <v>49</v>
      </c>
      <c r="L147" s="85"/>
      <c r="M147" s="88" t="s">
        <v>516</v>
      </c>
      <c r="N147" s="90" t="s">
        <v>34</v>
      </c>
      <c r="O147" s="91"/>
      <c r="P147" s="82"/>
    </row>
    <row r="148" ht="66" hidden="1" spans="1:16">
      <c r="A148" s="83">
        <v>147</v>
      </c>
      <c r="B148" s="98">
        <v>46045</v>
      </c>
      <c r="C148" s="85" t="s">
        <v>25</v>
      </c>
      <c r="D148" s="85" t="s">
        <v>26</v>
      </c>
      <c r="E148" s="85" t="s">
        <v>27</v>
      </c>
      <c r="F148" s="85" t="s">
        <v>28</v>
      </c>
      <c r="G148" s="85" t="s">
        <v>517</v>
      </c>
      <c r="H148" s="85" t="s">
        <v>518</v>
      </c>
      <c r="I148" s="85"/>
      <c r="J148" s="88" t="s">
        <v>519</v>
      </c>
      <c r="K148" s="92" t="s">
        <v>24</v>
      </c>
      <c r="L148" s="85"/>
      <c r="M148" s="88" t="s">
        <v>520</v>
      </c>
      <c r="N148" s="90" t="s">
        <v>34</v>
      </c>
      <c r="O148" s="88" t="s">
        <v>163</v>
      </c>
      <c r="P148" s="82"/>
    </row>
    <row r="149" ht="115.5" hidden="1" spans="1:16">
      <c r="A149" s="83">
        <v>148</v>
      </c>
      <c r="B149" s="98">
        <v>46045</v>
      </c>
      <c r="C149" s="85" t="s">
        <v>68</v>
      </c>
      <c r="D149" s="85" t="s">
        <v>26</v>
      </c>
      <c r="E149" s="88" t="s">
        <v>35</v>
      </c>
      <c r="F149" s="85" t="s">
        <v>521</v>
      </c>
      <c r="G149" s="85" t="s">
        <v>522</v>
      </c>
      <c r="H149" s="88" t="s">
        <v>523</v>
      </c>
      <c r="I149" s="85"/>
      <c r="J149" s="88" t="s">
        <v>524</v>
      </c>
      <c r="K149" s="92" t="s">
        <v>32</v>
      </c>
      <c r="L149" s="85"/>
      <c r="M149" s="88" t="s">
        <v>525</v>
      </c>
      <c r="N149" s="90" t="s">
        <v>34</v>
      </c>
      <c r="O149" s="91"/>
      <c r="P149" s="82"/>
    </row>
    <row r="150" hidden="1" spans="1:16">
      <c r="A150" s="83">
        <v>149</v>
      </c>
      <c r="B150" s="98">
        <v>46045</v>
      </c>
      <c r="C150" s="85" t="s">
        <v>68</v>
      </c>
      <c r="D150" s="85" t="s">
        <v>40</v>
      </c>
      <c r="E150" s="85" t="s">
        <v>41</v>
      </c>
      <c r="F150" s="85" t="s">
        <v>28</v>
      </c>
      <c r="G150" s="85" t="s">
        <v>526</v>
      </c>
      <c r="H150" s="85" t="s">
        <v>527</v>
      </c>
      <c r="I150" s="85"/>
      <c r="J150" s="88" t="s">
        <v>528</v>
      </c>
      <c r="K150" s="92" t="s">
        <v>24</v>
      </c>
      <c r="L150" s="85"/>
      <c r="M150" s="88" t="s">
        <v>529</v>
      </c>
      <c r="N150" s="90" t="s">
        <v>34</v>
      </c>
      <c r="O150" s="91" t="s">
        <v>380</v>
      </c>
      <c r="P150" s="82"/>
    </row>
    <row r="151" ht="66" hidden="1" spans="1:16">
      <c r="A151" s="83">
        <v>150</v>
      </c>
      <c r="B151" s="98">
        <v>46045</v>
      </c>
      <c r="C151" s="85" t="s">
        <v>68</v>
      </c>
      <c r="D151" s="85" t="s">
        <v>40</v>
      </c>
      <c r="E151" s="85" t="s">
        <v>41</v>
      </c>
      <c r="F151" s="85" t="s">
        <v>28</v>
      </c>
      <c r="G151" s="85" t="s">
        <v>530</v>
      </c>
      <c r="H151" s="88" t="s">
        <v>531</v>
      </c>
      <c r="I151" s="85"/>
      <c r="J151" s="88" t="s">
        <v>532</v>
      </c>
      <c r="K151" s="92" t="s">
        <v>355</v>
      </c>
      <c r="L151" s="85"/>
      <c r="M151" s="88" t="s">
        <v>533</v>
      </c>
      <c r="N151" s="90" t="s">
        <v>34</v>
      </c>
      <c r="O151" s="91"/>
      <c r="P151" s="82"/>
    </row>
    <row r="152" ht="49.5" hidden="1" spans="1:16">
      <c r="A152" s="83">
        <v>151</v>
      </c>
      <c r="B152" s="98">
        <v>46045</v>
      </c>
      <c r="C152" s="85" t="s">
        <v>68</v>
      </c>
      <c r="D152" s="85" t="s">
        <v>40</v>
      </c>
      <c r="E152" s="85" t="s">
        <v>41</v>
      </c>
      <c r="F152" s="85" t="s">
        <v>28</v>
      </c>
      <c r="G152" s="85" t="s">
        <v>534</v>
      </c>
      <c r="H152" s="88" t="s">
        <v>535</v>
      </c>
      <c r="I152" s="85"/>
      <c r="J152" s="88" t="s">
        <v>536</v>
      </c>
      <c r="K152" s="92" t="s">
        <v>355</v>
      </c>
      <c r="L152" s="85"/>
      <c r="M152" s="88" t="s">
        <v>533</v>
      </c>
      <c r="N152" s="90" t="s">
        <v>34</v>
      </c>
      <c r="O152" s="91"/>
      <c r="P152" s="82"/>
    </row>
    <row r="153" ht="33" hidden="1" spans="1:16">
      <c r="A153" s="83">
        <v>152</v>
      </c>
      <c r="B153" s="98">
        <v>46046</v>
      </c>
      <c r="C153" s="85" t="s">
        <v>25</v>
      </c>
      <c r="D153" s="85" t="s">
        <v>40</v>
      </c>
      <c r="E153" s="85" t="s">
        <v>41</v>
      </c>
      <c r="F153" s="85" t="s">
        <v>28</v>
      </c>
      <c r="G153" s="85" t="s">
        <v>537</v>
      </c>
      <c r="H153" s="88" t="s">
        <v>538</v>
      </c>
      <c r="I153" s="85"/>
      <c r="J153" s="88" t="s">
        <v>539</v>
      </c>
      <c r="K153" s="92" t="s">
        <v>355</v>
      </c>
      <c r="L153" s="85"/>
      <c r="M153" s="88" t="s">
        <v>540</v>
      </c>
      <c r="N153" s="90" t="s">
        <v>34</v>
      </c>
      <c r="O153" s="91"/>
      <c r="P153" s="82"/>
    </row>
    <row r="154" hidden="1" spans="1:16">
      <c r="A154" s="83">
        <v>153</v>
      </c>
      <c r="B154" s="98">
        <v>46048</v>
      </c>
      <c r="C154" s="85" t="s">
        <v>68</v>
      </c>
      <c r="D154" s="85" t="s">
        <v>26</v>
      </c>
      <c r="E154" s="85" t="s">
        <v>27</v>
      </c>
      <c r="F154" s="85" t="s">
        <v>28</v>
      </c>
      <c r="G154" s="85" t="s">
        <v>541</v>
      </c>
      <c r="H154" s="88" t="s">
        <v>542</v>
      </c>
      <c r="I154" s="85"/>
      <c r="J154" s="88" t="s">
        <v>543</v>
      </c>
      <c r="K154" s="92" t="s">
        <v>32</v>
      </c>
      <c r="L154" s="85"/>
      <c r="M154" s="88" t="s">
        <v>544</v>
      </c>
      <c r="N154" s="90" t="s">
        <v>34</v>
      </c>
      <c r="O154" s="91"/>
      <c r="P154" s="82"/>
    </row>
    <row r="155" hidden="1" spans="1:16">
      <c r="A155" s="83">
        <v>154</v>
      </c>
      <c r="B155" s="98">
        <v>46048</v>
      </c>
      <c r="C155" s="85" t="s">
        <v>68</v>
      </c>
      <c r="D155" s="85" t="s">
        <v>26</v>
      </c>
      <c r="E155" s="85" t="s">
        <v>27</v>
      </c>
      <c r="F155" s="85" t="s">
        <v>28</v>
      </c>
      <c r="G155" s="85" t="s">
        <v>545</v>
      </c>
      <c r="H155" s="88" t="s">
        <v>546</v>
      </c>
      <c r="I155" s="85"/>
      <c r="J155" s="88" t="s">
        <v>543</v>
      </c>
      <c r="K155" s="92" t="s">
        <v>32</v>
      </c>
      <c r="L155" s="85"/>
      <c r="M155" s="88" t="s">
        <v>544</v>
      </c>
      <c r="N155" s="90" t="s">
        <v>34</v>
      </c>
      <c r="O155" s="91"/>
      <c r="P155" s="82"/>
    </row>
    <row r="156" hidden="1" spans="1:16">
      <c r="A156" s="83">
        <v>155</v>
      </c>
      <c r="B156" s="98">
        <v>46048</v>
      </c>
      <c r="C156" s="85" t="s">
        <v>68</v>
      </c>
      <c r="D156" s="85" t="s">
        <v>26</v>
      </c>
      <c r="E156" s="85" t="s">
        <v>27</v>
      </c>
      <c r="F156" s="85" t="s">
        <v>28</v>
      </c>
      <c r="G156" s="85" t="s">
        <v>547</v>
      </c>
      <c r="H156" s="88" t="s">
        <v>548</v>
      </c>
      <c r="I156" s="85"/>
      <c r="J156" s="88" t="s">
        <v>549</v>
      </c>
      <c r="K156" s="92" t="s">
        <v>32</v>
      </c>
      <c r="L156" s="85"/>
      <c r="M156" s="88" t="s">
        <v>544</v>
      </c>
      <c r="N156" s="90" t="s">
        <v>34</v>
      </c>
      <c r="O156" s="91"/>
      <c r="P156" s="82"/>
    </row>
    <row r="157" hidden="1" spans="1:16">
      <c r="A157" s="83">
        <v>156</v>
      </c>
      <c r="B157" s="98">
        <v>46048</v>
      </c>
      <c r="C157" s="85" t="s">
        <v>68</v>
      </c>
      <c r="D157" s="85" t="s">
        <v>26</v>
      </c>
      <c r="E157" s="85" t="s">
        <v>27</v>
      </c>
      <c r="F157" s="85" t="s">
        <v>28</v>
      </c>
      <c r="G157" s="85" t="s">
        <v>550</v>
      </c>
      <c r="H157" s="88" t="s">
        <v>551</v>
      </c>
      <c r="I157" s="85"/>
      <c r="J157" s="88" t="s">
        <v>549</v>
      </c>
      <c r="K157" s="92" t="s">
        <v>32</v>
      </c>
      <c r="L157" s="85"/>
      <c r="M157" s="88" t="s">
        <v>544</v>
      </c>
      <c r="N157" s="90" t="s">
        <v>34</v>
      </c>
      <c r="O157" s="91"/>
      <c r="P157" s="82"/>
    </row>
    <row r="158" ht="33" hidden="1" spans="1:16">
      <c r="A158" s="83">
        <v>157</v>
      </c>
      <c r="B158" s="98">
        <v>46048</v>
      </c>
      <c r="C158" s="85" t="s">
        <v>68</v>
      </c>
      <c r="D158" s="85" t="s">
        <v>40</v>
      </c>
      <c r="E158" s="85" t="s">
        <v>41</v>
      </c>
      <c r="F158" s="85" t="s">
        <v>28</v>
      </c>
      <c r="G158" s="85" t="s">
        <v>552</v>
      </c>
      <c r="H158" s="88" t="s">
        <v>553</v>
      </c>
      <c r="I158" s="85"/>
      <c r="J158" s="88" t="s">
        <v>554</v>
      </c>
      <c r="K158" s="92" t="s">
        <v>24</v>
      </c>
      <c r="L158" s="85"/>
      <c r="M158" s="88" t="s">
        <v>555</v>
      </c>
      <c r="N158" s="90" t="s">
        <v>34</v>
      </c>
      <c r="O158" s="91" t="s">
        <v>348</v>
      </c>
      <c r="P158" s="82"/>
    </row>
    <row r="159" ht="82.5" hidden="1" spans="1:16">
      <c r="A159" s="83">
        <v>158</v>
      </c>
      <c r="B159" s="98">
        <v>46048</v>
      </c>
      <c r="C159" s="85" t="s">
        <v>179</v>
      </c>
      <c r="D159" s="85" t="s">
        <v>40</v>
      </c>
      <c r="E159" s="85" t="s">
        <v>148</v>
      </c>
      <c r="F159" s="85" t="s">
        <v>28</v>
      </c>
      <c r="G159" s="85" t="s">
        <v>556</v>
      </c>
      <c r="H159" s="88" t="s">
        <v>557</v>
      </c>
      <c r="I159" s="85"/>
      <c r="J159" s="88" t="s">
        <v>558</v>
      </c>
      <c r="K159" s="92" t="s">
        <v>92</v>
      </c>
      <c r="L159" s="85"/>
      <c r="M159" s="88" t="s">
        <v>559</v>
      </c>
      <c r="N159" s="90" t="s">
        <v>34</v>
      </c>
      <c r="O159" s="91"/>
      <c r="P159" s="82"/>
    </row>
    <row r="160" ht="49.5" hidden="1" spans="1:16">
      <c r="A160" s="83">
        <v>159</v>
      </c>
      <c r="B160" s="98">
        <v>46048</v>
      </c>
      <c r="C160" s="85" t="s">
        <v>68</v>
      </c>
      <c r="D160" s="85" t="s">
        <v>164</v>
      </c>
      <c r="E160" s="85" t="s">
        <v>165</v>
      </c>
      <c r="F160" s="85" t="s">
        <v>28</v>
      </c>
      <c r="G160" s="85" t="s">
        <v>560</v>
      </c>
      <c r="H160" s="88" t="s">
        <v>561</v>
      </c>
      <c r="I160" s="85"/>
      <c r="J160" s="88" t="s">
        <v>562</v>
      </c>
      <c r="K160" s="92" t="s">
        <v>49</v>
      </c>
      <c r="L160" s="85"/>
      <c r="M160" s="88" t="s">
        <v>563</v>
      </c>
      <c r="N160" s="85" t="s">
        <v>34</v>
      </c>
      <c r="O160" s="91"/>
      <c r="P160" s="82"/>
    </row>
    <row r="161" ht="33" hidden="1" spans="1:16">
      <c r="A161" s="83">
        <v>160</v>
      </c>
      <c r="B161" s="98">
        <v>46045</v>
      </c>
      <c r="C161" s="85" t="s">
        <v>25</v>
      </c>
      <c r="D161" s="85" t="s">
        <v>489</v>
      </c>
      <c r="E161" s="85" t="s">
        <v>490</v>
      </c>
      <c r="F161" s="85" t="s">
        <v>521</v>
      </c>
      <c r="G161" s="85" t="s">
        <v>564</v>
      </c>
      <c r="H161" s="88" t="s">
        <v>565</v>
      </c>
      <c r="I161" s="85"/>
      <c r="J161" s="88" t="s">
        <v>566</v>
      </c>
      <c r="K161" s="92" t="s">
        <v>494</v>
      </c>
      <c r="L161" s="85"/>
      <c r="M161" s="88" t="s">
        <v>567</v>
      </c>
      <c r="N161" s="90" t="s">
        <v>34</v>
      </c>
      <c r="O161" s="91"/>
      <c r="P161" s="82"/>
    </row>
    <row r="162" ht="33" hidden="1" spans="1:16">
      <c r="A162" s="83">
        <v>161</v>
      </c>
      <c r="B162" s="98">
        <v>46048</v>
      </c>
      <c r="C162" s="85" t="s">
        <v>68</v>
      </c>
      <c r="D162" s="85" t="s">
        <v>26</v>
      </c>
      <c r="E162" s="85" t="s">
        <v>27</v>
      </c>
      <c r="F162" s="85" t="s">
        <v>28</v>
      </c>
      <c r="G162" s="85" t="s">
        <v>568</v>
      </c>
      <c r="H162" s="88" t="s">
        <v>569</v>
      </c>
      <c r="I162" s="85"/>
      <c r="J162" s="88" t="s">
        <v>570</v>
      </c>
      <c r="K162" s="92" t="s">
        <v>32</v>
      </c>
      <c r="L162" s="85"/>
      <c r="M162" s="88" t="s">
        <v>571</v>
      </c>
      <c r="N162" s="90" t="s">
        <v>34</v>
      </c>
      <c r="O162" s="91"/>
      <c r="P162" s="82"/>
    </row>
    <row r="163" ht="33" hidden="1" spans="1:16">
      <c r="A163" s="83">
        <v>162</v>
      </c>
      <c r="B163" s="98">
        <v>46048</v>
      </c>
      <c r="C163" s="85" t="s">
        <v>68</v>
      </c>
      <c r="D163" s="85" t="s">
        <v>26</v>
      </c>
      <c r="E163" s="85" t="s">
        <v>27</v>
      </c>
      <c r="F163" s="85" t="s">
        <v>28</v>
      </c>
      <c r="G163" s="85" t="s">
        <v>572</v>
      </c>
      <c r="H163" s="88" t="s">
        <v>573</v>
      </c>
      <c r="I163" s="85"/>
      <c r="J163" s="88" t="s">
        <v>570</v>
      </c>
      <c r="K163" s="92" t="s">
        <v>32</v>
      </c>
      <c r="L163" s="85"/>
      <c r="M163" s="88" t="s">
        <v>574</v>
      </c>
      <c r="N163" s="90" t="s">
        <v>34</v>
      </c>
      <c r="O163" s="91"/>
      <c r="P163" s="82"/>
    </row>
    <row r="164" hidden="1" spans="1:16">
      <c r="A164" s="83">
        <v>163</v>
      </c>
      <c r="B164" s="98">
        <v>46049</v>
      </c>
      <c r="C164" s="85" t="s">
        <v>68</v>
      </c>
      <c r="D164" s="85" t="s">
        <v>26</v>
      </c>
      <c r="E164" s="85" t="s">
        <v>27</v>
      </c>
      <c r="F164" s="85" t="s">
        <v>28</v>
      </c>
      <c r="G164" s="85" t="s">
        <v>575</v>
      </c>
      <c r="H164" s="85" t="s">
        <v>576</v>
      </c>
      <c r="I164" s="85"/>
      <c r="J164" s="88" t="s">
        <v>577</v>
      </c>
      <c r="K164" s="92" t="s">
        <v>32</v>
      </c>
      <c r="L164" s="85"/>
      <c r="M164" s="88" t="s">
        <v>578</v>
      </c>
      <c r="N164" s="90" t="s">
        <v>34</v>
      </c>
      <c r="O164" s="91"/>
      <c r="P164" s="82"/>
    </row>
    <row r="165" hidden="1" spans="1:16">
      <c r="A165" s="83">
        <v>164</v>
      </c>
      <c r="B165" s="98">
        <v>46049</v>
      </c>
      <c r="C165" s="85" t="s">
        <v>68</v>
      </c>
      <c r="D165" s="85" t="s">
        <v>26</v>
      </c>
      <c r="E165" s="85" t="s">
        <v>27</v>
      </c>
      <c r="F165" s="85" t="s">
        <v>28</v>
      </c>
      <c r="G165" s="85" t="s">
        <v>579</v>
      </c>
      <c r="H165" s="85" t="s">
        <v>580</v>
      </c>
      <c r="I165" s="85"/>
      <c r="J165" s="88" t="s">
        <v>577</v>
      </c>
      <c r="K165" s="92" t="s">
        <v>32</v>
      </c>
      <c r="L165" s="85"/>
      <c r="M165" s="88" t="s">
        <v>578</v>
      </c>
      <c r="N165" s="90" t="s">
        <v>34</v>
      </c>
      <c r="O165" s="91"/>
      <c r="P165" s="82"/>
    </row>
    <row r="166" hidden="1" spans="1:16">
      <c r="A166" s="83">
        <v>165</v>
      </c>
      <c r="B166" s="98">
        <v>46049</v>
      </c>
      <c r="C166" s="85" t="s">
        <v>68</v>
      </c>
      <c r="D166" s="85" t="s">
        <v>26</v>
      </c>
      <c r="E166" s="85" t="s">
        <v>27</v>
      </c>
      <c r="F166" s="85" t="s">
        <v>28</v>
      </c>
      <c r="G166" s="85" t="s">
        <v>581</v>
      </c>
      <c r="H166" s="85" t="s">
        <v>582</v>
      </c>
      <c r="I166" s="85"/>
      <c r="J166" s="88" t="s">
        <v>577</v>
      </c>
      <c r="K166" s="92" t="s">
        <v>32</v>
      </c>
      <c r="L166" s="85"/>
      <c r="M166" s="88" t="s">
        <v>578</v>
      </c>
      <c r="N166" s="90" t="s">
        <v>34</v>
      </c>
      <c r="O166" s="91"/>
      <c r="P166" s="82"/>
    </row>
    <row r="167" ht="33" hidden="1" spans="1:16">
      <c r="A167" s="83">
        <v>166</v>
      </c>
      <c r="B167" s="98">
        <v>46049</v>
      </c>
      <c r="C167" s="85" t="s">
        <v>49</v>
      </c>
      <c r="D167" s="85" t="s">
        <v>153</v>
      </c>
      <c r="E167" s="85" t="s">
        <v>411</v>
      </c>
      <c r="F167" s="85" t="s">
        <v>28</v>
      </c>
      <c r="G167" s="85" t="s">
        <v>583</v>
      </c>
      <c r="H167" s="85" t="s">
        <v>584</v>
      </c>
      <c r="I167" s="85"/>
      <c r="J167" s="88" t="s">
        <v>585</v>
      </c>
      <c r="K167" s="92" t="s">
        <v>49</v>
      </c>
      <c r="L167" s="85"/>
      <c r="M167" s="88" t="s">
        <v>586</v>
      </c>
      <c r="N167" s="85" t="s">
        <v>34</v>
      </c>
      <c r="O167" s="91"/>
      <c r="P167" s="82"/>
    </row>
    <row r="168" ht="33" hidden="1" spans="1:16">
      <c r="A168" s="83">
        <v>167</v>
      </c>
      <c r="B168" s="98">
        <v>46049</v>
      </c>
      <c r="C168" s="85" t="s">
        <v>68</v>
      </c>
      <c r="D168" s="85" t="s">
        <v>40</v>
      </c>
      <c r="E168" s="85" t="s">
        <v>41</v>
      </c>
      <c r="F168" s="85" t="s">
        <v>28</v>
      </c>
      <c r="G168" s="85" t="s">
        <v>587</v>
      </c>
      <c r="H168" s="85" t="s">
        <v>588</v>
      </c>
      <c r="I168" s="85"/>
      <c r="J168" s="88" t="s">
        <v>589</v>
      </c>
      <c r="K168" s="92" t="s">
        <v>32</v>
      </c>
      <c r="L168" s="85"/>
      <c r="M168" s="88" t="s">
        <v>590</v>
      </c>
      <c r="N168" s="90" t="s">
        <v>34</v>
      </c>
      <c r="O168" s="91"/>
      <c r="P168" s="82"/>
    </row>
    <row r="169" ht="33" hidden="1" spans="1:16">
      <c r="A169" s="83">
        <v>168</v>
      </c>
      <c r="B169" s="98">
        <v>46049</v>
      </c>
      <c r="C169" s="85" t="s">
        <v>25</v>
      </c>
      <c r="D169" s="85" t="s">
        <v>40</v>
      </c>
      <c r="E169" s="85" t="s">
        <v>469</v>
      </c>
      <c r="F169" s="85" t="s">
        <v>28</v>
      </c>
      <c r="G169" s="88" t="s">
        <v>591</v>
      </c>
      <c r="H169" s="88" t="s">
        <v>592</v>
      </c>
      <c r="I169" s="85"/>
      <c r="J169" s="88" t="s">
        <v>593</v>
      </c>
      <c r="K169" s="92" t="s">
        <v>355</v>
      </c>
      <c r="L169" s="85"/>
      <c r="M169" s="88" t="s">
        <v>594</v>
      </c>
      <c r="N169" s="90" t="s">
        <v>34</v>
      </c>
      <c r="O169" s="91"/>
      <c r="P169" s="82"/>
    </row>
    <row r="170" ht="66" hidden="1" spans="1:16">
      <c r="A170" s="83">
        <v>169</v>
      </c>
      <c r="B170" s="98">
        <v>46050</v>
      </c>
      <c r="C170" s="85" t="s">
        <v>25</v>
      </c>
      <c r="D170" s="85" t="s">
        <v>40</v>
      </c>
      <c r="E170" s="85" t="s">
        <v>41</v>
      </c>
      <c r="F170" s="85" t="s">
        <v>28</v>
      </c>
      <c r="G170" s="85" t="s">
        <v>595</v>
      </c>
      <c r="H170" s="85" t="s">
        <v>596</v>
      </c>
      <c r="I170" s="85"/>
      <c r="J170" s="88" t="s">
        <v>597</v>
      </c>
      <c r="K170" s="92" t="s">
        <v>598</v>
      </c>
      <c r="L170" s="85"/>
      <c r="M170" s="88" t="s">
        <v>599</v>
      </c>
      <c r="N170" s="90" t="s">
        <v>34</v>
      </c>
      <c r="O170" s="91"/>
      <c r="P170" s="82"/>
    </row>
    <row r="171" ht="33" hidden="1" spans="1:16">
      <c r="A171" s="83">
        <v>170</v>
      </c>
      <c r="B171" s="98">
        <v>46050</v>
      </c>
      <c r="C171" s="85" t="s">
        <v>25</v>
      </c>
      <c r="D171" s="85" t="s">
        <v>26</v>
      </c>
      <c r="E171" s="85" t="s">
        <v>27</v>
      </c>
      <c r="F171" s="85" t="s">
        <v>28</v>
      </c>
      <c r="G171" s="85" t="s">
        <v>600</v>
      </c>
      <c r="H171" s="85">
        <v>265093223</v>
      </c>
      <c r="I171" s="85"/>
      <c r="J171" s="88" t="s">
        <v>601</v>
      </c>
      <c r="K171" s="92" t="s">
        <v>24</v>
      </c>
      <c r="L171" s="85"/>
      <c r="M171" s="88" t="s">
        <v>602</v>
      </c>
      <c r="N171" s="90" t="s">
        <v>34</v>
      </c>
      <c r="O171" s="83" t="s">
        <v>603</v>
      </c>
      <c r="P171" s="82"/>
    </row>
    <row r="172" ht="33" hidden="1" spans="1:16">
      <c r="A172" s="83">
        <v>171</v>
      </c>
      <c r="B172" s="98">
        <v>46050</v>
      </c>
      <c r="C172" s="85" t="s">
        <v>68</v>
      </c>
      <c r="D172" s="85" t="s">
        <v>26</v>
      </c>
      <c r="E172" s="85" t="s">
        <v>27</v>
      </c>
      <c r="F172" s="85" t="s">
        <v>28</v>
      </c>
      <c r="G172" s="85" t="s">
        <v>604</v>
      </c>
      <c r="H172" s="85" t="s">
        <v>605</v>
      </c>
      <c r="I172" s="85"/>
      <c r="J172" s="88" t="s">
        <v>606</v>
      </c>
      <c r="K172" s="92" t="s">
        <v>32</v>
      </c>
      <c r="L172" s="85"/>
      <c r="M172" s="99" t="s">
        <v>607</v>
      </c>
      <c r="N172" s="90" t="s">
        <v>34</v>
      </c>
      <c r="O172" s="91"/>
      <c r="P172" s="82"/>
    </row>
    <row r="173" hidden="1" spans="1:16">
      <c r="A173" s="83">
        <v>172</v>
      </c>
      <c r="B173" s="98">
        <v>46050</v>
      </c>
      <c r="C173" s="85" t="s">
        <v>49</v>
      </c>
      <c r="D173" s="85" t="s">
        <v>40</v>
      </c>
      <c r="E173" s="85" t="s">
        <v>41</v>
      </c>
      <c r="F173" s="85" t="s">
        <v>28</v>
      </c>
      <c r="G173" s="85" t="s">
        <v>608</v>
      </c>
      <c r="H173" s="85" t="s">
        <v>609</v>
      </c>
      <c r="I173" s="85"/>
      <c r="J173" s="88" t="s">
        <v>610</v>
      </c>
      <c r="K173" s="92" t="s">
        <v>49</v>
      </c>
      <c r="L173" s="85"/>
      <c r="M173" s="88" t="s">
        <v>611</v>
      </c>
      <c r="N173" s="90" t="s">
        <v>34</v>
      </c>
      <c r="O173" s="91"/>
      <c r="P173" s="82"/>
    </row>
    <row r="174" hidden="1" spans="1:16">
      <c r="A174" s="83">
        <v>173</v>
      </c>
      <c r="B174" s="98">
        <v>46050</v>
      </c>
      <c r="C174" s="85" t="s">
        <v>68</v>
      </c>
      <c r="D174" s="85" t="s">
        <v>40</v>
      </c>
      <c r="E174" s="85" t="s">
        <v>41</v>
      </c>
      <c r="F174" s="85" t="s">
        <v>28</v>
      </c>
      <c r="G174" s="85" t="s">
        <v>612</v>
      </c>
      <c r="H174" s="85" t="s">
        <v>613</v>
      </c>
      <c r="I174" s="85"/>
      <c r="J174" s="88" t="s">
        <v>614</v>
      </c>
      <c r="K174" s="92" t="s">
        <v>32</v>
      </c>
      <c r="L174" s="85"/>
      <c r="M174" s="88" t="s">
        <v>615</v>
      </c>
      <c r="N174" s="90" t="s">
        <v>34</v>
      </c>
      <c r="O174" s="91"/>
      <c r="P174" s="82"/>
    </row>
    <row r="175" hidden="1" spans="1:16">
      <c r="A175" s="83">
        <v>174</v>
      </c>
      <c r="B175" s="98">
        <v>46050</v>
      </c>
      <c r="C175" s="85" t="s">
        <v>68</v>
      </c>
      <c r="D175" s="85" t="s">
        <v>26</v>
      </c>
      <c r="E175" s="85" t="s">
        <v>27</v>
      </c>
      <c r="F175" s="85" t="s">
        <v>28</v>
      </c>
      <c r="G175" s="85" t="s">
        <v>616</v>
      </c>
      <c r="H175" s="85" t="s">
        <v>617</v>
      </c>
      <c r="I175" s="85"/>
      <c r="J175" s="88" t="s">
        <v>618</v>
      </c>
      <c r="K175" s="92" t="s">
        <v>32</v>
      </c>
      <c r="L175" s="85"/>
      <c r="M175" s="88" t="s">
        <v>615</v>
      </c>
      <c r="N175" s="90" t="s">
        <v>34</v>
      </c>
      <c r="O175" s="91"/>
      <c r="P175" s="82"/>
    </row>
    <row r="176" hidden="1" spans="1:16">
      <c r="A176" s="83">
        <v>175</v>
      </c>
      <c r="B176" s="98">
        <v>46051</v>
      </c>
      <c r="C176" s="85" t="s">
        <v>68</v>
      </c>
      <c r="D176" s="85" t="s">
        <v>26</v>
      </c>
      <c r="E176" s="85" t="s">
        <v>27</v>
      </c>
      <c r="F176" s="85" t="s">
        <v>28</v>
      </c>
      <c r="G176" s="85" t="s">
        <v>619</v>
      </c>
      <c r="H176" s="85" t="s">
        <v>620</v>
      </c>
      <c r="I176" s="85"/>
      <c r="J176" s="88" t="s">
        <v>621</v>
      </c>
      <c r="K176" s="92" t="s">
        <v>32</v>
      </c>
      <c r="L176" s="85"/>
      <c r="M176" s="88" t="s">
        <v>622</v>
      </c>
      <c r="N176" s="90" t="s">
        <v>34</v>
      </c>
      <c r="O176" s="91"/>
      <c r="P176" s="82"/>
    </row>
    <row r="177" hidden="1" spans="1:16">
      <c r="A177" s="83">
        <v>176</v>
      </c>
      <c r="B177" s="98">
        <v>46051</v>
      </c>
      <c r="C177" s="85" t="s">
        <v>49</v>
      </c>
      <c r="D177" s="85" t="s">
        <v>40</v>
      </c>
      <c r="E177" s="85" t="s">
        <v>41</v>
      </c>
      <c r="F177" s="85" t="s">
        <v>28</v>
      </c>
      <c r="G177" s="85" t="s">
        <v>623</v>
      </c>
      <c r="H177" s="85" t="s">
        <v>624</v>
      </c>
      <c r="I177" s="85"/>
      <c r="J177" s="88" t="s">
        <v>625</v>
      </c>
      <c r="K177" s="92" t="s">
        <v>49</v>
      </c>
      <c r="L177" s="85"/>
      <c r="M177" s="88" t="s">
        <v>626</v>
      </c>
      <c r="N177" s="90" t="s">
        <v>34</v>
      </c>
      <c r="O177" s="91"/>
      <c r="P177" s="82"/>
    </row>
    <row r="178" ht="33" hidden="1" spans="1:16">
      <c r="A178" s="83">
        <v>177</v>
      </c>
      <c r="B178" s="98">
        <v>46051</v>
      </c>
      <c r="C178" s="85" t="s">
        <v>49</v>
      </c>
      <c r="D178" s="85" t="s">
        <v>153</v>
      </c>
      <c r="E178" s="85" t="s">
        <v>154</v>
      </c>
      <c r="F178" s="85" t="s">
        <v>28</v>
      </c>
      <c r="G178" s="85" t="s">
        <v>627</v>
      </c>
      <c r="H178" s="88" t="s">
        <v>628</v>
      </c>
      <c r="I178" s="85"/>
      <c r="J178" s="88" t="s">
        <v>625</v>
      </c>
      <c r="K178" s="92" t="s">
        <v>49</v>
      </c>
      <c r="L178" s="85"/>
      <c r="M178" s="88" t="s">
        <v>629</v>
      </c>
      <c r="N178" s="90" t="s">
        <v>34</v>
      </c>
      <c r="O178" s="91"/>
      <c r="P178" s="82"/>
    </row>
    <row r="179" ht="33" hidden="1" spans="1:16">
      <c r="A179" s="83">
        <v>178</v>
      </c>
      <c r="B179" s="98">
        <v>46050</v>
      </c>
      <c r="C179" s="85" t="s">
        <v>68</v>
      </c>
      <c r="D179" s="85" t="s">
        <v>107</v>
      </c>
      <c r="E179" s="85" t="s">
        <v>630</v>
      </c>
      <c r="F179" s="85" t="s">
        <v>28</v>
      </c>
      <c r="G179" s="85" t="s">
        <v>631</v>
      </c>
      <c r="H179" s="85" t="s">
        <v>632</v>
      </c>
      <c r="I179" s="85"/>
      <c r="J179" s="88" t="s">
        <v>633</v>
      </c>
      <c r="K179" s="92" t="s">
        <v>355</v>
      </c>
      <c r="L179" s="85"/>
      <c r="M179" s="88" t="s">
        <v>634</v>
      </c>
      <c r="N179" s="90" t="s">
        <v>34</v>
      </c>
      <c r="O179" s="91"/>
      <c r="P179" s="82"/>
    </row>
    <row r="180" hidden="1" spans="1:16">
      <c r="A180" s="83">
        <v>179</v>
      </c>
      <c r="B180" s="98">
        <v>46052</v>
      </c>
      <c r="C180" s="85" t="s">
        <v>68</v>
      </c>
      <c r="D180" s="85" t="s">
        <v>26</v>
      </c>
      <c r="E180" s="85" t="s">
        <v>27</v>
      </c>
      <c r="F180" s="85" t="s">
        <v>28</v>
      </c>
      <c r="G180" s="85" t="s">
        <v>635</v>
      </c>
      <c r="H180" s="88" t="s">
        <v>636</v>
      </c>
      <c r="I180" s="85"/>
      <c r="J180" s="88" t="s">
        <v>637</v>
      </c>
      <c r="K180" s="92" t="s">
        <v>32</v>
      </c>
      <c r="L180" s="85"/>
      <c r="M180" s="88" t="s">
        <v>638</v>
      </c>
      <c r="N180" s="90" t="s">
        <v>34</v>
      </c>
      <c r="O180" s="91"/>
      <c r="P180" s="82"/>
    </row>
    <row r="181" hidden="1" spans="1:16">
      <c r="A181" s="83">
        <v>180</v>
      </c>
      <c r="B181" s="98">
        <v>46052</v>
      </c>
      <c r="C181" s="85" t="s">
        <v>68</v>
      </c>
      <c r="D181" s="85" t="s">
        <v>26</v>
      </c>
      <c r="E181" s="85" t="s">
        <v>27</v>
      </c>
      <c r="F181" s="85" t="s">
        <v>28</v>
      </c>
      <c r="G181" s="85" t="s">
        <v>639</v>
      </c>
      <c r="H181" s="88" t="s">
        <v>640</v>
      </c>
      <c r="I181" s="85"/>
      <c r="J181" s="88" t="s">
        <v>641</v>
      </c>
      <c r="K181" s="92" t="s">
        <v>32</v>
      </c>
      <c r="L181" s="85"/>
      <c r="M181" s="88" t="s">
        <v>638</v>
      </c>
      <c r="N181" s="90" t="s">
        <v>34</v>
      </c>
      <c r="O181" s="91"/>
      <c r="P181" s="82"/>
    </row>
    <row r="182" hidden="1" spans="1:16">
      <c r="A182" s="83">
        <v>181</v>
      </c>
      <c r="B182" s="98">
        <v>46052</v>
      </c>
      <c r="C182" s="85" t="s">
        <v>68</v>
      </c>
      <c r="D182" s="85" t="s">
        <v>40</v>
      </c>
      <c r="E182" s="85" t="s">
        <v>41</v>
      </c>
      <c r="F182" s="85" t="s">
        <v>28</v>
      </c>
      <c r="G182" s="85" t="s">
        <v>642</v>
      </c>
      <c r="H182" s="88" t="s">
        <v>643</v>
      </c>
      <c r="I182" s="85"/>
      <c r="J182" s="88" t="s">
        <v>637</v>
      </c>
      <c r="K182" s="92" t="s">
        <v>32</v>
      </c>
      <c r="L182" s="85"/>
      <c r="M182" s="88" t="s">
        <v>638</v>
      </c>
      <c r="N182" s="90" t="s">
        <v>34</v>
      </c>
      <c r="O182" s="91"/>
      <c r="P182" s="82"/>
    </row>
    <row r="183" ht="49.5" hidden="1" spans="1:16">
      <c r="A183" s="83">
        <v>182</v>
      </c>
      <c r="B183" s="98">
        <v>46052</v>
      </c>
      <c r="C183" s="85" t="s">
        <v>68</v>
      </c>
      <c r="D183" s="85" t="s">
        <v>26</v>
      </c>
      <c r="E183" s="85" t="s">
        <v>35</v>
      </c>
      <c r="F183" s="85" t="s">
        <v>28</v>
      </c>
      <c r="G183" s="85" t="s">
        <v>644</v>
      </c>
      <c r="H183" s="88" t="s">
        <v>645</v>
      </c>
      <c r="I183" s="85"/>
      <c r="J183" s="88" t="s">
        <v>646</v>
      </c>
      <c r="K183" s="92" t="s">
        <v>24</v>
      </c>
      <c r="L183" s="85"/>
      <c r="M183" s="88" t="s">
        <v>647</v>
      </c>
      <c r="N183" s="90" t="s">
        <v>34</v>
      </c>
      <c r="O183" s="90" t="s">
        <v>280</v>
      </c>
      <c r="P183" s="82"/>
    </row>
    <row r="184" ht="49.5" hidden="1" spans="1:16">
      <c r="A184" s="83">
        <v>183</v>
      </c>
      <c r="B184" s="98">
        <v>46055</v>
      </c>
      <c r="C184" s="85" t="s">
        <v>68</v>
      </c>
      <c r="D184" s="85" t="s">
        <v>26</v>
      </c>
      <c r="E184" s="85" t="s">
        <v>27</v>
      </c>
      <c r="F184" s="85" t="s">
        <v>28</v>
      </c>
      <c r="G184" s="85" t="s">
        <v>648</v>
      </c>
      <c r="H184" s="88" t="s">
        <v>649</v>
      </c>
      <c r="I184" s="85"/>
      <c r="J184" s="88" t="s">
        <v>650</v>
      </c>
      <c r="K184" s="92" t="s">
        <v>97</v>
      </c>
      <c r="L184" s="85"/>
      <c r="M184" s="88" t="s">
        <v>651</v>
      </c>
      <c r="N184" s="90" t="s">
        <v>34</v>
      </c>
      <c r="O184" s="91"/>
      <c r="P184" s="82"/>
    </row>
    <row r="185" hidden="1" spans="1:16">
      <c r="A185" s="83">
        <v>184</v>
      </c>
      <c r="B185" s="98">
        <v>46055</v>
      </c>
      <c r="C185" s="85" t="s">
        <v>68</v>
      </c>
      <c r="D185" s="85" t="s">
        <v>26</v>
      </c>
      <c r="E185" s="85" t="s">
        <v>27</v>
      </c>
      <c r="F185" s="85" t="s">
        <v>28</v>
      </c>
      <c r="G185" s="85" t="s">
        <v>652</v>
      </c>
      <c r="H185" s="88" t="s">
        <v>653</v>
      </c>
      <c r="I185" s="85"/>
      <c r="J185" s="88" t="s">
        <v>654</v>
      </c>
      <c r="K185" s="92" t="s">
        <v>32</v>
      </c>
      <c r="L185" s="85"/>
      <c r="M185" s="88" t="s">
        <v>655</v>
      </c>
      <c r="N185" s="90" t="s">
        <v>34</v>
      </c>
      <c r="O185" s="91"/>
      <c r="P185" s="82"/>
    </row>
    <row r="186" hidden="1" spans="1:16">
      <c r="A186" s="83">
        <v>185</v>
      </c>
      <c r="B186" s="98">
        <v>46055</v>
      </c>
      <c r="C186" s="85" t="s">
        <v>68</v>
      </c>
      <c r="D186" s="85" t="s">
        <v>26</v>
      </c>
      <c r="E186" s="85" t="s">
        <v>27</v>
      </c>
      <c r="F186" s="85" t="s">
        <v>28</v>
      </c>
      <c r="G186" s="85" t="s">
        <v>656</v>
      </c>
      <c r="H186" s="88" t="s">
        <v>657</v>
      </c>
      <c r="I186" s="85"/>
      <c r="J186" s="88" t="s">
        <v>654</v>
      </c>
      <c r="K186" s="92" t="s">
        <v>32</v>
      </c>
      <c r="L186" s="85"/>
      <c r="M186" s="88" t="s">
        <v>655</v>
      </c>
      <c r="N186" s="90" t="s">
        <v>34</v>
      </c>
      <c r="O186" s="91"/>
      <c r="P186" s="82"/>
    </row>
    <row r="187" hidden="1" spans="1:16">
      <c r="A187" s="83">
        <v>186</v>
      </c>
      <c r="B187" s="98">
        <v>46055</v>
      </c>
      <c r="C187" s="85" t="s">
        <v>68</v>
      </c>
      <c r="D187" s="85" t="s">
        <v>26</v>
      </c>
      <c r="E187" s="85" t="s">
        <v>27</v>
      </c>
      <c r="F187" s="85" t="s">
        <v>28</v>
      </c>
      <c r="G187" s="85" t="s">
        <v>658</v>
      </c>
      <c r="H187" s="88" t="s">
        <v>659</v>
      </c>
      <c r="I187" s="85"/>
      <c r="J187" s="88" t="s">
        <v>654</v>
      </c>
      <c r="K187" s="92" t="s">
        <v>32</v>
      </c>
      <c r="L187" s="85"/>
      <c r="M187" s="88" t="s">
        <v>655</v>
      </c>
      <c r="N187" s="90" t="s">
        <v>34</v>
      </c>
      <c r="O187" s="91"/>
      <c r="P187" s="82"/>
    </row>
    <row r="188" hidden="1" spans="1:16">
      <c r="A188" s="83">
        <v>187</v>
      </c>
      <c r="B188" s="98">
        <v>46055</v>
      </c>
      <c r="C188" s="85" t="s">
        <v>49</v>
      </c>
      <c r="D188" s="85" t="s">
        <v>26</v>
      </c>
      <c r="E188" s="85" t="s">
        <v>660</v>
      </c>
      <c r="F188" s="85" t="s">
        <v>28</v>
      </c>
      <c r="G188" s="85" t="s">
        <v>661</v>
      </c>
      <c r="H188" s="88" t="s">
        <v>662</v>
      </c>
      <c r="I188" s="85"/>
      <c r="J188" s="88" t="s">
        <v>663</v>
      </c>
      <c r="K188" s="92" t="s">
        <v>49</v>
      </c>
      <c r="L188" s="85"/>
      <c r="M188" s="88" t="s">
        <v>664</v>
      </c>
      <c r="N188" s="90" t="s">
        <v>34</v>
      </c>
      <c r="O188" s="91"/>
      <c r="P188" s="82"/>
    </row>
    <row r="189" ht="49.5" hidden="1" spans="1:16">
      <c r="A189" s="83">
        <v>188</v>
      </c>
      <c r="B189" s="98">
        <v>46055</v>
      </c>
      <c r="C189" s="85" t="s">
        <v>68</v>
      </c>
      <c r="D189" s="85" t="s">
        <v>26</v>
      </c>
      <c r="E189" s="85" t="s">
        <v>27</v>
      </c>
      <c r="F189" s="85" t="s">
        <v>28</v>
      </c>
      <c r="G189" s="85" t="s">
        <v>665</v>
      </c>
      <c r="H189" s="88" t="s">
        <v>666</v>
      </c>
      <c r="I189" s="85"/>
      <c r="J189" s="88" t="s">
        <v>667</v>
      </c>
      <c r="K189" s="92" t="s">
        <v>32</v>
      </c>
      <c r="L189" s="85"/>
      <c r="M189" s="88" t="s">
        <v>668</v>
      </c>
      <c r="N189" s="90" t="s">
        <v>34</v>
      </c>
      <c r="O189" s="91"/>
      <c r="P189" s="82"/>
    </row>
    <row r="190" hidden="1" spans="1:16">
      <c r="A190" s="83">
        <v>189</v>
      </c>
      <c r="B190" s="98">
        <v>46055</v>
      </c>
      <c r="C190" s="85" t="s">
        <v>68</v>
      </c>
      <c r="D190" s="85" t="s">
        <v>26</v>
      </c>
      <c r="E190" s="85" t="s">
        <v>27</v>
      </c>
      <c r="F190" s="85" t="s">
        <v>28</v>
      </c>
      <c r="G190" s="85" t="s">
        <v>669</v>
      </c>
      <c r="H190" s="88">
        <v>263333329</v>
      </c>
      <c r="I190" s="85"/>
      <c r="J190" s="88" t="s">
        <v>670</v>
      </c>
      <c r="K190" s="92" t="s">
        <v>32</v>
      </c>
      <c r="L190" s="85"/>
      <c r="M190" s="88" t="s">
        <v>671</v>
      </c>
      <c r="N190" s="90" t="s">
        <v>34</v>
      </c>
      <c r="O190" s="91"/>
      <c r="P190" s="82"/>
    </row>
    <row r="191" ht="33" hidden="1" spans="1:16">
      <c r="A191" s="83">
        <v>190</v>
      </c>
      <c r="B191" s="98">
        <v>46055</v>
      </c>
      <c r="C191" s="85" t="s">
        <v>68</v>
      </c>
      <c r="D191" s="85" t="s">
        <v>26</v>
      </c>
      <c r="E191" s="85" t="s">
        <v>27</v>
      </c>
      <c r="F191" s="85" t="s">
        <v>28</v>
      </c>
      <c r="G191" s="85" t="s">
        <v>672</v>
      </c>
      <c r="H191" s="88" t="s">
        <v>673</v>
      </c>
      <c r="I191" s="85"/>
      <c r="J191" s="88" t="s">
        <v>674</v>
      </c>
      <c r="K191" s="92" t="s">
        <v>32</v>
      </c>
      <c r="L191" s="85"/>
      <c r="M191" s="88" t="s">
        <v>675</v>
      </c>
      <c r="N191" s="90" t="s">
        <v>34</v>
      </c>
      <c r="O191" s="91"/>
      <c r="P191" s="82"/>
    </row>
    <row r="192" ht="33" hidden="1" spans="1:16">
      <c r="A192" s="83">
        <v>191</v>
      </c>
      <c r="B192" s="98">
        <v>46055</v>
      </c>
      <c r="C192" s="85" t="s">
        <v>68</v>
      </c>
      <c r="D192" s="85" t="s">
        <v>40</v>
      </c>
      <c r="E192" s="85" t="s">
        <v>41</v>
      </c>
      <c r="F192" s="85" t="s">
        <v>28</v>
      </c>
      <c r="G192" s="85" t="s">
        <v>676</v>
      </c>
      <c r="H192" s="88" t="s">
        <v>677</v>
      </c>
      <c r="I192" s="85"/>
      <c r="J192" s="88" t="s">
        <v>678</v>
      </c>
      <c r="K192" s="92" t="s">
        <v>24</v>
      </c>
      <c r="L192" s="85"/>
      <c r="M192" s="88" t="s">
        <v>679</v>
      </c>
      <c r="N192" s="90" t="s">
        <v>34</v>
      </c>
      <c r="O192" s="91" t="s">
        <v>680</v>
      </c>
      <c r="P192" s="82"/>
    </row>
    <row r="193" ht="33" hidden="1" spans="1:16">
      <c r="A193" s="83">
        <v>192</v>
      </c>
      <c r="B193" s="98">
        <v>46055</v>
      </c>
      <c r="C193" s="85" t="s">
        <v>68</v>
      </c>
      <c r="D193" s="85" t="s">
        <v>40</v>
      </c>
      <c r="E193" s="85" t="s">
        <v>148</v>
      </c>
      <c r="F193" s="85" t="s">
        <v>28</v>
      </c>
      <c r="G193" s="85" t="s">
        <v>681</v>
      </c>
      <c r="H193" s="88" t="s">
        <v>682</v>
      </c>
      <c r="I193" s="85"/>
      <c r="J193" s="88" t="s">
        <v>678</v>
      </c>
      <c r="K193" s="92" t="s">
        <v>24</v>
      </c>
      <c r="L193" s="85"/>
      <c r="M193" s="88" t="s">
        <v>679</v>
      </c>
      <c r="N193" s="90" t="s">
        <v>34</v>
      </c>
      <c r="O193" s="91" t="s">
        <v>680</v>
      </c>
      <c r="P193" s="82"/>
    </row>
    <row r="194" ht="33" hidden="1" spans="1:16">
      <c r="A194" s="83">
        <v>193</v>
      </c>
      <c r="B194" s="98">
        <v>46055</v>
      </c>
      <c r="C194" s="85" t="s">
        <v>49</v>
      </c>
      <c r="D194" s="85" t="s">
        <v>40</v>
      </c>
      <c r="E194" s="85" t="s">
        <v>41</v>
      </c>
      <c r="F194" s="85" t="s">
        <v>28</v>
      </c>
      <c r="G194" s="85" t="s">
        <v>683</v>
      </c>
      <c r="H194" s="88" t="s">
        <v>684</v>
      </c>
      <c r="I194" s="85"/>
      <c r="J194" s="88" t="s">
        <v>663</v>
      </c>
      <c r="K194" s="92" t="s">
        <v>49</v>
      </c>
      <c r="L194" s="85"/>
      <c r="M194" s="88" t="s">
        <v>685</v>
      </c>
      <c r="N194" s="90" t="s">
        <v>34</v>
      </c>
      <c r="O194" s="91"/>
      <c r="P194" s="82"/>
    </row>
    <row r="195" hidden="1" spans="1:16">
      <c r="A195" s="83">
        <v>194</v>
      </c>
      <c r="B195" s="98">
        <v>46055</v>
      </c>
      <c r="C195" s="85" t="s">
        <v>68</v>
      </c>
      <c r="D195" s="85" t="s">
        <v>26</v>
      </c>
      <c r="E195" s="85" t="s">
        <v>35</v>
      </c>
      <c r="F195" s="85" t="s">
        <v>28</v>
      </c>
      <c r="G195" s="85" t="s">
        <v>686</v>
      </c>
      <c r="H195" s="88" t="s">
        <v>687</v>
      </c>
      <c r="I195" s="85"/>
      <c r="J195" s="88" t="s">
        <v>688</v>
      </c>
      <c r="K195" s="92" t="s">
        <v>32</v>
      </c>
      <c r="L195" s="85"/>
      <c r="M195" s="88" t="s">
        <v>671</v>
      </c>
      <c r="N195" s="90" t="s">
        <v>34</v>
      </c>
      <c r="O195" s="91"/>
      <c r="P195" s="82"/>
    </row>
    <row r="196" ht="33" hidden="1" spans="1:16">
      <c r="A196" s="83">
        <v>195</v>
      </c>
      <c r="B196" s="98">
        <v>46055</v>
      </c>
      <c r="C196" s="85" t="s">
        <v>49</v>
      </c>
      <c r="D196" s="85" t="s">
        <v>40</v>
      </c>
      <c r="E196" s="85" t="s">
        <v>148</v>
      </c>
      <c r="F196" s="85" t="s">
        <v>28</v>
      </c>
      <c r="G196" s="85" t="s">
        <v>689</v>
      </c>
      <c r="H196" s="88" t="s">
        <v>690</v>
      </c>
      <c r="I196" s="85"/>
      <c r="J196" s="88" t="s">
        <v>663</v>
      </c>
      <c r="K196" s="92" t="s">
        <v>49</v>
      </c>
      <c r="L196" s="85"/>
      <c r="M196" s="88" t="s">
        <v>685</v>
      </c>
      <c r="N196" s="90" t="s">
        <v>34</v>
      </c>
      <c r="O196" s="91"/>
      <c r="P196" s="82"/>
    </row>
    <row r="197" ht="33" hidden="1" spans="1:16">
      <c r="A197" s="83">
        <v>196</v>
      </c>
      <c r="B197" s="98">
        <v>46055</v>
      </c>
      <c r="C197" s="85" t="s">
        <v>68</v>
      </c>
      <c r="D197" s="85" t="s">
        <v>26</v>
      </c>
      <c r="E197" s="85" t="s">
        <v>35</v>
      </c>
      <c r="F197" s="85" t="s">
        <v>28</v>
      </c>
      <c r="G197" s="85" t="s">
        <v>691</v>
      </c>
      <c r="H197" s="88" t="s">
        <v>692</v>
      </c>
      <c r="I197" s="85"/>
      <c r="J197" s="88" t="s">
        <v>693</v>
      </c>
      <c r="K197" s="92" t="s">
        <v>355</v>
      </c>
      <c r="L197" s="85"/>
      <c r="M197" s="88" t="s">
        <v>694</v>
      </c>
      <c r="N197" s="90" t="s">
        <v>34</v>
      </c>
      <c r="O197" s="91"/>
      <c r="P197" s="82"/>
    </row>
    <row r="198" ht="33" hidden="1" spans="1:16">
      <c r="A198" s="83">
        <v>197</v>
      </c>
      <c r="B198" s="98">
        <v>46055</v>
      </c>
      <c r="C198" s="85" t="s">
        <v>49</v>
      </c>
      <c r="D198" s="85" t="s">
        <v>40</v>
      </c>
      <c r="E198" s="85" t="s">
        <v>41</v>
      </c>
      <c r="F198" s="85" t="s">
        <v>28</v>
      </c>
      <c r="G198" s="85" t="s">
        <v>695</v>
      </c>
      <c r="H198" s="88" t="s">
        <v>696</v>
      </c>
      <c r="I198" s="85"/>
      <c r="J198" s="88" t="s">
        <v>663</v>
      </c>
      <c r="K198" s="95" t="s">
        <v>49</v>
      </c>
      <c r="L198" s="85"/>
      <c r="M198" s="88" t="s">
        <v>685</v>
      </c>
      <c r="N198" s="90" t="s">
        <v>34</v>
      </c>
      <c r="O198" s="91"/>
      <c r="P198" s="82"/>
    </row>
    <row r="199" ht="99" hidden="1" spans="1:16">
      <c r="A199" s="83">
        <v>198</v>
      </c>
      <c r="B199" s="98">
        <v>46055</v>
      </c>
      <c r="C199" s="85" t="s">
        <v>49</v>
      </c>
      <c r="D199" s="85" t="s">
        <v>40</v>
      </c>
      <c r="E199" s="85" t="s">
        <v>41</v>
      </c>
      <c r="F199" s="85" t="s">
        <v>28</v>
      </c>
      <c r="G199" s="85" t="s">
        <v>697</v>
      </c>
      <c r="H199" s="88" t="s">
        <v>698</v>
      </c>
      <c r="I199" s="85"/>
      <c r="J199" s="96" t="s">
        <v>699</v>
      </c>
      <c r="K199" s="92" t="s">
        <v>49</v>
      </c>
      <c r="L199" s="86"/>
      <c r="M199" s="88" t="s">
        <v>700</v>
      </c>
      <c r="N199" s="90" t="s">
        <v>34</v>
      </c>
      <c r="O199" s="91"/>
      <c r="P199" s="82"/>
    </row>
    <row r="200" ht="33" hidden="1" spans="1:16">
      <c r="A200" s="83">
        <v>199</v>
      </c>
      <c r="B200" s="98">
        <v>46055</v>
      </c>
      <c r="C200" s="85" t="s">
        <v>68</v>
      </c>
      <c r="D200" s="85" t="s">
        <v>26</v>
      </c>
      <c r="E200" s="85" t="s">
        <v>27</v>
      </c>
      <c r="F200" s="85" t="s">
        <v>28</v>
      </c>
      <c r="G200" s="85" t="s">
        <v>701</v>
      </c>
      <c r="H200" s="85" t="s">
        <v>702</v>
      </c>
      <c r="I200" s="85"/>
      <c r="J200" s="88" t="s">
        <v>670</v>
      </c>
      <c r="K200" s="100" t="s">
        <v>32</v>
      </c>
      <c r="L200" s="85"/>
      <c r="M200" s="88" t="s">
        <v>703</v>
      </c>
      <c r="N200" s="90" t="s">
        <v>34</v>
      </c>
      <c r="O200" s="91"/>
      <c r="P200" s="82"/>
    </row>
    <row r="201" ht="138.75" hidden="1" customHeight="1" spans="1:16">
      <c r="A201" s="83">
        <v>200</v>
      </c>
      <c r="B201" s="98">
        <v>46055</v>
      </c>
      <c r="C201" s="85" t="s">
        <v>68</v>
      </c>
      <c r="D201" s="85" t="s">
        <v>26</v>
      </c>
      <c r="E201" s="85" t="s">
        <v>27</v>
      </c>
      <c r="F201" s="85" t="s">
        <v>28</v>
      </c>
      <c r="G201" s="85" t="s">
        <v>704</v>
      </c>
      <c r="H201" s="85" t="s">
        <v>705</v>
      </c>
      <c r="I201" s="85"/>
      <c r="J201" s="96" t="s">
        <v>706</v>
      </c>
      <c r="K201" s="92" t="s">
        <v>97</v>
      </c>
      <c r="L201" s="86"/>
      <c r="M201" s="88" t="s">
        <v>707</v>
      </c>
      <c r="N201" s="90" t="s">
        <v>34</v>
      </c>
      <c r="O201" s="91"/>
      <c r="P201" s="82"/>
    </row>
    <row r="202" ht="115.5" hidden="1" spans="1:16">
      <c r="A202" s="83">
        <v>201</v>
      </c>
      <c r="B202" s="98">
        <v>46055</v>
      </c>
      <c r="C202" s="85" t="s">
        <v>68</v>
      </c>
      <c r="D202" s="85" t="s">
        <v>26</v>
      </c>
      <c r="E202" s="85" t="s">
        <v>27</v>
      </c>
      <c r="F202" s="85" t="s">
        <v>28</v>
      </c>
      <c r="G202" s="85" t="s">
        <v>708</v>
      </c>
      <c r="H202" s="85" t="s">
        <v>709</v>
      </c>
      <c r="I202" s="85"/>
      <c r="J202" s="96" t="s">
        <v>706</v>
      </c>
      <c r="K202" s="89" t="s">
        <v>97</v>
      </c>
      <c r="L202" s="86"/>
      <c r="M202" s="88" t="s">
        <v>707</v>
      </c>
      <c r="N202" s="90" t="s">
        <v>34</v>
      </c>
      <c r="O202" s="91"/>
      <c r="P202" s="82"/>
    </row>
    <row r="203" ht="33" hidden="1" spans="1:16">
      <c r="A203" s="83">
        <v>202</v>
      </c>
      <c r="B203" s="98">
        <v>46055</v>
      </c>
      <c r="C203" s="85" t="s">
        <v>68</v>
      </c>
      <c r="D203" s="85" t="s">
        <v>26</v>
      </c>
      <c r="E203" s="85" t="s">
        <v>27</v>
      </c>
      <c r="F203" s="85" t="s">
        <v>28</v>
      </c>
      <c r="G203" s="85" t="s">
        <v>710</v>
      </c>
      <c r="H203" s="85" t="s">
        <v>711</v>
      </c>
      <c r="I203" s="85"/>
      <c r="J203" s="88" t="s">
        <v>670</v>
      </c>
      <c r="K203" s="89" t="s">
        <v>32</v>
      </c>
      <c r="L203" s="85"/>
      <c r="M203" s="88" t="s">
        <v>712</v>
      </c>
      <c r="N203" s="90" t="s">
        <v>34</v>
      </c>
      <c r="O203" s="91"/>
      <c r="P203" s="82"/>
    </row>
    <row r="204" ht="82.5" hidden="1" spans="1:16">
      <c r="A204" s="83">
        <v>203</v>
      </c>
      <c r="B204" s="98">
        <v>46055</v>
      </c>
      <c r="C204" s="85" t="s">
        <v>68</v>
      </c>
      <c r="D204" s="85" t="s">
        <v>40</v>
      </c>
      <c r="E204" s="85" t="s">
        <v>469</v>
      </c>
      <c r="F204" s="85" t="s">
        <v>28</v>
      </c>
      <c r="G204" s="85" t="s">
        <v>713</v>
      </c>
      <c r="H204" s="88" t="s">
        <v>714</v>
      </c>
      <c r="I204" s="85"/>
      <c r="J204" s="88" t="s">
        <v>715</v>
      </c>
      <c r="K204" s="92" t="s">
        <v>716</v>
      </c>
      <c r="L204" s="85"/>
      <c r="M204" s="88" t="s">
        <v>717</v>
      </c>
      <c r="N204" s="90" t="s">
        <v>34</v>
      </c>
      <c r="O204" s="91"/>
      <c r="P204" s="82"/>
    </row>
    <row r="205" hidden="1" spans="1:16">
      <c r="A205" s="83">
        <v>204</v>
      </c>
      <c r="B205" s="98">
        <v>46056</v>
      </c>
      <c r="C205" s="85" t="s">
        <v>68</v>
      </c>
      <c r="D205" s="85" t="s">
        <v>26</v>
      </c>
      <c r="E205" s="88" t="s">
        <v>27</v>
      </c>
      <c r="F205" s="88" t="s">
        <v>28</v>
      </c>
      <c r="G205" s="88" t="s">
        <v>718</v>
      </c>
      <c r="H205" s="88" t="s">
        <v>719</v>
      </c>
      <c r="I205" s="88"/>
      <c r="J205" s="88" t="s">
        <v>654</v>
      </c>
      <c r="K205" s="92" t="s">
        <v>32</v>
      </c>
      <c r="L205" s="85"/>
      <c r="M205" s="88" t="s">
        <v>720</v>
      </c>
      <c r="N205" s="90" t="s">
        <v>34</v>
      </c>
      <c r="O205" s="91"/>
      <c r="P205" s="82"/>
    </row>
    <row r="206" hidden="1" spans="1:16">
      <c r="A206" s="83">
        <v>205</v>
      </c>
      <c r="B206" s="98">
        <v>46056</v>
      </c>
      <c r="C206" s="85" t="s">
        <v>68</v>
      </c>
      <c r="D206" s="85" t="s">
        <v>26</v>
      </c>
      <c r="E206" s="88" t="s">
        <v>35</v>
      </c>
      <c r="F206" s="88" t="s">
        <v>28</v>
      </c>
      <c r="G206" s="88" t="s">
        <v>721</v>
      </c>
      <c r="H206" s="88" t="s">
        <v>722</v>
      </c>
      <c r="I206" s="88"/>
      <c r="J206" s="88" t="s">
        <v>723</v>
      </c>
      <c r="K206" s="92" t="s">
        <v>32</v>
      </c>
      <c r="L206" s="85"/>
      <c r="M206" s="88" t="s">
        <v>720</v>
      </c>
      <c r="N206" s="90" t="s">
        <v>34</v>
      </c>
      <c r="O206" s="91"/>
      <c r="P206" s="82"/>
    </row>
    <row r="207" hidden="1" spans="1:16">
      <c r="A207" s="83">
        <v>206</v>
      </c>
      <c r="B207" s="98">
        <v>46056</v>
      </c>
      <c r="C207" s="85" t="s">
        <v>68</v>
      </c>
      <c r="D207" s="85" t="s">
        <v>26</v>
      </c>
      <c r="E207" s="88" t="s">
        <v>660</v>
      </c>
      <c r="F207" s="88" t="s">
        <v>28</v>
      </c>
      <c r="G207" s="88" t="s">
        <v>724</v>
      </c>
      <c r="H207" s="88" t="s">
        <v>725</v>
      </c>
      <c r="I207" s="88"/>
      <c r="J207" s="88" t="s">
        <v>726</v>
      </c>
      <c r="K207" s="92" t="s">
        <v>32</v>
      </c>
      <c r="L207" s="85"/>
      <c r="M207" s="88" t="s">
        <v>720</v>
      </c>
      <c r="N207" s="90" t="s">
        <v>34</v>
      </c>
      <c r="O207" s="91"/>
      <c r="P207" s="82"/>
    </row>
    <row r="208" ht="33" hidden="1" spans="1:16">
      <c r="A208" s="83">
        <v>207</v>
      </c>
      <c r="B208" s="98">
        <v>46056</v>
      </c>
      <c r="C208" s="85" t="s">
        <v>49</v>
      </c>
      <c r="D208" s="85" t="s">
        <v>26</v>
      </c>
      <c r="E208" s="88" t="s">
        <v>27</v>
      </c>
      <c r="F208" s="88" t="s">
        <v>28</v>
      </c>
      <c r="G208" s="88" t="s">
        <v>727</v>
      </c>
      <c r="H208" s="88" t="s">
        <v>728</v>
      </c>
      <c r="I208" s="88"/>
      <c r="J208" s="88" t="s">
        <v>729</v>
      </c>
      <c r="K208" s="92" t="s">
        <v>49</v>
      </c>
      <c r="L208" s="85"/>
      <c r="M208" s="88" t="s">
        <v>730</v>
      </c>
      <c r="N208" s="90" t="s">
        <v>34</v>
      </c>
      <c r="O208" s="91"/>
      <c r="P208" s="82"/>
    </row>
    <row r="209" ht="33" hidden="1" spans="1:16">
      <c r="A209" s="83">
        <v>208</v>
      </c>
      <c r="B209" s="98">
        <v>46056</v>
      </c>
      <c r="C209" s="85" t="s">
        <v>49</v>
      </c>
      <c r="D209" s="85" t="s">
        <v>40</v>
      </c>
      <c r="E209" s="88" t="s">
        <v>41</v>
      </c>
      <c r="F209" s="88" t="s">
        <v>28</v>
      </c>
      <c r="G209" s="88" t="s">
        <v>731</v>
      </c>
      <c r="H209" s="88" t="s">
        <v>732</v>
      </c>
      <c r="I209" s="88"/>
      <c r="J209" s="88" t="s">
        <v>729</v>
      </c>
      <c r="K209" s="92" t="s">
        <v>49</v>
      </c>
      <c r="L209" s="85"/>
      <c r="M209" s="88" t="s">
        <v>730</v>
      </c>
      <c r="N209" s="90" t="s">
        <v>34</v>
      </c>
      <c r="O209" s="91"/>
      <c r="P209" s="82"/>
    </row>
    <row r="210" ht="33" hidden="1" spans="1:16">
      <c r="A210" s="83">
        <v>209</v>
      </c>
      <c r="B210" s="98">
        <v>46056</v>
      </c>
      <c r="C210" s="85" t="s">
        <v>49</v>
      </c>
      <c r="D210" s="85" t="s">
        <v>40</v>
      </c>
      <c r="E210" s="88" t="s">
        <v>41</v>
      </c>
      <c r="F210" s="88" t="s">
        <v>28</v>
      </c>
      <c r="G210" s="88" t="s">
        <v>733</v>
      </c>
      <c r="H210" s="88" t="s">
        <v>734</v>
      </c>
      <c r="I210" s="88"/>
      <c r="J210" s="88" t="s">
        <v>729</v>
      </c>
      <c r="K210" s="92" t="s">
        <v>49</v>
      </c>
      <c r="L210" s="85"/>
      <c r="M210" s="88" t="s">
        <v>730</v>
      </c>
      <c r="N210" s="90" t="s">
        <v>34</v>
      </c>
      <c r="O210" s="91"/>
      <c r="P210" s="82"/>
    </row>
    <row r="211" ht="33" hidden="1" spans="1:16">
      <c r="A211" s="83">
        <v>210</v>
      </c>
      <c r="B211" s="98">
        <v>46056</v>
      </c>
      <c r="C211" s="85" t="s">
        <v>68</v>
      </c>
      <c r="D211" s="85" t="s">
        <v>26</v>
      </c>
      <c r="E211" s="85" t="s">
        <v>35</v>
      </c>
      <c r="F211" s="85" t="s">
        <v>28</v>
      </c>
      <c r="G211" s="85" t="s">
        <v>735</v>
      </c>
      <c r="H211" s="85" t="s">
        <v>736</v>
      </c>
      <c r="I211" s="85"/>
      <c r="J211" s="88" t="s">
        <v>737</v>
      </c>
      <c r="K211" s="92" t="s">
        <v>97</v>
      </c>
      <c r="L211" s="85"/>
      <c r="M211" s="88" t="s">
        <v>738</v>
      </c>
      <c r="N211" s="90" t="s">
        <v>34</v>
      </c>
      <c r="O211" s="85"/>
      <c r="P211" s="82"/>
    </row>
    <row r="212" ht="33" hidden="1" spans="1:16">
      <c r="A212" s="83">
        <v>211</v>
      </c>
      <c r="B212" s="98">
        <v>46056</v>
      </c>
      <c r="C212" s="85" t="s">
        <v>49</v>
      </c>
      <c r="D212" s="85" t="s">
        <v>26</v>
      </c>
      <c r="E212" s="85" t="s">
        <v>27</v>
      </c>
      <c r="F212" s="85" t="s">
        <v>28</v>
      </c>
      <c r="G212" s="85" t="s">
        <v>739</v>
      </c>
      <c r="H212" s="88" t="s">
        <v>740</v>
      </c>
      <c r="I212" s="88"/>
      <c r="J212" s="88" t="s">
        <v>729</v>
      </c>
      <c r="K212" s="92" t="s">
        <v>49</v>
      </c>
      <c r="L212" s="85"/>
      <c r="M212" s="88" t="s">
        <v>730</v>
      </c>
      <c r="N212" s="90" t="s">
        <v>34</v>
      </c>
      <c r="O212" s="85"/>
      <c r="P212" s="82"/>
    </row>
    <row r="213" hidden="1" spans="1:16">
      <c r="A213" s="83">
        <v>212</v>
      </c>
      <c r="B213" s="98">
        <v>46057</v>
      </c>
      <c r="C213" s="85" t="s">
        <v>68</v>
      </c>
      <c r="D213" s="85" t="s">
        <v>40</v>
      </c>
      <c r="E213" s="85" t="s">
        <v>41</v>
      </c>
      <c r="F213" s="85" t="s">
        <v>28</v>
      </c>
      <c r="G213" s="85" t="s">
        <v>741</v>
      </c>
      <c r="H213" s="88" t="s">
        <v>742</v>
      </c>
      <c r="I213" s="88"/>
      <c r="J213" s="88" t="s">
        <v>743</v>
      </c>
      <c r="K213" s="95" t="s">
        <v>24</v>
      </c>
      <c r="L213" s="85"/>
      <c r="M213" s="85" t="s">
        <v>744</v>
      </c>
      <c r="N213" s="90" t="s">
        <v>34</v>
      </c>
      <c r="O213" s="85" t="s">
        <v>280</v>
      </c>
      <c r="P213" s="82"/>
    </row>
    <row r="214" ht="49.5" hidden="1" spans="1:16">
      <c r="A214" s="83">
        <v>213</v>
      </c>
      <c r="B214" s="98">
        <v>46057</v>
      </c>
      <c r="C214" s="85" t="s">
        <v>68</v>
      </c>
      <c r="D214" s="85" t="s">
        <v>40</v>
      </c>
      <c r="E214" s="88" t="s">
        <v>41</v>
      </c>
      <c r="F214" s="88" t="s">
        <v>28</v>
      </c>
      <c r="G214" s="88" t="s">
        <v>745</v>
      </c>
      <c r="H214" s="88" t="s">
        <v>746</v>
      </c>
      <c r="I214" s="88"/>
      <c r="J214" s="96" t="s">
        <v>747</v>
      </c>
      <c r="K214" s="92" t="s">
        <v>24</v>
      </c>
      <c r="L214" s="86"/>
      <c r="M214" s="96" t="s">
        <v>748</v>
      </c>
      <c r="N214" s="90" t="s">
        <v>34</v>
      </c>
      <c r="O214" s="85" t="s">
        <v>280</v>
      </c>
      <c r="P214" s="82"/>
    </row>
    <row r="215" ht="49.5" hidden="1" spans="1:16">
      <c r="A215" s="83">
        <v>214</v>
      </c>
      <c r="B215" s="98">
        <v>46057</v>
      </c>
      <c r="C215" s="85" t="s">
        <v>68</v>
      </c>
      <c r="D215" s="85" t="s">
        <v>26</v>
      </c>
      <c r="E215" s="88" t="s">
        <v>27</v>
      </c>
      <c r="F215" s="88" t="s">
        <v>28</v>
      </c>
      <c r="G215" s="88" t="s">
        <v>749</v>
      </c>
      <c r="H215" s="88" t="s">
        <v>750</v>
      </c>
      <c r="I215" s="88"/>
      <c r="J215" s="96" t="s">
        <v>751</v>
      </c>
      <c r="K215" s="89" t="s">
        <v>32</v>
      </c>
      <c r="L215" s="86"/>
      <c r="M215" s="88" t="s">
        <v>752</v>
      </c>
      <c r="N215" s="90" t="s">
        <v>34</v>
      </c>
      <c r="O215" s="85"/>
      <c r="P215" s="82"/>
    </row>
    <row r="216" ht="33" hidden="1" spans="1:16">
      <c r="A216" s="83">
        <v>215</v>
      </c>
      <c r="B216" s="98">
        <v>46057</v>
      </c>
      <c r="C216" s="85" t="s">
        <v>68</v>
      </c>
      <c r="D216" s="85" t="s">
        <v>153</v>
      </c>
      <c r="E216" s="88" t="s">
        <v>154</v>
      </c>
      <c r="F216" s="88" t="s">
        <v>28</v>
      </c>
      <c r="G216" s="88" t="s">
        <v>753</v>
      </c>
      <c r="H216" s="88" t="s">
        <v>754</v>
      </c>
      <c r="I216" s="88"/>
      <c r="J216" s="88" t="s">
        <v>755</v>
      </c>
      <c r="K216" s="89" t="s">
        <v>32</v>
      </c>
      <c r="L216" s="85"/>
      <c r="M216" s="88" t="s">
        <v>756</v>
      </c>
      <c r="N216" s="90" t="s">
        <v>34</v>
      </c>
      <c r="O216" s="85"/>
      <c r="P216" s="82"/>
    </row>
    <row r="217" hidden="1" spans="1:16">
      <c r="A217" s="83">
        <v>216</v>
      </c>
      <c r="B217" s="98">
        <v>46057</v>
      </c>
      <c r="C217" s="85" t="s">
        <v>68</v>
      </c>
      <c r="D217" s="85" t="s">
        <v>26</v>
      </c>
      <c r="E217" s="88" t="s">
        <v>27</v>
      </c>
      <c r="F217" s="88" t="s">
        <v>28</v>
      </c>
      <c r="G217" s="88" t="s">
        <v>757</v>
      </c>
      <c r="H217" s="88" t="s">
        <v>758</v>
      </c>
      <c r="I217" s="88"/>
      <c r="J217" s="88" t="s">
        <v>751</v>
      </c>
      <c r="K217" s="92" t="s">
        <v>32</v>
      </c>
      <c r="L217" s="85"/>
      <c r="M217" s="88" t="s">
        <v>759</v>
      </c>
      <c r="N217" s="90" t="s">
        <v>34</v>
      </c>
      <c r="O217" s="85"/>
      <c r="P217" s="82"/>
    </row>
    <row r="218" ht="66" hidden="1" spans="1:16">
      <c r="A218" s="83">
        <v>217</v>
      </c>
      <c r="B218" s="98">
        <v>46057</v>
      </c>
      <c r="C218" s="85" t="s">
        <v>25</v>
      </c>
      <c r="D218" s="85" t="s">
        <v>107</v>
      </c>
      <c r="E218" s="85" t="s">
        <v>108</v>
      </c>
      <c r="F218" s="85" t="s">
        <v>28</v>
      </c>
      <c r="G218" s="85" t="s">
        <v>760</v>
      </c>
      <c r="H218" s="97" t="s">
        <v>761</v>
      </c>
      <c r="I218" s="85"/>
      <c r="J218" s="88" t="s">
        <v>762</v>
      </c>
      <c r="K218" s="92" t="s">
        <v>92</v>
      </c>
      <c r="L218" s="85"/>
      <c r="M218" s="88" t="s">
        <v>763</v>
      </c>
      <c r="N218" s="90" t="s">
        <v>34</v>
      </c>
      <c r="O218" s="85"/>
      <c r="P218" s="82"/>
    </row>
    <row r="219" ht="33" hidden="1" spans="1:16">
      <c r="A219" s="83">
        <v>218</v>
      </c>
      <c r="B219" s="98">
        <v>46057</v>
      </c>
      <c r="C219" s="85" t="s">
        <v>49</v>
      </c>
      <c r="D219" s="85" t="s">
        <v>26</v>
      </c>
      <c r="E219" s="85" t="s">
        <v>35</v>
      </c>
      <c r="F219" s="85" t="s">
        <v>28</v>
      </c>
      <c r="G219" s="85" t="s">
        <v>764</v>
      </c>
      <c r="H219" s="85" t="s">
        <v>765</v>
      </c>
      <c r="I219" s="85"/>
      <c r="J219" s="88" t="s">
        <v>766</v>
      </c>
      <c r="K219" s="92" t="s">
        <v>49</v>
      </c>
      <c r="L219" s="85"/>
      <c r="M219" s="88" t="s">
        <v>767</v>
      </c>
      <c r="N219" s="90" t="s">
        <v>34</v>
      </c>
      <c r="O219" s="85"/>
      <c r="P219" s="82"/>
    </row>
    <row r="220" ht="33" hidden="1" spans="1:16">
      <c r="A220" s="83">
        <v>219</v>
      </c>
      <c r="B220" s="98">
        <v>46057</v>
      </c>
      <c r="C220" s="85" t="s">
        <v>49</v>
      </c>
      <c r="D220" s="85" t="s">
        <v>40</v>
      </c>
      <c r="E220" s="88" t="s">
        <v>41</v>
      </c>
      <c r="F220" s="88" t="s">
        <v>28</v>
      </c>
      <c r="G220" s="88" t="s">
        <v>768</v>
      </c>
      <c r="H220" s="88" t="s">
        <v>769</v>
      </c>
      <c r="I220" s="85"/>
      <c r="J220" s="88" t="s">
        <v>766</v>
      </c>
      <c r="K220" s="92" t="s">
        <v>49</v>
      </c>
      <c r="L220" s="85"/>
      <c r="M220" s="88" t="s">
        <v>767</v>
      </c>
      <c r="N220" s="90" t="s">
        <v>34</v>
      </c>
      <c r="O220" s="85"/>
      <c r="P220" s="82"/>
    </row>
    <row r="221" ht="49.5" hidden="1" spans="1:16">
      <c r="A221" s="83">
        <v>220</v>
      </c>
      <c r="B221" s="98">
        <v>46058</v>
      </c>
      <c r="C221" s="85" t="s">
        <v>68</v>
      </c>
      <c r="D221" s="85" t="s">
        <v>26</v>
      </c>
      <c r="E221" s="88" t="s">
        <v>35</v>
      </c>
      <c r="F221" s="88" t="s">
        <v>28</v>
      </c>
      <c r="G221" s="88" t="s">
        <v>770</v>
      </c>
      <c r="H221" s="88" t="s">
        <v>771</v>
      </c>
      <c r="I221" s="85"/>
      <c r="J221" s="88" t="s">
        <v>772</v>
      </c>
      <c r="K221" s="92" t="s">
        <v>32</v>
      </c>
      <c r="L221" s="85"/>
      <c r="M221" s="88" t="s">
        <v>752</v>
      </c>
      <c r="N221" s="90" t="s">
        <v>34</v>
      </c>
      <c r="O221" s="85"/>
      <c r="P221" s="82"/>
    </row>
    <row r="222" ht="49.5" hidden="1" spans="1:16">
      <c r="A222" s="83">
        <v>221</v>
      </c>
      <c r="B222" s="98">
        <v>46058</v>
      </c>
      <c r="C222" s="85" t="s">
        <v>68</v>
      </c>
      <c r="D222" s="85" t="s">
        <v>40</v>
      </c>
      <c r="E222" s="88" t="s">
        <v>41</v>
      </c>
      <c r="F222" s="88" t="s">
        <v>28</v>
      </c>
      <c r="G222" s="88" t="s">
        <v>773</v>
      </c>
      <c r="H222" s="88" t="s">
        <v>774</v>
      </c>
      <c r="I222" s="85"/>
      <c r="J222" s="88" t="s">
        <v>775</v>
      </c>
      <c r="K222" s="92" t="s">
        <v>24</v>
      </c>
      <c r="L222" s="85"/>
      <c r="M222" s="85" t="s">
        <v>776</v>
      </c>
      <c r="N222" s="90" t="s">
        <v>34</v>
      </c>
      <c r="O222" s="85" t="s">
        <v>380</v>
      </c>
      <c r="P222" s="82"/>
    </row>
    <row r="223" hidden="1" spans="1:16">
      <c r="A223" s="83">
        <v>222</v>
      </c>
      <c r="B223" s="98">
        <v>46058</v>
      </c>
      <c r="C223" s="85" t="s">
        <v>68</v>
      </c>
      <c r="D223" s="85" t="s">
        <v>40</v>
      </c>
      <c r="E223" s="88" t="s">
        <v>41</v>
      </c>
      <c r="F223" s="88" t="s">
        <v>28</v>
      </c>
      <c r="G223" s="88" t="s">
        <v>777</v>
      </c>
      <c r="H223" s="88" t="s">
        <v>778</v>
      </c>
      <c r="I223" s="85"/>
      <c r="J223" s="96" t="s">
        <v>779</v>
      </c>
      <c r="K223" s="89" t="s">
        <v>32</v>
      </c>
      <c r="L223" s="86"/>
      <c r="M223" s="88" t="s">
        <v>780</v>
      </c>
      <c r="N223" s="90" t="s">
        <v>34</v>
      </c>
      <c r="O223" s="85"/>
      <c r="P223" s="82"/>
    </row>
    <row r="224" hidden="1" spans="1:16">
      <c r="A224" s="83">
        <v>223</v>
      </c>
      <c r="B224" s="98">
        <v>46058</v>
      </c>
      <c r="C224" s="85" t="s">
        <v>68</v>
      </c>
      <c r="D224" s="85" t="s">
        <v>40</v>
      </c>
      <c r="E224" s="88" t="s">
        <v>41</v>
      </c>
      <c r="F224" s="88" t="s">
        <v>28</v>
      </c>
      <c r="G224" s="88" t="s">
        <v>781</v>
      </c>
      <c r="H224" s="88" t="s">
        <v>782</v>
      </c>
      <c r="I224" s="85"/>
      <c r="J224" s="96" t="s">
        <v>779</v>
      </c>
      <c r="K224" s="89" t="s">
        <v>32</v>
      </c>
      <c r="L224" s="86"/>
      <c r="M224" s="88" t="s">
        <v>780</v>
      </c>
      <c r="N224" s="90" t="s">
        <v>34</v>
      </c>
      <c r="O224" s="85"/>
      <c r="P224" s="82"/>
    </row>
    <row r="225" ht="49.5" hidden="1" spans="1:16">
      <c r="A225" s="83">
        <v>224</v>
      </c>
      <c r="B225" s="98">
        <v>46058</v>
      </c>
      <c r="C225" s="85" t="s">
        <v>49</v>
      </c>
      <c r="D225" s="85" t="s">
        <v>26</v>
      </c>
      <c r="E225" s="88" t="s">
        <v>35</v>
      </c>
      <c r="F225" s="88" t="s">
        <v>28</v>
      </c>
      <c r="G225" s="88" t="s">
        <v>783</v>
      </c>
      <c r="H225" s="88" t="s">
        <v>784</v>
      </c>
      <c r="I225" s="85"/>
      <c r="J225" s="88" t="s">
        <v>785</v>
      </c>
      <c r="K225" s="92" t="s">
        <v>49</v>
      </c>
      <c r="L225" s="85"/>
      <c r="M225" s="88" t="s">
        <v>786</v>
      </c>
      <c r="N225" s="90" t="s">
        <v>34</v>
      </c>
      <c r="O225" s="85"/>
      <c r="P225" s="82"/>
    </row>
    <row r="226" ht="33" hidden="1" spans="1:16">
      <c r="A226" s="83">
        <v>225</v>
      </c>
      <c r="B226" s="98">
        <v>46058</v>
      </c>
      <c r="C226" s="85" t="s">
        <v>49</v>
      </c>
      <c r="D226" s="85" t="s">
        <v>153</v>
      </c>
      <c r="E226" s="88" t="s">
        <v>154</v>
      </c>
      <c r="F226" s="88" t="s">
        <v>28</v>
      </c>
      <c r="G226" s="88" t="s">
        <v>787</v>
      </c>
      <c r="H226" s="88" t="s">
        <v>788</v>
      </c>
      <c r="I226" s="85"/>
      <c r="J226" s="88" t="s">
        <v>785</v>
      </c>
      <c r="K226" s="92" t="s">
        <v>49</v>
      </c>
      <c r="L226" s="85"/>
      <c r="M226" s="88" t="s">
        <v>789</v>
      </c>
      <c r="N226" s="90" t="s">
        <v>34</v>
      </c>
      <c r="O226" s="85"/>
      <c r="P226" s="82"/>
    </row>
    <row r="227" ht="49.5" hidden="1" spans="1:16">
      <c r="A227" s="83">
        <v>226</v>
      </c>
      <c r="B227" s="98">
        <v>46058</v>
      </c>
      <c r="C227" s="85" t="s">
        <v>25</v>
      </c>
      <c r="D227" s="85" t="s">
        <v>26</v>
      </c>
      <c r="E227" s="88" t="s">
        <v>27</v>
      </c>
      <c r="F227" s="88" t="s">
        <v>28</v>
      </c>
      <c r="G227" s="88" t="s">
        <v>790</v>
      </c>
      <c r="H227" s="88" t="s">
        <v>791</v>
      </c>
      <c r="I227" s="85"/>
      <c r="J227" s="88" t="s">
        <v>792</v>
      </c>
      <c r="K227" s="92" t="s">
        <v>24</v>
      </c>
      <c r="L227" s="85"/>
      <c r="M227" s="88" t="s">
        <v>793</v>
      </c>
      <c r="N227" s="90" t="s">
        <v>34</v>
      </c>
      <c r="O227" s="85" t="s">
        <v>794</v>
      </c>
      <c r="P227" s="82"/>
    </row>
    <row r="228" ht="33" hidden="1" spans="1:16">
      <c r="A228" s="83">
        <v>227</v>
      </c>
      <c r="B228" s="98">
        <v>46058</v>
      </c>
      <c r="C228" s="85" t="s">
        <v>68</v>
      </c>
      <c r="D228" s="85" t="s">
        <v>26</v>
      </c>
      <c r="E228" s="88" t="s">
        <v>27</v>
      </c>
      <c r="F228" s="88" t="s">
        <v>28</v>
      </c>
      <c r="G228" s="97" t="s">
        <v>795</v>
      </c>
      <c r="H228" s="88" t="s">
        <v>796</v>
      </c>
      <c r="I228" s="85"/>
      <c r="J228" s="88" t="s">
        <v>797</v>
      </c>
      <c r="K228" s="92" t="s">
        <v>97</v>
      </c>
      <c r="L228" s="85"/>
      <c r="M228" s="88" t="s">
        <v>798</v>
      </c>
      <c r="N228" s="90" t="s">
        <v>34</v>
      </c>
      <c r="O228" s="85"/>
      <c r="P228" s="82"/>
    </row>
    <row r="229" ht="33" hidden="1" spans="1:16">
      <c r="A229" s="83">
        <v>228</v>
      </c>
      <c r="B229" s="98">
        <v>46058</v>
      </c>
      <c r="C229" s="85" t="s">
        <v>68</v>
      </c>
      <c r="D229" s="85" t="s">
        <v>26</v>
      </c>
      <c r="E229" s="88" t="s">
        <v>27</v>
      </c>
      <c r="F229" s="88" t="s">
        <v>28</v>
      </c>
      <c r="G229" s="88" t="s">
        <v>799</v>
      </c>
      <c r="H229" s="88" t="s">
        <v>800</v>
      </c>
      <c r="I229" s="85"/>
      <c r="J229" s="88" t="s">
        <v>797</v>
      </c>
      <c r="K229" s="92" t="s">
        <v>97</v>
      </c>
      <c r="L229" s="85"/>
      <c r="M229" s="88" t="s">
        <v>801</v>
      </c>
      <c r="N229" s="90" t="s">
        <v>34</v>
      </c>
      <c r="O229" s="85"/>
      <c r="P229" s="82"/>
    </row>
    <row r="230" ht="33" hidden="1" spans="1:16">
      <c r="A230" s="83">
        <v>229</v>
      </c>
      <c r="B230" s="98">
        <v>46059</v>
      </c>
      <c r="C230" s="85" t="s">
        <v>68</v>
      </c>
      <c r="D230" s="85" t="s">
        <v>317</v>
      </c>
      <c r="E230" s="88" t="s">
        <v>318</v>
      </c>
      <c r="F230" s="88" t="s">
        <v>28</v>
      </c>
      <c r="G230" s="88" t="s">
        <v>802</v>
      </c>
      <c r="H230" s="88" t="s">
        <v>803</v>
      </c>
      <c r="I230" s="85"/>
      <c r="J230" s="88" t="s">
        <v>804</v>
      </c>
      <c r="K230" s="92" t="s">
        <v>32</v>
      </c>
      <c r="L230" s="85"/>
      <c r="M230" s="88" t="s">
        <v>805</v>
      </c>
      <c r="N230" s="90" t="s">
        <v>34</v>
      </c>
      <c r="O230" s="85"/>
      <c r="P230" s="82"/>
    </row>
    <row r="231" hidden="1" spans="1:16">
      <c r="A231" s="83">
        <v>230</v>
      </c>
      <c r="B231" s="98">
        <v>46059</v>
      </c>
      <c r="C231" s="85" t="s">
        <v>49</v>
      </c>
      <c r="D231" s="85" t="s">
        <v>40</v>
      </c>
      <c r="E231" s="88" t="s">
        <v>41</v>
      </c>
      <c r="F231" s="88" t="s">
        <v>28</v>
      </c>
      <c r="G231" s="88" t="s">
        <v>806</v>
      </c>
      <c r="H231" s="88" t="s">
        <v>807</v>
      </c>
      <c r="I231" s="85"/>
      <c r="J231" s="88" t="s">
        <v>808</v>
      </c>
      <c r="K231" s="92" t="s">
        <v>49</v>
      </c>
      <c r="L231" s="85"/>
      <c r="M231" s="88" t="s">
        <v>809</v>
      </c>
      <c r="N231" s="90" t="s">
        <v>34</v>
      </c>
      <c r="O231" s="85"/>
      <c r="P231" s="82"/>
    </row>
    <row r="232" hidden="1" spans="1:16">
      <c r="A232" s="83">
        <v>231</v>
      </c>
      <c r="B232" s="98">
        <v>46059</v>
      </c>
      <c r="C232" s="85" t="s">
        <v>68</v>
      </c>
      <c r="D232" s="85" t="s">
        <v>26</v>
      </c>
      <c r="E232" s="88" t="s">
        <v>35</v>
      </c>
      <c r="F232" s="88" t="s">
        <v>28</v>
      </c>
      <c r="G232" s="88" t="s">
        <v>810</v>
      </c>
      <c r="H232" s="88" t="s">
        <v>811</v>
      </c>
      <c r="I232" s="85"/>
      <c r="J232" s="88" t="s">
        <v>812</v>
      </c>
      <c r="K232" s="92" t="s">
        <v>32</v>
      </c>
      <c r="L232" s="85"/>
      <c r="M232" s="85" t="s">
        <v>813</v>
      </c>
      <c r="N232" s="90" t="s">
        <v>34</v>
      </c>
      <c r="O232" s="85"/>
      <c r="P232" s="82"/>
    </row>
    <row r="233" hidden="1" spans="1:16">
      <c r="A233" s="83">
        <v>232</v>
      </c>
      <c r="B233" s="98">
        <v>46059</v>
      </c>
      <c r="C233" s="85" t="s">
        <v>68</v>
      </c>
      <c r="D233" s="85" t="s">
        <v>26</v>
      </c>
      <c r="E233" s="88" t="s">
        <v>27</v>
      </c>
      <c r="F233" s="88" t="s">
        <v>28</v>
      </c>
      <c r="G233" s="88" t="s">
        <v>814</v>
      </c>
      <c r="H233" s="88" t="s">
        <v>815</v>
      </c>
      <c r="I233" s="85"/>
      <c r="J233" s="88" t="s">
        <v>816</v>
      </c>
      <c r="K233" s="92" t="s">
        <v>32</v>
      </c>
      <c r="L233" s="85"/>
      <c r="M233" s="88" t="s">
        <v>817</v>
      </c>
      <c r="N233" s="90" t="s">
        <v>34</v>
      </c>
      <c r="O233" s="85"/>
      <c r="P233" s="82"/>
    </row>
    <row r="234" hidden="1" spans="1:16">
      <c r="A234" s="83">
        <v>233</v>
      </c>
      <c r="B234" s="98">
        <v>46059</v>
      </c>
      <c r="C234" s="85" t="s">
        <v>68</v>
      </c>
      <c r="D234" s="85" t="s">
        <v>26</v>
      </c>
      <c r="E234" s="88" t="s">
        <v>27</v>
      </c>
      <c r="F234" s="88" t="s">
        <v>28</v>
      </c>
      <c r="G234" s="88" t="s">
        <v>818</v>
      </c>
      <c r="H234" s="88" t="s">
        <v>819</v>
      </c>
      <c r="I234" s="85"/>
      <c r="J234" s="88" t="s">
        <v>816</v>
      </c>
      <c r="K234" s="92" t="s">
        <v>32</v>
      </c>
      <c r="L234" s="85"/>
      <c r="M234" s="88" t="s">
        <v>817</v>
      </c>
      <c r="N234" s="90" t="s">
        <v>34</v>
      </c>
      <c r="O234" s="85"/>
      <c r="P234" s="82"/>
    </row>
    <row r="235" ht="82.5" hidden="1" spans="1:16">
      <c r="A235" s="83">
        <v>234</v>
      </c>
      <c r="B235" s="98">
        <v>46059</v>
      </c>
      <c r="C235" s="85" t="s">
        <v>68</v>
      </c>
      <c r="D235" s="85" t="s">
        <v>26</v>
      </c>
      <c r="E235" s="88" t="s">
        <v>27</v>
      </c>
      <c r="F235" s="88" t="s">
        <v>28</v>
      </c>
      <c r="G235" s="88" t="s">
        <v>820</v>
      </c>
      <c r="H235" s="88" t="s">
        <v>821</v>
      </c>
      <c r="I235" s="85"/>
      <c r="J235" s="96" t="s">
        <v>822</v>
      </c>
      <c r="K235" s="89" t="s">
        <v>32</v>
      </c>
      <c r="L235" s="86"/>
      <c r="M235" s="88" t="s">
        <v>823</v>
      </c>
      <c r="N235" s="90" t="s">
        <v>34</v>
      </c>
      <c r="O235" s="85"/>
      <c r="P235" s="82"/>
    </row>
    <row r="236" ht="82.5" hidden="1" spans="1:16">
      <c r="A236" s="83">
        <v>235</v>
      </c>
      <c r="B236" s="98">
        <v>46059</v>
      </c>
      <c r="C236" s="85" t="s">
        <v>68</v>
      </c>
      <c r="D236" s="85" t="s">
        <v>26</v>
      </c>
      <c r="E236" s="88" t="s">
        <v>27</v>
      </c>
      <c r="F236" s="85" t="s">
        <v>28</v>
      </c>
      <c r="G236" s="88" t="s">
        <v>824</v>
      </c>
      <c r="H236" s="88" t="s">
        <v>825</v>
      </c>
      <c r="I236" s="85"/>
      <c r="J236" s="96" t="s">
        <v>822</v>
      </c>
      <c r="K236" s="89" t="s">
        <v>32</v>
      </c>
      <c r="L236" s="86"/>
      <c r="M236" s="88" t="s">
        <v>823</v>
      </c>
      <c r="N236" s="90" t="s">
        <v>34</v>
      </c>
      <c r="O236" s="85"/>
      <c r="P236" s="82"/>
    </row>
    <row r="237" ht="66" hidden="1" spans="1:16">
      <c r="A237" s="83">
        <v>236</v>
      </c>
      <c r="B237" s="98">
        <v>46062</v>
      </c>
      <c r="C237" s="85" t="s">
        <v>68</v>
      </c>
      <c r="D237" s="85" t="s">
        <v>26</v>
      </c>
      <c r="E237" s="96" t="s">
        <v>35</v>
      </c>
      <c r="F237" s="96" t="s">
        <v>28</v>
      </c>
      <c r="G237" s="96" t="s">
        <v>826</v>
      </c>
      <c r="H237" s="96" t="s">
        <v>827</v>
      </c>
      <c r="I237" s="96"/>
      <c r="J237" s="96" t="s">
        <v>828</v>
      </c>
      <c r="K237" s="92" t="s">
        <v>355</v>
      </c>
      <c r="L237" s="85"/>
      <c r="M237" s="88" t="s">
        <v>829</v>
      </c>
      <c r="N237" s="90" t="s">
        <v>34</v>
      </c>
      <c r="O237" s="85"/>
      <c r="P237" s="82"/>
    </row>
    <row r="238" ht="66" hidden="1" spans="1:16">
      <c r="A238" s="83">
        <v>237</v>
      </c>
      <c r="B238" s="98">
        <v>46062</v>
      </c>
      <c r="C238" s="85" t="s">
        <v>68</v>
      </c>
      <c r="D238" s="85" t="s">
        <v>26</v>
      </c>
      <c r="E238" s="96" t="s">
        <v>35</v>
      </c>
      <c r="F238" s="96" t="s">
        <v>28</v>
      </c>
      <c r="G238" s="96" t="s">
        <v>830</v>
      </c>
      <c r="H238" s="96" t="s">
        <v>831</v>
      </c>
      <c r="I238" s="96"/>
      <c r="J238" s="96" t="s">
        <v>828</v>
      </c>
      <c r="K238" s="92" t="s">
        <v>355</v>
      </c>
      <c r="L238" s="85"/>
      <c r="M238" s="88" t="s">
        <v>829</v>
      </c>
      <c r="N238" s="90" t="s">
        <v>34</v>
      </c>
      <c r="O238" s="85"/>
      <c r="P238" s="82"/>
    </row>
    <row r="239" ht="33" hidden="1" spans="1:16">
      <c r="A239" s="83">
        <v>238</v>
      </c>
      <c r="B239" s="98">
        <v>46062</v>
      </c>
      <c r="C239" s="85" t="s">
        <v>68</v>
      </c>
      <c r="D239" s="85" t="s">
        <v>26</v>
      </c>
      <c r="E239" s="96" t="s">
        <v>27</v>
      </c>
      <c r="F239" s="96" t="s">
        <v>28</v>
      </c>
      <c r="G239" s="96" t="s">
        <v>832</v>
      </c>
      <c r="H239" s="96" t="s">
        <v>833</v>
      </c>
      <c r="I239" s="96"/>
      <c r="J239" s="96" t="s">
        <v>822</v>
      </c>
      <c r="K239" s="89" t="s">
        <v>32</v>
      </c>
      <c r="L239" s="85"/>
      <c r="M239" s="88" t="s">
        <v>834</v>
      </c>
      <c r="N239" s="90" t="s">
        <v>34</v>
      </c>
      <c r="O239" s="85"/>
      <c r="P239" s="82"/>
    </row>
    <row r="240" ht="33" hidden="1" spans="1:16">
      <c r="A240" s="83">
        <v>239</v>
      </c>
      <c r="B240" s="98">
        <v>46062</v>
      </c>
      <c r="C240" s="85" t="s">
        <v>68</v>
      </c>
      <c r="D240" s="85" t="s">
        <v>26</v>
      </c>
      <c r="E240" s="96" t="s">
        <v>27</v>
      </c>
      <c r="F240" s="96" t="s">
        <v>28</v>
      </c>
      <c r="G240" s="96" t="s">
        <v>835</v>
      </c>
      <c r="H240" s="96" t="s">
        <v>836</v>
      </c>
      <c r="I240" s="96"/>
      <c r="J240" s="96" t="s">
        <v>822</v>
      </c>
      <c r="K240" s="89" t="s">
        <v>32</v>
      </c>
      <c r="L240" s="85"/>
      <c r="M240" s="88" t="s">
        <v>834</v>
      </c>
      <c r="N240" s="90" t="s">
        <v>34</v>
      </c>
      <c r="O240" s="85"/>
      <c r="P240" s="82"/>
    </row>
    <row r="241" ht="66" hidden="1" spans="1:16">
      <c r="A241" s="83">
        <v>240</v>
      </c>
      <c r="B241" s="98">
        <v>46062</v>
      </c>
      <c r="C241" s="85" t="s">
        <v>68</v>
      </c>
      <c r="D241" s="85" t="s">
        <v>26</v>
      </c>
      <c r="E241" s="96" t="s">
        <v>27</v>
      </c>
      <c r="F241" s="96" t="s">
        <v>28</v>
      </c>
      <c r="G241" s="96" t="s">
        <v>837</v>
      </c>
      <c r="H241" s="96" t="s">
        <v>838</v>
      </c>
      <c r="I241" s="96"/>
      <c r="J241" s="96" t="s">
        <v>839</v>
      </c>
      <c r="K241" s="92" t="s">
        <v>92</v>
      </c>
      <c r="L241" s="85"/>
      <c r="M241" s="88" t="s">
        <v>840</v>
      </c>
      <c r="N241" s="90" t="s">
        <v>34</v>
      </c>
      <c r="O241" s="85"/>
      <c r="P241" s="82"/>
    </row>
    <row r="242" hidden="1" spans="1:16">
      <c r="A242" s="83">
        <v>241</v>
      </c>
      <c r="B242" s="98">
        <v>46062</v>
      </c>
      <c r="C242" s="85" t="s">
        <v>49</v>
      </c>
      <c r="D242" s="85" t="s">
        <v>26</v>
      </c>
      <c r="E242" s="96" t="s">
        <v>27</v>
      </c>
      <c r="F242" s="96" t="s">
        <v>28</v>
      </c>
      <c r="G242" s="96" t="s">
        <v>841</v>
      </c>
      <c r="H242" s="96" t="s">
        <v>842</v>
      </c>
      <c r="I242" s="96"/>
      <c r="J242" s="96" t="s">
        <v>843</v>
      </c>
      <c r="K242" s="92" t="s">
        <v>49</v>
      </c>
      <c r="L242" s="85"/>
      <c r="M242" s="85" t="s">
        <v>844</v>
      </c>
      <c r="N242" s="90" t="s">
        <v>34</v>
      </c>
      <c r="O242" s="85"/>
      <c r="P242" s="82"/>
    </row>
    <row r="243" ht="82.5" hidden="1" spans="1:16">
      <c r="A243" s="83">
        <v>242</v>
      </c>
      <c r="B243" s="98">
        <v>46062</v>
      </c>
      <c r="C243" s="85" t="s">
        <v>25</v>
      </c>
      <c r="D243" s="85" t="s">
        <v>40</v>
      </c>
      <c r="E243" s="96" t="s">
        <v>41</v>
      </c>
      <c r="F243" s="96" t="s">
        <v>28</v>
      </c>
      <c r="G243" s="96" t="s">
        <v>845</v>
      </c>
      <c r="H243" s="96" t="s">
        <v>846</v>
      </c>
      <c r="I243" s="96"/>
      <c r="J243" s="96" t="s">
        <v>847</v>
      </c>
      <c r="K243" s="92" t="s">
        <v>92</v>
      </c>
      <c r="L243" s="85"/>
      <c r="M243" s="88" t="s">
        <v>848</v>
      </c>
      <c r="N243" s="90" t="s">
        <v>34</v>
      </c>
      <c r="O243" s="85"/>
      <c r="P243" s="82"/>
    </row>
    <row r="244" hidden="1" spans="1:16">
      <c r="A244" s="83">
        <v>243</v>
      </c>
      <c r="B244" s="98">
        <v>46062</v>
      </c>
      <c r="C244" s="85" t="s">
        <v>49</v>
      </c>
      <c r="D244" s="85" t="s">
        <v>26</v>
      </c>
      <c r="E244" s="85" t="s">
        <v>27</v>
      </c>
      <c r="F244" s="85" t="s">
        <v>28</v>
      </c>
      <c r="G244" s="85" t="s">
        <v>849</v>
      </c>
      <c r="H244" s="85" t="s">
        <v>850</v>
      </c>
      <c r="I244" s="85"/>
      <c r="J244" s="88" t="s">
        <v>851</v>
      </c>
      <c r="K244" s="92" t="s">
        <v>49</v>
      </c>
      <c r="L244" s="85"/>
      <c r="M244" s="85" t="s">
        <v>852</v>
      </c>
      <c r="N244" s="90" t="s">
        <v>34</v>
      </c>
      <c r="O244" s="85"/>
      <c r="P244" s="82"/>
    </row>
    <row r="245" hidden="1" spans="1:16">
      <c r="A245" s="83">
        <v>244</v>
      </c>
      <c r="B245" s="98">
        <v>46063</v>
      </c>
      <c r="C245" s="85" t="s">
        <v>68</v>
      </c>
      <c r="D245" s="85" t="s">
        <v>26</v>
      </c>
      <c r="E245" s="85" t="s">
        <v>27</v>
      </c>
      <c r="F245" s="85" t="s">
        <v>28</v>
      </c>
      <c r="G245" s="85" t="s">
        <v>853</v>
      </c>
      <c r="H245" s="85" t="s">
        <v>854</v>
      </c>
      <c r="I245" s="85"/>
      <c r="J245" s="88" t="s">
        <v>855</v>
      </c>
      <c r="K245" s="89" t="s">
        <v>32</v>
      </c>
      <c r="L245" s="85"/>
      <c r="M245" s="85" t="s">
        <v>856</v>
      </c>
      <c r="N245" s="90" t="s">
        <v>34</v>
      </c>
      <c r="O245" s="85"/>
      <c r="P245" s="82"/>
    </row>
    <row r="246" hidden="1" spans="1:16">
      <c r="A246" s="83">
        <v>245</v>
      </c>
      <c r="B246" s="98">
        <v>46063</v>
      </c>
      <c r="C246" s="85" t="s">
        <v>68</v>
      </c>
      <c r="D246" s="85" t="s">
        <v>26</v>
      </c>
      <c r="E246" s="85" t="s">
        <v>27</v>
      </c>
      <c r="F246" s="85" t="s">
        <v>28</v>
      </c>
      <c r="G246" s="85" t="s">
        <v>857</v>
      </c>
      <c r="H246" s="85" t="s">
        <v>858</v>
      </c>
      <c r="I246" s="85"/>
      <c r="J246" s="88" t="s">
        <v>859</v>
      </c>
      <c r="K246" s="89" t="s">
        <v>32</v>
      </c>
      <c r="L246" s="85"/>
      <c r="M246" s="85" t="s">
        <v>856</v>
      </c>
      <c r="N246" s="90" t="s">
        <v>34</v>
      </c>
      <c r="O246" s="85"/>
      <c r="P246" s="82"/>
    </row>
    <row r="247" hidden="1" spans="1:16">
      <c r="A247" s="83">
        <v>246</v>
      </c>
      <c r="B247" s="98">
        <v>46063</v>
      </c>
      <c r="C247" s="85" t="s">
        <v>68</v>
      </c>
      <c r="D247" s="85" t="s">
        <v>26</v>
      </c>
      <c r="E247" s="85" t="s">
        <v>27</v>
      </c>
      <c r="F247" s="85" t="s">
        <v>28</v>
      </c>
      <c r="G247" s="85" t="s">
        <v>860</v>
      </c>
      <c r="H247" s="85" t="s">
        <v>861</v>
      </c>
      <c r="I247" s="85"/>
      <c r="J247" s="88" t="s">
        <v>859</v>
      </c>
      <c r="K247" s="89" t="s">
        <v>32</v>
      </c>
      <c r="L247" s="85"/>
      <c r="M247" s="85" t="s">
        <v>856</v>
      </c>
      <c r="N247" s="90" t="s">
        <v>34</v>
      </c>
      <c r="O247" s="85"/>
      <c r="P247" s="82"/>
    </row>
    <row r="248" hidden="1" spans="1:16">
      <c r="A248" s="83">
        <v>247</v>
      </c>
      <c r="B248" s="98">
        <v>46063</v>
      </c>
      <c r="C248" s="85" t="s">
        <v>68</v>
      </c>
      <c r="D248" s="85" t="s">
        <v>26</v>
      </c>
      <c r="E248" s="85" t="s">
        <v>27</v>
      </c>
      <c r="F248" s="85" t="s">
        <v>28</v>
      </c>
      <c r="G248" s="85" t="s">
        <v>862</v>
      </c>
      <c r="H248" s="85" t="s">
        <v>863</v>
      </c>
      <c r="I248" s="85"/>
      <c r="J248" s="88" t="s">
        <v>864</v>
      </c>
      <c r="K248" s="89" t="s">
        <v>32</v>
      </c>
      <c r="L248" s="85"/>
      <c r="M248" s="85" t="s">
        <v>856</v>
      </c>
      <c r="N248" s="90" t="s">
        <v>34</v>
      </c>
      <c r="O248" s="85"/>
      <c r="P248" s="82"/>
    </row>
    <row r="249" hidden="1" spans="1:16">
      <c r="A249" s="83">
        <v>248</v>
      </c>
      <c r="B249" s="98">
        <v>46063</v>
      </c>
      <c r="C249" s="85" t="s">
        <v>68</v>
      </c>
      <c r="D249" s="85" t="s">
        <v>26</v>
      </c>
      <c r="E249" s="85" t="s">
        <v>27</v>
      </c>
      <c r="F249" s="85" t="s">
        <v>28</v>
      </c>
      <c r="G249" s="85" t="s">
        <v>865</v>
      </c>
      <c r="H249" s="85" t="s">
        <v>866</v>
      </c>
      <c r="I249" s="85"/>
      <c r="J249" s="88" t="s">
        <v>867</v>
      </c>
      <c r="K249" s="89" t="s">
        <v>32</v>
      </c>
      <c r="L249" s="85"/>
      <c r="M249" s="85" t="s">
        <v>856</v>
      </c>
      <c r="N249" s="90" t="s">
        <v>34</v>
      </c>
      <c r="O249" s="85"/>
      <c r="P249" s="82"/>
    </row>
    <row r="250" ht="33" hidden="1" spans="1:16">
      <c r="A250" s="83">
        <v>249</v>
      </c>
      <c r="B250" s="98">
        <v>46063</v>
      </c>
      <c r="C250" s="85" t="s">
        <v>25</v>
      </c>
      <c r="D250" s="85" t="s">
        <v>26</v>
      </c>
      <c r="E250" s="85" t="s">
        <v>27</v>
      </c>
      <c r="F250" s="85" t="s">
        <v>28</v>
      </c>
      <c r="G250" s="85" t="s">
        <v>868</v>
      </c>
      <c r="H250" s="85" t="s">
        <v>869</v>
      </c>
      <c r="I250" s="85"/>
      <c r="J250" s="88" t="s">
        <v>870</v>
      </c>
      <c r="K250" s="92" t="s">
        <v>92</v>
      </c>
      <c r="L250" s="85"/>
      <c r="M250" s="88" t="s">
        <v>871</v>
      </c>
      <c r="N250" s="90" t="s">
        <v>34</v>
      </c>
      <c r="O250" s="85"/>
      <c r="P250" s="82"/>
    </row>
    <row r="251" ht="49.5" hidden="1" spans="1:16">
      <c r="A251" s="83">
        <v>250</v>
      </c>
      <c r="B251" s="98">
        <v>46063</v>
      </c>
      <c r="C251" s="85" t="s">
        <v>25</v>
      </c>
      <c r="D251" s="85" t="s">
        <v>26</v>
      </c>
      <c r="E251" s="85" t="s">
        <v>27</v>
      </c>
      <c r="F251" s="85" t="s">
        <v>28</v>
      </c>
      <c r="G251" s="85" t="s">
        <v>872</v>
      </c>
      <c r="H251" s="85" t="s">
        <v>873</v>
      </c>
      <c r="I251" s="85"/>
      <c r="J251" s="88" t="s">
        <v>870</v>
      </c>
      <c r="K251" s="92" t="s">
        <v>92</v>
      </c>
      <c r="L251" s="85"/>
      <c r="M251" s="88" t="s">
        <v>874</v>
      </c>
      <c r="N251" s="90" t="s">
        <v>34</v>
      </c>
      <c r="O251" s="85"/>
      <c r="P251" s="82"/>
    </row>
    <row r="252" hidden="1" spans="1:16">
      <c r="A252" s="83">
        <v>251</v>
      </c>
      <c r="B252" s="98">
        <v>46063</v>
      </c>
      <c r="C252" s="85" t="s">
        <v>49</v>
      </c>
      <c r="D252" s="85" t="s">
        <v>26</v>
      </c>
      <c r="E252" s="85" t="s">
        <v>27</v>
      </c>
      <c r="F252" s="85" t="s">
        <v>28</v>
      </c>
      <c r="G252" s="85" t="s">
        <v>875</v>
      </c>
      <c r="H252" s="85" t="s">
        <v>876</v>
      </c>
      <c r="I252" s="85"/>
      <c r="J252" s="88" t="s">
        <v>877</v>
      </c>
      <c r="K252" s="92" t="s">
        <v>49</v>
      </c>
      <c r="L252" s="85"/>
      <c r="M252" s="88" t="s">
        <v>878</v>
      </c>
      <c r="N252" s="90" t="s">
        <v>34</v>
      </c>
      <c r="O252" s="85"/>
      <c r="P252" s="82"/>
    </row>
    <row r="253" ht="33" hidden="1" spans="1:16">
      <c r="A253" s="83">
        <v>252</v>
      </c>
      <c r="B253" s="98">
        <v>46063</v>
      </c>
      <c r="C253" s="85" t="s">
        <v>49</v>
      </c>
      <c r="D253" s="85" t="s">
        <v>153</v>
      </c>
      <c r="E253" s="85" t="s">
        <v>411</v>
      </c>
      <c r="F253" s="85" t="s">
        <v>28</v>
      </c>
      <c r="G253" s="85" t="s">
        <v>879</v>
      </c>
      <c r="H253" s="85" t="s">
        <v>880</v>
      </c>
      <c r="I253" s="85"/>
      <c r="J253" s="88" t="s">
        <v>877</v>
      </c>
      <c r="K253" s="92" t="s">
        <v>49</v>
      </c>
      <c r="L253" s="85"/>
      <c r="M253" s="88" t="s">
        <v>881</v>
      </c>
      <c r="N253" s="90" t="s">
        <v>34</v>
      </c>
      <c r="O253" s="85"/>
      <c r="P253" s="82"/>
    </row>
    <row r="254" ht="49.5" hidden="1" spans="1:16">
      <c r="A254" s="83">
        <v>253</v>
      </c>
      <c r="B254" s="98">
        <v>46063</v>
      </c>
      <c r="C254" s="85" t="s">
        <v>25</v>
      </c>
      <c r="D254" s="85" t="s">
        <v>26</v>
      </c>
      <c r="E254" s="85" t="s">
        <v>35</v>
      </c>
      <c r="F254" s="85" t="s">
        <v>28</v>
      </c>
      <c r="G254" s="85" t="s">
        <v>882</v>
      </c>
      <c r="H254" s="85" t="s">
        <v>883</v>
      </c>
      <c r="I254" s="85"/>
      <c r="J254" s="88" t="s">
        <v>884</v>
      </c>
      <c r="K254" s="92" t="s">
        <v>24</v>
      </c>
      <c r="L254" s="85"/>
      <c r="M254" s="88" t="s">
        <v>885</v>
      </c>
      <c r="N254" s="90" t="s">
        <v>34</v>
      </c>
      <c r="O254" s="85" t="s">
        <v>680</v>
      </c>
      <c r="P254" s="82"/>
    </row>
    <row r="255" ht="33" hidden="1" spans="1:16">
      <c r="A255" s="83">
        <v>254</v>
      </c>
      <c r="B255" s="98">
        <v>46063</v>
      </c>
      <c r="C255" s="85" t="s">
        <v>49</v>
      </c>
      <c r="D255" s="85" t="s">
        <v>26</v>
      </c>
      <c r="E255" s="85" t="s">
        <v>35</v>
      </c>
      <c r="F255" s="85" t="s">
        <v>28</v>
      </c>
      <c r="G255" s="85" t="s">
        <v>886</v>
      </c>
      <c r="H255" s="85" t="s">
        <v>887</v>
      </c>
      <c r="I255" s="85"/>
      <c r="J255" s="88" t="s">
        <v>877</v>
      </c>
      <c r="K255" s="92" t="s">
        <v>49</v>
      </c>
      <c r="L255" s="85"/>
      <c r="M255" s="88" t="s">
        <v>888</v>
      </c>
      <c r="N255" s="90" t="s">
        <v>34</v>
      </c>
      <c r="O255" s="85"/>
      <c r="P255" s="82"/>
    </row>
    <row r="256" hidden="1" spans="1:16">
      <c r="A256" s="83">
        <v>255</v>
      </c>
      <c r="B256" s="98">
        <v>46064</v>
      </c>
      <c r="C256" s="85" t="s">
        <v>68</v>
      </c>
      <c r="D256" s="85" t="s">
        <v>26</v>
      </c>
      <c r="E256" s="85" t="s">
        <v>660</v>
      </c>
      <c r="F256" s="85" t="s">
        <v>28</v>
      </c>
      <c r="G256" s="85" t="s">
        <v>889</v>
      </c>
      <c r="H256" s="85" t="s">
        <v>890</v>
      </c>
      <c r="I256" s="85"/>
      <c r="J256" s="88" t="s">
        <v>891</v>
      </c>
      <c r="K256" s="89" t="s">
        <v>32</v>
      </c>
      <c r="L256" s="85"/>
      <c r="M256" s="85" t="s">
        <v>892</v>
      </c>
      <c r="N256" s="90" t="s">
        <v>34</v>
      </c>
      <c r="O256" s="85"/>
      <c r="P256" s="82"/>
    </row>
    <row r="257" hidden="1" spans="1:16">
      <c r="A257" s="83">
        <v>256</v>
      </c>
      <c r="B257" s="98">
        <v>46064</v>
      </c>
      <c r="C257" s="85" t="s">
        <v>68</v>
      </c>
      <c r="D257" s="85" t="s">
        <v>26</v>
      </c>
      <c r="E257" s="85" t="s">
        <v>27</v>
      </c>
      <c r="F257" s="85" t="s">
        <v>28</v>
      </c>
      <c r="G257" s="85" t="s">
        <v>893</v>
      </c>
      <c r="H257" s="85" t="s">
        <v>894</v>
      </c>
      <c r="I257" s="85"/>
      <c r="J257" s="88" t="s">
        <v>891</v>
      </c>
      <c r="K257" s="89" t="s">
        <v>32</v>
      </c>
      <c r="L257" s="85"/>
      <c r="M257" s="85" t="s">
        <v>892</v>
      </c>
      <c r="N257" s="90" t="s">
        <v>34</v>
      </c>
      <c r="O257" s="85"/>
      <c r="P257" s="82"/>
    </row>
    <row r="258" hidden="1" spans="1:16">
      <c r="A258" s="83">
        <v>257</v>
      </c>
      <c r="B258" s="98">
        <v>46064</v>
      </c>
      <c r="C258" s="85" t="s">
        <v>68</v>
      </c>
      <c r="D258" s="85" t="s">
        <v>26</v>
      </c>
      <c r="E258" s="85" t="s">
        <v>27</v>
      </c>
      <c r="F258" s="85" t="s">
        <v>28</v>
      </c>
      <c r="G258" s="85" t="s">
        <v>895</v>
      </c>
      <c r="H258" s="85" t="s">
        <v>896</v>
      </c>
      <c r="I258" s="85"/>
      <c r="J258" s="88" t="s">
        <v>897</v>
      </c>
      <c r="K258" s="89" t="s">
        <v>32</v>
      </c>
      <c r="L258" s="85"/>
      <c r="M258" s="85" t="s">
        <v>892</v>
      </c>
      <c r="N258" s="90" t="s">
        <v>34</v>
      </c>
      <c r="O258" s="85"/>
      <c r="P258" s="82"/>
    </row>
    <row r="259" hidden="1" spans="1:16">
      <c r="A259" s="83">
        <v>258</v>
      </c>
      <c r="B259" s="98">
        <v>46064</v>
      </c>
      <c r="C259" s="85" t="s">
        <v>68</v>
      </c>
      <c r="D259" s="85" t="s">
        <v>26</v>
      </c>
      <c r="E259" s="85" t="s">
        <v>27</v>
      </c>
      <c r="F259" s="85" t="s">
        <v>28</v>
      </c>
      <c r="G259" s="85" t="s">
        <v>898</v>
      </c>
      <c r="H259" s="85" t="s">
        <v>899</v>
      </c>
      <c r="I259" s="85"/>
      <c r="J259" s="88" t="s">
        <v>900</v>
      </c>
      <c r="K259" s="89" t="s">
        <v>32</v>
      </c>
      <c r="L259" s="85"/>
      <c r="M259" s="85" t="s">
        <v>892</v>
      </c>
      <c r="N259" s="90" t="s">
        <v>34</v>
      </c>
      <c r="O259" s="85"/>
      <c r="P259" s="82"/>
    </row>
    <row r="260" hidden="1" spans="1:16">
      <c r="A260" s="83">
        <v>259</v>
      </c>
      <c r="B260" s="98">
        <v>46064</v>
      </c>
      <c r="C260" s="85" t="s">
        <v>68</v>
      </c>
      <c r="D260" s="85" t="s">
        <v>26</v>
      </c>
      <c r="E260" s="85" t="s">
        <v>27</v>
      </c>
      <c r="F260" s="85" t="s">
        <v>28</v>
      </c>
      <c r="G260" s="85" t="s">
        <v>901</v>
      </c>
      <c r="H260" s="85" t="s">
        <v>902</v>
      </c>
      <c r="I260" s="85"/>
      <c r="J260" s="88" t="s">
        <v>900</v>
      </c>
      <c r="K260" s="89" t="s">
        <v>32</v>
      </c>
      <c r="L260" s="85"/>
      <c r="M260" s="85" t="s">
        <v>892</v>
      </c>
      <c r="N260" s="90" t="s">
        <v>34</v>
      </c>
      <c r="O260" s="85"/>
      <c r="P260" s="82"/>
    </row>
    <row r="261" ht="33" hidden="1" spans="1:16">
      <c r="A261" s="83">
        <v>260</v>
      </c>
      <c r="B261" s="98">
        <v>46064</v>
      </c>
      <c r="C261" s="85" t="s">
        <v>49</v>
      </c>
      <c r="D261" s="85" t="s">
        <v>153</v>
      </c>
      <c r="E261" s="85" t="s">
        <v>154</v>
      </c>
      <c r="F261" s="85" t="s">
        <v>28</v>
      </c>
      <c r="G261" s="85" t="s">
        <v>903</v>
      </c>
      <c r="H261" s="85" t="s">
        <v>904</v>
      </c>
      <c r="I261" s="85"/>
      <c r="J261" s="88" t="s">
        <v>905</v>
      </c>
      <c r="K261" s="92" t="s">
        <v>49</v>
      </c>
      <c r="L261" s="85"/>
      <c r="M261" s="88" t="s">
        <v>906</v>
      </c>
      <c r="N261" s="90" t="s">
        <v>34</v>
      </c>
      <c r="O261" s="85"/>
      <c r="P261" s="82"/>
    </row>
    <row r="262" ht="33" hidden="1" spans="1:16">
      <c r="A262" s="83">
        <v>261</v>
      </c>
      <c r="B262" s="98">
        <v>46064</v>
      </c>
      <c r="C262" s="85" t="s">
        <v>68</v>
      </c>
      <c r="D262" s="85" t="s">
        <v>26</v>
      </c>
      <c r="E262" s="85" t="s">
        <v>35</v>
      </c>
      <c r="F262" s="85" t="s">
        <v>28</v>
      </c>
      <c r="G262" s="85" t="s">
        <v>907</v>
      </c>
      <c r="H262" s="85" t="s">
        <v>908</v>
      </c>
      <c r="I262" s="85"/>
      <c r="J262" s="88" t="s">
        <v>909</v>
      </c>
      <c r="K262" s="89" t="s">
        <v>32</v>
      </c>
      <c r="L262" s="85"/>
      <c r="M262" s="88" t="s">
        <v>910</v>
      </c>
      <c r="N262" s="90" t="s">
        <v>34</v>
      </c>
      <c r="O262" s="85"/>
      <c r="P262" s="82"/>
    </row>
    <row r="263" ht="33" hidden="1" spans="1:16">
      <c r="A263" s="83">
        <v>262</v>
      </c>
      <c r="B263" s="98">
        <v>46064</v>
      </c>
      <c r="C263" s="85" t="s">
        <v>68</v>
      </c>
      <c r="D263" s="85" t="s">
        <v>26</v>
      </c>
      <c r="E263" s="85" t="s">
        <v>35</v>
      </c>
      <c r="F263" s="85" t="s">
        <v>28</v>
      </c>
      <c r="G263" s="85" t="s">
        <v>911</v>
      </c>
      <c r="H263" s="85" t="s">
        <v>912</v>
      </c>
      <c r="I263" s="85"/>
      <c r="J263" s="88" t="s">
        <v>909</v>
      </c>
      <c r="K263" s="89" t="s">
        <v>32</v>
      </c>
      <c r="L263" s="85"/>
      <c r="M263" s="88" t="s">
        <v>910</v>
      </c>
      <c r="N263" s="90" t="s">
        <v>34</v>
      </c>
      <c r="O263" s="85"/>
      <c r="P263" s="82"/>
    </row>
    <row r="264" ht="33" hidden="1" spans="1:16">
      <c r="A264" s="83">
        <v>263</v>
      </c>
      <c r="B264" s="98">
        <v>46064</v>
      </c>
      <c r="C264" s="85" t="s">
        <v>68</v>
      </c>
      <c r="D264" s="85" t="s">
        <v>26</v>
      </c>
      <c r="E264" s="85" t="s">
        <v>35</v>
      </c>
      <c r="F264" s="85" t="s">
        <v>28</v>
      </c>
      <c r="G264" s="85" t="s">
        <v>913</v>
      </c>
      <c r="H264" s="85" t="s">
        <v>914</v>
      </c>
      <c r="I264" s="85"/>
      <c r="J264" s="88" t="s">
        <v>909</v>
      </c>
      <c r="K264" s="89" t="s">
        <v>32</v>
      </c>
      <c r="L264" s="85"/>
      <c r="M264" s="88" t="s">
        <v>910</v>
      </c>
      <c r="N264" s="90" t="s">
        <v>34</v>
      </c>
      <c r="O264" s="85"/>
      <c r="P264" s="82"/>
    </row>
    <row r="265" ht="33" hidden="1" spans="1:16">
      <c r="A265" s="83">
        <v>264</v>
      </c>
      <c r="B265" s="98">
        <v>46064</v>
      </c>
      <c r="C265" s="85" t="s">
        <v>25</v>
      </c>
      <c r="D265" s="85" t="s">
        <v>40</v>
      </c>
      <c r="E265" s="85" t="s">
        <v>41</v>
      </c>
      <c r="F265" s="85" t="s">
        <v>28</v>
      </c>
      <c r="G265" s="85" t="s">
        <v>915</v>
      </c>
      <c r="H265" s="85" t="s">
        <v>916</v>
      </c>
      <c r="I265" s="85"/>
      <c r="J265" s="88" t="s">
        <v>917</v>
      </c>
      <c r="K265" s="92" t="s">
        <v>355</v>
      </c>
      <c r="L265" s="85"/>
      <c r="M265" s="88" t="s">
        <v>918</v>
      </c>
      <c r="N265" s="90" t="s">
        <v>34</v>
      </c>
      <c r="O265" s="85"/>
      <c r="P265" s="82"/>
    </row>
    <row r="266" ht="33" hidden="1" spans="1:16">
      <c r="A266" s="83">
        <v>265</v>
      </c>
      <c r="B266" s="98">
        <v>46064</v>
      </c>
      <c r="C266" s="85" t="s">
        <v>49</v>
      </c>
      <c r="D266" s="85" t="s">
        <v>26</v>
      </c>
      <c r="E266" s="85" t="s">
        <v>27</v>
      </c>
      <c r="F266" s="85" t="s">
        <v>28</v>
      </c>
      <c r="G266" s="85" t="s">
        <v>919</v>
      </c>
      <c r="H266" s="85" t="s">
        <v>920</v>
      </c>
      <c r="I266" s="85"/>
      <c r="J266" s="88" t="s">
        <v>905</v>
      </c>
      <c r="K266" s="92" t="s">
        <v>49</v>
      </c>
      <c r="L266" s="85"/>
      <c r="M266" s="88" t="s">
        <v>921</v>
      </c>
      <c r="N266" s="90" t="s">
        <v>34</v>
      </c>
      <c r="O266" s="85"/>
      <c r="P266" s="82"/>
    </row>
    <row r="267" hidden="1" spans="1:16">
      <c r="A267" s="83">
        <v>266</v>
      </c>
      <c r="B267" s="98">
        <v>46064</v>
      </c>
      <c r="C267" s="85" t="s">
        <v>25</v>
      </c>
      <c r="D267" s="85" t="s">
        <v>40</v>
      </c>
      <c r="E267" s="85" t="s">
        <v>41</v>
      </c>
      <c r="F267" s="85" t="s">
        <v>28</v>
      </c>
      <c r="G267" s="85" t="s">
        <v>922</v>
      </c>
      <c r="H267" s="85" t="s">
        <v>923</v>
      </c>
      <c r="I267" s="85"/>
      <c r="J267" s="88" t="s">
        <v>924</v>
      </c>
      <c r="K267" s="92" t="s">
        <v>355</v>
      </c>
      <c r="L267" s="85"/>
      <c r="M267" s="85" t="s">
        <v>925</v>
      </c>
      <c r="N267" s="90" t="s">
        <v>34</v>
      </c>
      <c r="O267" s="85"/>
      <c r="P267" s="82"/>
    </row>
    <row r="268" ht="49.5" hidden="1" spans="1:16">
      <c r="A268" s="83">
        <v>267</v>
      </c>
      <c r="B268" s="98">
        <v>46064</v>
      </c>
      <c r="C268" s="85" t="s">
        <v>25</v>
      </c>
      <c r="D268" s="85" t="s">
        <v>40</v>
      </c>
      <c r="E268" s="85" t="s">
        <v>41</v>
      </c>
      <c r="F268" s="85" t="s">
        <v>28</v>
      </c>
      <c r="G268" s="85" t="s">
        <v>926</v>
      </c>
      <c r="H268" s="85" t="s">
        <v>927</v>
      </c>
      <c r="I268" s="85"/>
      <c r="J268" s="88" t="s">
        <v>928</v>
      </c>
      <c r="K268" s="92" t="s">
        <v>355</v>
      </c>
      <c r="L268" s="85"/>
      <c r="M268" s="88" t="s">
        <v>929</v>
      </c>
      <c r="N268" s="90" t="s">
        <v>34</v>
      </c>
      <c r="O268" s="85"/>
      <c r="P268" s="82"/>
    </row>
    <row r="269" ht="33" hidden="1" spans="1:16">
      <c r="A269" s="83">
        <v>268</v>
      </c>
      <c r="B269" s="98">
        <v>46065</v>
      </c>
      <c r="C269" s="85" t="s">
        <v>68</v>
      </c>
      <c r="D269" s="85" t="s">
        <v>40</v>
      </c>
      <c r="E269" s="85" t="s">
        <v>41</v>
      </c>
      <c r="F269" s="85" t="s">
        <v>28</v>
      </c>
      <c r="G269" s="85" t="s">
        <v>930</v>
      </c>
      <c r="H269" s="85" t="s">
        <v>931</v>
      </c>
      <c r="I269" s="85"/>
      <c r="J269" s="88" t="s">
        <v>932</v>
      </c>
      <c r="K269" s="92" t="s">
        <v>24</v>
      </c>
      <c r="L269" s="85"/>
      <c r="M269" s="88" t="s">
        <v>933</v>
      </c>
      <c r="N269" s="90" t="s">
        <v>34</v>
      </c>
      <c r="O269" s="85" t="s">
        <v>680</v>
      </c>
      <c r="P269" s="82"/>
    </row>
    <row r="270" ht="33" hidden="1" spans="1:16">
      <c r="A270" s="83">
        <v>269</v>
      </c>
      <c r="B270" s="98">
        <v>46065</v>
      </c>
      <c r="C270" s="85" t="s">
        <v>68</v>
      </c>
      <c r="D270" s="85" t="s">
        <v>26</v>
      </c>
      <c r="E270" s="85" t="s">
        <v>27</v>
      </c>
      <c r="F270" s="85" t="s">
        <v>28</v>
      </c>
      <c r="G270" s="85" t="s">
        <v>934</v>
      </c>
      <c r="H270" s="85" t="s">
        <v>935</v>
      </c>
      <c r="I270" s="85"/>
      <c r="J270" s="88" t="s">
        <v>936</v>
      </c>
      <c r="K270" s="92" t="s">
        <v>32</v>
      </c>
      <c r="L270" s="85"/>
      <c r="M270" s="88" t="s">
        <v>937</v>
      </c>
      <c r="N270" s="90" t="s">
        <v>34</v>
      </c>
      <c r="O270" s="85"/>
      <c r="P270" s="82"/>
    </row>
    <row r="271" ht="33" hidden="1" spans="1:16">
      <c r="A271" s="83">
        <v>270</v>
      </c>
      <c r="B271" s="98">
        <v>46065</v>
      </c>
      <c r="C271" s="85" t="s">
        <v>68</v>
      </c>
      <c r="D271" s="85" t="s">
        <v>26</v>
      </c>
      <c r="E271" s="85" t="s">
        <v>27</v>
      </c>
      <c r="F271" s="85" t="s">
        <v>28</v>
      </c>
      <c r="G271" s="85" t="s">
        <v>938</v>
      </c>
      <c r="H271" s="85" t="s">
        <v>939</v>
      </c>
      <c r="I271" s="85"/>
      <c r="J271" s="88" t="s">
        <v>936</v>
      </c>
      <c r="K271" s="92" t="s">
        <v>32</v>
      </c>
      <c r="L271" s="85"/>
      <c r="M271" s="88" t="s">
        <v>937</v>
      </c>
      <c r="N271" s="90" t="s">
        <v>34</v>
      </c>
      <c r="O271" s="85"/>
      <c r="P271" s="82"/>
    </row>
    <row r="272" ht="33" hidden="1" spans="1:16">
      <c r="A272" s="83">
        <v>271</v>
      </c>
      <c r="B272" s="98">
        <v>46065</v>
      </c>
      <c r="C272" s="85" t="s">
        <v>68</v>
      </c>
      <c r="D272" s="85" t="s">
        <v>26</v>
      </c>
      <c r="E272" s="85" t="s">
        <v>27</v>
      </c>
      <c r="F272" s="85" t="s">
        <v>28</v>
      </c>
      <c r="G272" s="97" t="s">
        <v>940</v>
      </c>
      <c r="H272" s="85" t="s">
        <v>941</v>
      </c>
      <c r="I272" s="85"/>
      <c r="J272" s="88" t="s">
        <v>936</v>
      </c>
      <c r="K272" s="92" t="s">
        <v>32</v>
      </c>
      <c r="L272" s="85"/>
      <c r="M272" s="88" t="s">
        <v>937</v>
      </c>
      <c r="N272" s="90" t="s">
        <v>34</v>
      </c>
      <c r="O272" s="85"/>
      <c r="P272" s="82"/>
    </row>
    <row r="273" hidden="1" spans="1:16">
      <c r="A273" s="83">
        <v>272</v>
      </c>
      <c r="B273" s="98">
        <v>46065</v>
      </c>
      <c r="C273" s="85" t="s">
        <v>68</v>
      </c>
      <c r="D273" s="85" t="s">
        <v>26</v>
      </c>
      <c r="E273" s="85" t="s">
        <v>27</v>
      </c>
      <c r="F273" s="85" t="s">
        <v>28</v>
      </c>
      <c r="G273" s="97" t="s">
        <v>942</v>
      </c>
      <c r="H273" s="85" t="s">
        <v>943</v>
      </c>
      <c r="I273" s="85"/>
      <c r="J273" s="88" t="s">
        <v>944</v>
      </c>
      <c r="K273" s="92" t="s">
        <v>32</v>
      </c>
      <c r="L273" s="85"/>
      <c r="M273" s="85" t="s">
        <v>945</v>
      </c>
      <c r="N273" s="90" t="s">
        <v>34</v>
      </c>
      <c r="O273" s="85"/>
      <c r="P273" s="82"/>
    </row>
    <row r="274" hidden="1" spans="1:16">
      <c r="A274" s="83">
        <v>273</v>
      </c>
      <c r="B274" s="98">
        <v>46065</v>
      </c>
      <c r="C274" s="85" t="s">
        <v>68</v>
      </c>
      <c r="D274" s="85" t="s">
        <v>26</v>
      </c>
      <c r="E274" s="85" t="s">
        <v>27</v>
      </c>
      <c r="F274" s="85" t="s">
        <v>28</v>
      </c>
      <c r="G274" s="97" t="s">
        <v>946</v>
      </c>
      <c r="H274" s="85" t="s">
        <v>947</v>
      </c>
      <c r="I274" s="85"/>
      <c r="J274" s="88" t="s">
        <v>948</v>
      </c>
      <c r="K274" s="92" t="s">
        <v>32</v>
      </c>
      <c r="L274" s="85"/>
      <c r="M274" s="85" t="s">
        <v>945</v>
      </c>
      <c r="N274" s="90" t="s">
        <v>34</v>
      </c>
      <c r="O274" s="85"/>
      <c r="P274" s="82"/>
    </row>
    <row r="275" ht="33" hidden="1" spans="1:16">
      <c r="A275" s="83">
        <v>274</v>
      </c>
      <c r="B275" s="98">
        <v>46065</v>
      </c>
      <c r="C275" s="85" t="s">
        <v>49</v>
      </c>
      <c r="D275" s="85" t="s">
        <v>26</v>
      </c>
      <c r="E275" s="85" t="s">
        <v>27</v>
      </c>
      <c r="F275" s="85" t="s">
        <v>28</v>
      </c>
      <c r="G275" s="97" t="s">
        <v>949</v>
      </c>
      <c r="H275" s="85" t="s">
        <v>950</v>
      </c>
      <c r="I275" s="85"/>
      <c r="J275" s="88" t="s">
        <v>951</v>
      </c>
      <c r="K275" s="92" t="s">
        <v>49</v>
      </c>
      <c r="L275" s="85"/>
      <c r="M275" s="88" t="s">
        <v>952</v>
      </c>
      <c r="N275" s="90" t="s">
        <v>34</v>
      </c>
      <c r="O275" s="85"/>
      <c r="P275" s="82"/>
    </row>
    <row r="276" hidden="1" spans="1:16">
      <c r="A276" s="83">
        <v>275</v>
      </c>
      <c r="B276" s="98">
        <v>46065</v>
      </c>
      <c r="C276" s="85" t="s">
        <v>49</v>
      </c>
      <c r="D276" s="85" t="s">
        <v>40</v>
      </c>
      <c r="E276" s="85" t="s">
        <v>41</v>
      </c>
      <c r="F276" s="85" t="s">
        <v>28</v>
      </c>
      <c r="G276" s="97" t="s">
        <v>953</v>
      </c>
      <c r="H276" s="85" t="s">
        <v>954</v>
      </c>
      <c r="I276" s="85"/>
      <c r="J276" s="88" t="s">
        <v>951</v>
      </c>
      <c r="K276" s="92" t="s">
        <v>49</v>
      </c>
      <c r="L276" s="85"/>
      <c r="M276" s="88" t="s">
        <v>955</v>
      </c>
      <c r="N276" s="90" t="s">
        <v>34</v>
      </c>
      <c r="O276" s="85"/>
      <c r="P276" s="82"/>
    </row>
    <row r="277" ht="33" hidden="1" spans="1:16">
      <c r="A277" s="83">
        <v>276</v>
      </c>
      <c r="B277" s="98">
        <v>46065</v>
      </c>
      <c r="C277" s="85" t="s">
        <v>49</v>
      </c>
      <c r="D277" s="85" t="s">
        <v>40</v>
      </c>
      <c r="E277" s="85" t="s">
        <v>41</v>
      </c>
      <c r="F277" s="85" t="s">
        <v>28</v>
      </c>
      <c r="G277" s="85" t="s">
        <v>956</v>
      </c>
      <c r="H277" s="85" t="s">
        <v>957</v>
      </c>
      <c r="I277" s="85"/>
      <c r="J277" s="88" t="s">
        <v>951</v>
      </c>
      <c r="K277" s="92" t="s">
        <v>49</v>
      </c>
      <c r="L277" s="85"/>
      <c r="M277" s="88" t="s">
        <v>958</v>
      </c>
      <c r="N277" s="90" t="s">
        <v>34</v>
      </c>
      <c r="O277" s="85"/>
      <c r="P277" s="82"/>
    </row>
    <row r="278" ht="33" hidden="1" spans="1:16">
      <c r="A278" s="83">
        <v>277</v>
      </c>
      <c r="B278" s="98">
        <v>46065</v>
      </c>
      <c r="C278" s="85" t="s">
        <v>49</v>
      </c>
      <c r="D278" s="85" t="s">
        <v>153</v>
      </c>
      <c r="E278" s="85" t="s">
        <v>154</v>
      </c>
      <c r="F278" s="85" t="s">
        <v>28</v>
      </c>
      <c r="G278" s="85" t="s">
        <v>959</v>
      </c>
      <c r="H278" s="85" t="s">
        <v>960</v>
      </c>
      <c r="I278" s="85"/>
      <c r="J278" s="88" t="s">
        <v>951</v>
      </c>
      <c r="K278" s="92" t="s">
        <v>49</v>
      </c>
      <c r="L278" s="85"/>
      <c r="M278" s="88" t="s">
        <v>952</v>
      </c>
      <c r="N278" s="90" t="s">
        <v>34</v>
      </c>
      <c r="O278" s="85"/>
      <c r="P278" s="82"/>
    </row>
    <row r="279" ht="33" hidden="1" spans="1:16">
      <c r="A279" s="83">
        <v>278</v>
      </c>
      <c r="B279" s="98">
        <v>46065</v>
      </c>
      <c r="C279" s="85" t="s">
        <v>25</v>
      </c>
      <c r="D279" s="85" t="s">
        <v>26</v>
      </c>
      <c r="E279" s="85" t="s">
        <v>35</v>
      </c>
      <c r="F279" s="85" t="s">
        <v>28</v>
      </c>
      <c r="G279" s="85" t="s">
        <v>961</v>
      </c>
      <c r="H279" s="85" t="s">
        <v>962</v>
      </c>
      <c r="I279" s="85"/>
      <c r="J279" s="88" t="s">
        <v>963</v>
      </c>
      <c r="K279" s="92" t="s">
        <v>355</v>
      </c>
      <c r="L279" s="85"/>
      <c r="M279" s="88" t="s">
        <v>964</v>
      </c>
      <c r="N279" s="90" t="s">
        <v>34</v>
      </c>
      <c r="O279" s="85"/>
      <c r="P279" s="82"/>
    </row>
    <row r="280" ht="33" hidden="1" spans="1:16">
      <c r="A280" s="83">
        <v>279</v>
      </c>
      <c r="B280" s="98">
        <v>46065</v>
      </c>
      <c r="C280" s="85" t="s">
        <v>49</v>
      </c>
      <c r="D280" s="85" t="s">
        <v>40</v>
      </c>
      <c r="E280" s="85" t="s">
        <v>41</v>
      </c>
      <c r="F280" s="85" t="s">
        <v>28</v>
      </c>
      <c r="G280" s="85" t="s">
        <v>965</v>
      </c>
      <c r="H280" s="85" t="s">
        <v>966</v>
      </c>
      <c r="I280" s="85"/>
      <c r="J280" s="88" t="s">
        <v>951</v>
      </c>
      <c r="K280" s="92" t="s">
        <v>49</v>
      </c>
      <c r="L280" s="85"/>
      <c r="M280" s="88" t="s">
        <v>958</v>
      </c>
      <c r="N280" s="90" t="s">
        <v>34</v>
      </c>
      <c r="O280" s="85"/>
      <c r="P280" s="82"/>
    </row>
    <row r="281" hidden="1" spans="1:16">
      <c r="A281" s="83">
        <v>280</v>
      </c>
      <c r="B281" s="98">
        <v>46065</v>
      </c>
      <c r="C281" s="85" t="s">
        <v>49</v>
      </c>
      <c r="D281" s="85" t="s">
        <v>26</v>
      </c>
      <c r="E281" s="85" t="s">
        <v>27</v>
      </c>
      <c r="F281" s="85" t="s">
        <v>28</v>
      </c>
      <c r="G281" s="85" t="s">
        <v>967</v>
      </c>
      <c r="H281" s="85" t="s">
        <v>968</v>
      </c>
      <c r="I281" s="85"/>
      <c r="J281" s="88" t="s">
        <v>951</v>
      </c>
      <c r="K281" s="92" t="s">
        <v>49</v>
      </c>
      <c r="L281" s="85"/>
      <c r="M281" s="88" t="s">
        <v>955</v>
      </c>
      <c r="N281" s="90" t="s">
        <v>34</v>
      </c>
      <c r="O281" s="85"/>
      <c r="P281" s="82"/>
    </row>
    <row r="282" hidden="1" spans="1:16">
      <c r="A282" s="83">
        <v>281</v>
      </c>
      <c r="B282" s="98">
        <v>46066</v>
      </c>
      <c r="C282" s="85" t="s">
        <v>68</v>
      </c>
      <c r="D282" s="85" t="s">
        <v>40</v>
      </c>
      <c r="E282" s="85" t="s">
        <v>41</v>
      </c>
      <c r="F282" s="85" t="s">
        <v>28</v>
      </c>
      <c r="G282" s="82" t="s">
        <v>969</v>
      </c>
      <c r="H282" s="85" t="s">
        <v>970</v>
      </c>
      <c r="I282" s="85"/>
      <c r="J282" s="88" t="s">
        <v>971</v>
      </c>
      <c r="K282" s="89" t="s">
        <v>32</v>
      </c>
      <c r="L282" s="85"/>
      <c r="M282" s="88" t="s">
        <v>972</v>
      </c>
      <c r="N282" s="90" t="s">
        <v>34</v>
      </c>
      <c r="O282" s="85"/>
      <c r="P282" s="82"/>
    </row>
    <row r="283" hidden="1" spans="1:16">
      <c r="A283" s="83">
        <v>282</v>
      </c>
      <c r="B283" s="98">
        <v>46066</v>
      </c>
      <c r="C283" s="85" t="s">
        <v>68</v>
      </c>
      <c r="D283" s="85" t="s">
        <v>40</v>
      </c>
      <c r="E283" s="85" t="s">
        <v>41</v>
      </c>
      <c r="F283" s="85" t="s">
        <v>28</v>
      </c>
      <c r="G283" s="85" t="s">
        <v>973</v>
      </c>
      <c r="H283" s="85" t="s">
        <v>974</v>
      </c>
      <c r="I283" s="85"/>
      <c r="J283" s="88" t="s">
        <v>971</v>
      </c>
      <c r="K283" s="89" t="s">
        <v>32</v>
      </c>
      <c r="L283" s="85"/>
      <c r="M283" s="88" t="s">
        <v>972</v>
      </c>
      <c r="N283" s="90" t="s">
        <v>34</v>
      </c>
      <c r="O283" s="85"/>
      <c r="P283" s="82"/>
    </row>
    <row r="284" hidden="1" spans="1:16">
      <c r="A284" s="83">
        <v>283</v>
      </c>
      <c r="B284" s="98">
        <v>46066</v>
      </c>
      <c r="C284" s="85" t="s">
        <v>68</v>
      </c>
      <c r="D284" s="85" t="s">
        <v>40</v>
      </c>
      <c r="E284" s="85" t="s">
        <v>41</v>
      </c>
      <c r="F284" s="85" t="s">
        <v>28</v>
      </c>
      <c r="G284" s="85" t="s">
        <v>975</v>
      </c>
      <c r="H284" s="85" t="s">
        <v>976</v>
      </c>
      <c r="I284" s="85"/>
      <c r="J284" s="88" t="s">
        <v>971</v>
      </c>
      <c r="K284" s="89" t="s">
        <v>32</v>
      </c>
      <c r="L284" s="85"/>
      <c r="M284" s="88" t="s">
        <v>972</v>
      </c>
      <c r="N284" s="90" t="s">
        <v>34</v>
      </c>
      <c r="O284" s="85"/>
      <c r="P284" s="82"/>
    </row>
    <row r="285" hidden="1" spans="1:16">
      <c r="A285" s="83">
        <v>284</v>
      </c>
      <c r="B285" s="98">
        <v>46066</v>
      </c>
      <c r="C285" s="85" t="s">
        <v>68</v>
      </c>
      <c r="D285" s="85" t="s">
        <v>40</v>
      </c>
      <c r="E285" s="85" t="s">
        <v>41</v>
      </c>
      <c r="F285" s="85" t="s">
        <v>28</v>
      </c>
      <c r="G285" s="85" t="s">
        <v>977</v>
      </c>
      <c r="H285" s="85" t="s">
        <v>978</v>
      </c>
      <c r="I285" s="85"/>
      <c r="J285" s="88" t="s">
        <v>971</v>
      </c>
      <c r="K285" s="89" t="s">
        <v>32</v>
      </c>
      <c r="L285" s="85"/>
      <c r="M285" s="88" t="s">
        <v>972</v>
      </c>
      <c r="N285" s="90" t="s">
        <v>34</v>
      </c>
      <c r="O285" s="85"/>
      <c r="P285" s="82"/>
    </row>
    <row r="286" hidden="1" spans="1:16">
      <c r="A286" s="83">
        <v>285</v>
      </c>
      <c r="B286" s="98">
        <v>46066</v>
      </c>
      <c r="C286" s="85" t="s">
        <v>68</v>
      </c>
      <c r="D286" s="85" t="s">
        <v>40</v>
      </c>
      <c r="E286" s="85" t="s">
        <v>41</v>
      </c>
      <c r="F286" s="85" t="s">
        <v>28</v>
      </c>
      <c r="G286" s="85" t="s">
        <v>979</v>
      </c>
      <c r="H286" s="85" t="s">
        <v>980</v>
      </c>
      <c r="I286" s="85"/>
      <c r="J286" s="88" t="s">
        <v>971</v>
      </c>
      <c r="K286" s="89" t="s">
        <v>32</v>
      </c>
      <c r="L286" s="85"/>
      <c r="M286" s="88" t="s">
        <v>972</v>
      </c>
      <c r="N286" s="90" t="s">
        <v>34</v>
      </c>
      <c r="O286" s="85"/>
      <c r="P286" s="82"/>
    </row>
    <row r="287" hidden="1" spans="1:16">
      <c r="A287" s="83">
        <v>286</v>
      </c>
      <c r="B287" s="98">
        <v>46066</v>
      </c>
      <c r="C287" s="85" t="s">
        <v>68</v>
      </c>
      <c r="D287" s="85" t="s">
        <v>40</v>
      </c>
      <c r="E287" s="85" t="s">
        <v>41</v>
      </c>
      <c r="F287" s="85" t="s">
        <v>28</v>
      </c>
      <c r="G287" s="85" t="s">
        <v>981</v>
      </c>
      <c r="H287" s="85" t="s">
        <v>982</v>
      </c>
      <c r="I287" s="85"/>
      <c r="J287" s="88" t="s">
        <v>971</v>
      </c>
      <c r="K287" s="89" t="s">
        <v>32</v>
      </c>
      <c r="L287" s="85"/>
      <c r="M287" s="88" t="s">
        <v>972</v>
      </c>
      <c r="N287" s="90" t="s">
        <v>34</v>
      </c>
      <c r="O287" s="85"/>
      <c r="P287" s="82"/>
    </row>
    <row r="288" hidden="1" spans="1:16">
      <c r="A288" s="83">
        <v>287</v>
      </c>
      <c r="B288" s="98">
        <v>46066</v>
      </c>
      <c r="C288" s="85" t="s">
        <v>68</v>
      </c>
      <c r="D288" s="85" t="s">
        <v>40</v>
      </c>
      <c r="E288" s="85" t="s">
        <v>41</v>
      </c>
      <c r="F288" s="85" t="s">
        <v>28</v>
      </c>
      <c r="G288" s="85" t="s">
        <v>983</v>
      </c>
      <c r="H288" s="85" t="s">
        <v>984</v>
      </c>
      <c r="I288" s="85"/>
      <c r="J288" s="88" t="s">
        <v>971</v>
      </c>
      <c r="K288" s="89" t="s">
        <v>32</v>
      </c>
      <c r="L288" s="85"/>
      <c r="M288" s="88" t="s">
        <v>972</v>
      </c>
      <c r="N288" s="90" t="s">
        <v>34</v>
      </c>
      <c r="O288" s="85"/>
      <c r="P288" s="82"/>
    </row>
    <row r="289" hidden="1" spans="1:16">
      <c r="A289" s="83">
        <v>288</v>
      </c>
      <c r="B289" s="98">
        <v>46066</v>
      </c>
      <c r="C289" s="85" t="s">
        <v>68</v>
      </c>
      <c r="D289" s="85" t="s">
        <v>40</v>
      </c>
      <c r="E289" s="85" t="s">
        <v>41</v>
      </c>
      <c r="F289" s="85" t="s">
        <v>28</v>
      </c>
      <c r="G289" s="85" t="s">
        <v>985</v>
      </c>
      <c r="H289" s="85" t="s">
        <v>986</v>
      </c>
      <c r="I289" s="85"/>
      <c r="J289" s="88" t="s">
        <v>971</v>
      </c>
      <c r="K289" s="89" t="s">
        <v>32</v>
      </c>
      <c r="L289" s="85"/>
      <c r="M289" s="88" t="s">
        <v>972</v>
      </c>
      <c r="N289" s="90" t="s">
        <v>34</v>
      </c>
      <c r="O289" s="85"/>
      <c r="P289" s="82"/>
    </row>
    <row r="290" hidden="1" spans="1:16">
      <c r="A290" s="83">
        <v>289</v>
      </c>
      <c r="B290" s="98">
        <v>46066</v>
      </c>
      <c r="C290" s="85" t="s">
        <v>68</v>
      </c>
      <c r="D290" s="85" t="s">
        <v>40</v>
      </c>
      <c r="E290" s="85" t="s">
        <v>41</v>
      </c>
      <c r="F290" s="85" t="s">
        <v>28</v>
      </c>
      <c r="G290" s="85" t="s">
        <v>987</v>
      </c>
      <c r="H290" s="85" t="s">
        <v>988</v>
      </c>
      <c r="I290" s="85"/>
      <c r="J290" s="88" t="s">
        <v>971</v>
      </c>
      <c r="K290" s="89" t="s">
        <v>32</v>
      </c>
      <c r="L290" s="85"/>
      <c r="M290" s="88" t="s">
        <v>972</v>
      </c>
      <c r="N290" s="90" t="s">
        <v>34</v>
      </c>
      <c r="O290" s="85"/>
      <c r="P290" s="82"/>
    </row>
    <row r="291" hidden="1" spans="1:16">
      <c r="A291" s="83">
        <v>290</v>
      </c>
      <c r="B291" s="98">
        <v>46066</v>
      </c>
      <c r="C291" s="85" t="s">
        <v>68</v>
      </c>
      <c r="D291" s="85" t="s">
        <v>40</v>
      </c>
      <c r="E291" s="85" t="s">
        <v>41</v>
      </c>
      <c r="F291" s="85" t="s">
        <v>28</v>
      </c>
      <c r="G291" s="85" t="s">
        <v>989</v>
      </c>
      <c r="H291" s="85" t="s">
        <v>990</v>
      </c>
      <c r="I291" s="85"/>
      <c r="J291" s="88" t="s">
        <v>971</v>
      </c>
      <c r="K291" s="89" t="s">
        <v>32</v>
      </c>
      <c r="L291" s="85"/>
      <c r="M291" s="88" t="s">
        <v>972</v>
      </c>
      <c r="N291" s="90" t="s">
        <v>34</v>
      </c>
      <c r="O291" s="85"/>
      <c r="P291" s="82"/>
    </row>
    <row r="292" hidden="1" spans="1:16">
      <c r="A292" s="83">
        <v>291</v>
      </c>
      <c r="B292" s="98">
        <v>46066</v>
      </c>
      <c r="C292" s="85" t="s">
        <v>68</v>
      </c>
      <c r="D292" s="85" t="s">
        <v>40</v>
      </c>
      <c r="E292" s="85" t="s">
        <v>41</v>
      </c>
      <c r="F292" s="85" t="s">
        <v>28</v>
      </c>
      <c r="G292" s="85" t="s">
        <v>991</v>
      </c>
      <c r="H292" s="85" t="s">
        <v>992</v>
      </c>
      <c r="I292" s="85"/>
      <c r="J292" s="88" t="s">
        <v>971</v>
      </c>
      <c r="K292" s="89" t="s">
        <v>32</v>
      </c>
      <c r="L292" s="85"/>
      <c r="M292" s="88" t="s">
        <v>972</v>
      </c>
      <c r="N292" s="90" t="s">
        <v>34</v>
      </c>
      <c r="O292" s="85"/>
      <c r="P292" s="82"/>
    </row>
    <row r="293" hidden="1" spans="1:16">
      <c r="A293" s="83">
        <v>292</v>
      </c>
      <c r="B293" s="98">
        <v>46066</v>
      </c>
      <c r="C293" s="85" t="s">
        <v>68</v>
      </c>
      <c r="D293" s="85" t="s">
        <v>40</v>
      </c>
      <c r="E293" s="85" t="s">
        <v>41</v>
      </c>
      <c r="F293" s="85" t="s">
        <v>28</v>
      </c>
      <c r="G293" s="85" t="s">
        <v>993</v>
      </c>
      <c r="H293" s="85" t="s">
        <v>994</v>
      </c>
      <c r="I293" s="85"/>
      <c r="J293" s="88" t="s">
        <v>971</v>
      </c>
      <c r="K293" s="89" t="s">
        <v>32</v>
      </c>
      <c r="L293" s="85"/>
      <c r="M293" s="88" t="s">
        <v>972</v>
      </c>
      <c r="N293" s="90" t="s">
        <v>34</v>
      </c>
      <c r="O293" s="85"/>
      <c r="P293" s="82"/>
    </row>
    <row r="294" hidden="1" spans="1:16">
      <c r="A294" s="83">
        <v>293</v>
      </c>
      <c r="B294" s="98">
        <v>46066</v>
      </c>
      <c r="C294" s="85" t="s">
        <v>68</v>
      </c>
      <c r="D294" s="85" t="s">
        <v>40</v>
      </c>
      <c r="E294" s="85" t="s">
        <v>41</v>
      </c>
      <c r="F294" s="85" t="s">
        <v>28</v>
      </c>
      <c r="G294" s="85" t="s">
        <v>995</v>
      </c>
      <c r="H294" s="85" t="s">
        <v>996</v>
      </c>
      <c r="I294" s="85"/>
      <c r="J294" s="88" t="s">
        <v>971</v>
      </c>
      <c r="K294" s="89" t="s">
        <v>32</v>
      </c>
      <c r="L294" s="85"/>
      <c r="M294" s="88" t="s">
        <v>972</v>
      </c>
      <c r="N294" s="90" t="s">
        <v>34</v>
      </c>
      <c r="O294" s="85"/>
      <c r="P294" s="82"/>
    </row>
    <row r="295" hidden="1" spans="1:16">
      <c r="A295" s="83">
        <v>294</v>
      </c>
      <c r="B295" s="98">
        <v>46066</v>
      </c>
      <c r="C295" s="85" t="s">
        <v>68</v>
      </c>
      <c r="D295" s="85" t="s">
        <v>40</v>
      </c>
      <c r="E295" s="85" t="s">
        <v>41</v>
      </c>
      <c r="F295" s="85" t="s">
        <v>28</v>
      </c>
      <c r="G295" s="85" t="s">
        <v>997</v>
      </c>
      <c r="H295" s="85" t="s">
        <v>998</v>
      </c>
      <c r="I295" s="85"/>
      <c r="J295" s="88" t="s">
        <v>971</v>
      </c>
      <c r="K295" s="89" t="s">
        <v>32</v>
      </c>
      <c r="L295" s="85"/>
      <c r="M295" s="88" t="s">
        <v>972</v>
      </c>
      <c r="N295" s="90" t="s">
        <v>34</v>
      </c>
      <c r="O295" s="85"/>
      <c r="P295" s="82"/>
    </row>
    <row r="296" ht="33" hidden="1" spans="1:16">
      <c r="A296" s="83">
        <v>295</v>
      </c>
      <c r="B296" s="98">
        <v>46066</v>
      </c>
      <c r="C296" s="85" t="s">
        <v>49</v>
      </c>
      <c r="D296" s="85" t="s">
        <v>26</v>
      </c>
      <c r="E296" s="85" t="s">
        <v>27</v>
      </c>
      <c r="F296" s="85" t="s">
        <v>28</v>
      </c>
      <c r="G296" s="85" t="s">
        <v>999</v>
      </c>
      <c r="H296" s="85" t="s">
        <v>1000</v>
      </c>
      <c r="I296" s="85"/>
      <c r="J296" s="88" t="s">
        <v>1001</v>
      </c>
      <c r="K296" s="92" t="s">
        <v>49</v>
      </c>
      <c r="L296" s="85"/>
      <c r="M296" s="88" t="s">
        <v>952</v>
      </c>
      <c r="N296" s="90" t="s">
        <v>34</v>
      </c>
      <c r="O296" s="85"/>
      <c r="P296" s="82"/>
    </row>
    <row r="297" ht="49.5" hidden="1" spans="1:16">
      <c r="A297" s="83">
        <v>296</v>
      </c>
      <c r="B297" s="98">
        <v>46066</v>
      </c>
      <c r="C297" s="85" t="s">
        <v>68</v>
      </c>
      <c r="D297" s="85" t="s">
        <v>26</v>
      </c>
      <c r="E297" s="85" t="s">
        <v>35</v>
      </c>
      <c r="F297" s="85" t="s">
        <v>28</v>
      </c>
      <c r="G297" s="85" t="s">
        <v>1002</v>
      </c>
      <c r="H297" s="85" t="s">
        <v>1003</v>
      </c>
      <c r="I297" s="85"/>
      <c r="J297" s="88" t="s">
        <v>1004</v>
      </c>
      <c r="K297" s="92" t="s">
        <v>24</v>
      </c>
      <c r="L297" s="85"/>
      <c r="M297" s="85" t="s">
        <v>1005</v>
      </c>
      <c r="N297" s="90" t="s">
        <v>34</v>
      </c>
      <c r="O297" s="85"/>
      <c r="P297" s="82"/>
    </row>
    <row r="298" ht="49.5" hidden="1" spans="1:16">
      <c r="A298" s="83">
        <v>297</v>
      </c>
      <c r="B298" s="98">
        <v>46066</v>
      </c>
      <c r="C298" s="85" t="s">
        <v>68</v>
      </c>
      <c r="D298" s="85" t="s">
        <v>26</v>
      </c>
      <c r="E298" s="85" t="s">
        <v>35</v>
      </c>
      <c r="F298" s="85" t="s">
        <v>28</v>
      </c>
      <c r="G298" s="85" t="s">
        <v>1006</v>
      </c>
      <c r="H298" s="85" t="s">
        <v>1007</v>
      </c>
      <c r="I298" s="85"/>
      <c r="J298" s="88" t="s">
        <v>1008</v>
      </c>
      <c r="K298" s="92" t="s">
        <v>24</v>
      </c>
      <c r="L298" s="85"/>
      <c r="M298" s="85" t="s">
        <v>1009</v>
      </c>
      <c r="N298" s="90" t="s">
        <v>34</v>
      </c>
      <c r="O298" s="85"/>
      <c r="P298" s="82"/>
    </row>
    <row r="299" ht="49.5" hidden="1" spans="1:16">
      <c r="A299" s="83">
        <v>298</v>
      </c>
      <c r="B299" s="98">
        <v>46066</v>
      </c>
      <c r="C299" s="85" t="s">
        <v>68</v>
      </c>
      <c r="D299" s="85" t="s">
        <v>26</v>
      </c>
      <c r="E299" s="85" t="s">
        <v>35</v>
      </c>
      <c r="F299" s="85" t="s">
        <v>28</v>
      </c>
      <c r="G299" s="85" t="s">
        <v>1010</v>
      </c>
      <c r="H299" s="85" t="s">
        <v>1011</v>
      </c>
      <c r="I299" s="85"/>
      <c r="J299" s="88" t="s">
        <v>1012</v>
      </c>
      <c r="K299" s="92" t="s">
        <v>24</v>
      </c>
      <c r="L299" s="85"/>
      <c r="M299" s="85" t="s">
        <v>1013</v>
      </c>
      <c r="N299" s="90" t="s">
        <v>34</v>
      </c>
      <c r="O299" s="85"/>
      <c r="P299" s="82"/>
    </row>
    <row r="300" ht="49.5" hidden="1" spans="1:16">
      <c r="A300" s="83">
        <v>299</v>
      </c>
      <c r="B300" s="98">
        <v>46066</v>
      </c>
      <c r="C300" s="85" t="s">
        <v>68</v>
      </c>
      <c r="D300" s="85" t="s">
        <v>26</v>
      </c>
      <c r="E300" s="85" t="s">
        <v>35</v>
      </c>
      <c r="F300" s="85" t="s">
        <v>28</v>
      </c>
      <c r="G300" s="85" t="s">
        <v>1014</v>
      </c>
      <c r="H300" s="85" t="s">
        <v>1015</v>
      </c>
      <c r="I300" s="85"/>
      <c r="J300" s="88" t="s">
        <v>1016</v>
      </c>
      <c r="K300" s="92" t="s">
        <v>24</v>
      </c>
      <c r="L300" s="85"/>
      <c r="M300" s="85" t="s">
        <v>1017</v>
      </c>
      <c r="N300" s="90" t="s">
        <v>34</v>
      </c>
      <c r="O300" s="85"/>
      <c r="P300" s="82"/>
    </row>
    <row r="301" hidden="1" spans="1:16">
      <c r="A301" s="83">
        <v>300</v>
      </c>
      <c r="B301" s="98">
        <v>46066</v>
      </c>
      <c r="C301" s="85" t="s">
        <v>68</v>
      </c>
      <c r="D301" s="85" t="s">
        <v>26</v>
      </c>
      <c r="E301" s="85" t="s">
        <v>27</v>
      </c>
      <c r="F301" s="85" t="s">
        <v>28</v>
      </c>
      <c r="G301" s="85" t="s">
        <v>1018</v>
      </c>
      <c r="H301" s="85" t="s">
        <v>1019</v>
      </c>
      <c r="I301" s="85"/>
      <c r="J301" s="88" t="s">
        <v>944</v>
      </c>
      <c r="K301" s="92" t="s">
        <v>32</v>
      </c>
      <c r="L301" s="85"/>
      <c r="M301" s="85" t="s">
        <v>1020</v>
      </c>
      <c r="N301" s="90" t="s">
        <v>34</v>
      </c>
      <c r="O301" s="85"/>
      <c r="P301" s="82"/>
    </row>
    <row r="302" hidden="1" spans="1:16">
      <c r="A302" s="83">
        <v>301</v>
      </c>
      <c r="B302" s="98">
        <v>46066</v>
      </c>
      <c r="C302" s="85" t="s">
        <v>68</v>
      </c>
      <c r="D302" s="85" t="s">
        <v>26</v>
      </c>
      <c r="E302" s="85" t="s">
        <v>27</v>
      </c>
      <c r="F302" s="85" t="s">
        <v>28</v>
      </c>
      <c r="G302" s="85" t="s">
        <v>1021</v>
      </c>
      <c r="H302" s="85" t="s">
        <v>1022</v>
      </c>
      <c r="I302" s="85"/>
      <c r="J302" s="88" t="s">
        <v>944</v>
      </c>
      <c r="K302" s="92" t="s">
        <v>32</v>
      </c>
      <c r="L302" s="85"/>
      <c r="M302" s="85" t="s">
        <v>1020</v>
      </c>
      <c r="N302" s="90" t="s">
        <v>34</v>
      </c>
      <c r="O302" s="85"/>
      <c r="P302" s="82"/>
    </row>
    <row r="303" hidden="1" spans="1:16">
      <c r="A303" s="83">
        <v>302</v>
      </c>
      <c r="B303" s="98">
        <v>46066</v>
      </c>
      <c r="C303" s="85" t="s">
        <v>68</v>
      </c>
      <c r="D303" s="85" t="s">
        <v>26</v>
      </c>
      <c r="E303" s="85" t="s">
        <v>660</v>
      </c>
      <c r="F303" s="85" t="s">
        <v>28</v>
      </c>
      <c r="G303" s="85" t="s">
        <v>1023</v>
      </c>
      <c r="H303" s="85" t="s">
        <v>1024</v>
      </c>
      <c r="I303" s="85"/>
      <c r="J303" s="88" t="s">
        <v>948</v>
      </c>
      <c r="K303" s="92" t="s">
        <v>32</v>
      </c>
      <c r="L303" s="85"/>
      <c r="M303" s="85" t="s">
        <v>1025</v>
      </c>
      <c r="N303" s="90" t="s">
        <v>34</v>
      </c>
      <c r="O303" s="85"/>
      <c r="P303" s="82"/>
    </row>
    <row r="304" ht="33" hidden="1" spans="1:16">
      <c r="A304" s="83">
        <v>303</v>
      </c>
      <c r="B304" s="98">
        <v>46066</v>
      </c>
      <c r="C304" s="85" t="s">
        <v>49</v>
      </c>
      <c r="D304" s="85" t="s">
        <v>153</v>
      </c>
      <c r="E304" s="85" t="s">
        <v>154</v>
      </c>
      <c r="F304" s="85" t="s">
        <v>28</v>
      </c>
      <c r="G304" s="85" t="s">
        <v>1026</v>
      </c>
      <c r="H304" s="85" t="s">
        <v>1027</v>
      </c>
      <c r="I304" s="85"/>
      <c r="J304" s="88" t="s">
        <v>1001</v>
      </c>
      <c r="K304" s="92" t="s">
        <v>49</v>
      </c>
      <c r="L304" s="85"/>
      <c r="M304" s="88" t="s">
        <v>1028</v>
      </c>
      <c r="N304" s="90" t="s">
        <v>34</v>
      </c>
      <c r="O304" s="85"/>
      <c r="P304" s="82"/>
    </row>
    <row r="305" ht="33" hidden="1" spans="1:16">
      <c r="A305" s="83">
        <v>304</v>
      </c>
      <c r="B305" s="98">
        <v>46066</v>
      </c>
      <c r="C305" s="85" t="s">
        <v>49</v>
      </c>
      <c r="D305" s="85" t="s">
        <v>153</v>
      </c>
      <c r="E305" s="85" t="s">
        <v>154</v>
      </c>
      <c r="F305" s="85" t="s">
        <v>28</v>
      </c>
      <c r="G305" s="85" t="s">
        <v>1029</v>
      </c>
      <c r="H305" s="85" t="s">
        <v>1030</v>
      </c>
      <c r="I305" s="85"/>
      <c r="J305" s="88" t="s">
        <v>1001</v>
      </c>
      <c r="K305" s="92" t="s">
        <v>49</v>
      </c>
      <c r="L305" s="85"/>
      <c r="M305" s="88" t="s">
        <v>1028</v>
      </c>
      <c r="N305" s="90" t="s">
        <v>34</v>
      </c>
      <c r="O305" s="85"/>
      <c r="P305" s="82"/>
    </row>
    <row r="306" hidden="1" spans="1:16">
      <c r="A306" s="83">
        <v>305</v>
      </c>
      <c r="B306" s="98">
        <v>46066</v>
      </c>
      <c r="C306" s="85" t="s">
        <v>49</v>
      </c>
      <c r="D306" s="85" t="s">
        <v>153</v>
      </c>
      <c r="E306" s="85" t="s">
        <v>154</v>
      </c>
      <c r="F306" s="85" t="s">
        <v>28</v>
      </c>
      <c r="G306" s="85" t="s">
        <v>1031</v>
      </c>
      <c r="H306" s="85" t="s">
        <v>1032</v>
      </c>
      <c r="I306" s="85"/>
      <c r="J306" s="88" t="s">
        <v>1001</v>
      </c>
      <c r="K306" s="92" t="s">
        <v>49</v>
      </c>
      <c r="L306" s="85"/>
      <c r="M306" s="88" t="s">
        <v>1033</v>
      </c>
      <c r="N306" s="90" t="s">
        <v>34</v>
      </c>
      <c r="O306" s="85"/>
      <c r="P306" s="82"/>
    </row>
    <row r="307" ht="49.5" hidden="1" spans="1:16">
      <c r="A307" s="83">
        <v>306</v>
      </c>
      <c r="B307" s="98">
        <v>46066</v>
      </c>
      <c r="C307" s="85" t="s">
        <v>25</v>
      </c>
      <c r="D307" s="85" t="s">
        <v>26</v>
      </c>
      <c r="E307" s="85" t="s">
        <v>27</v>
      </c>
      <c r="F307" s="85" t="s">
        <v>28</v>
      </c>
      <c r="G307" s="85" t="s">
        <v>1034</v>
      </c>
      <c r="H307" s="85" t="s">
        <v>1035</v>
      </c>
      <c r="I307" s="85"/>
      <c r="J307" s="88" t="s">
        <v>1036</v>
      </c>
      <c r="K307" s="92" t="s">
        <v>32</v>
      </c>
      <c r="L307" s="85"/>
      <c r="M307" s="88" t="s">
        <v>1037</v>
      </c>
      <c r="N307" s="90" t="s">
        <v>34</v>
      </c>
      <c r="O307" s="85"/>
      <c r="P307" s="82"/>
    </row>
    <row r="308" ht="33" hidden="1" spans="1:16">
      <c r="A308" s="83">
        <v>307</v>
      </c>
      <c r="B308" s="98">
        <v>46066</v>
      </c>
      <c r="C308" s="85" t="s">
        <v>49</v>
      </c>
      <c r="D308" s="85" t="s">
        <v>107</v>
      </c>
      <c r="E308" s="85" t="s">
        <v>630</v>
      </c>
      <c r="F308" s="85" t="s">
        <v>28</v>
      </c>
      <c r="G308" s="85" t="s">
        <v>1038</v>
      </c>
      <c r="H308" s="85" t="s">
        <v>1039</v>
      </c>
      <c r="I308" s="85"/>
      <c r="J308" s="88" t="s">
        <v>1001</v>
      </c>
      <c r="K308" s="92" t="s">
        <v>49</v>
      </c>
      <c r="L308" s="85"/>
      <c r="M308" s="88" t="s">
        <v>1028</v>
      </c>
      <c r="N308" s="90" t="s">
        <v>34</v>
      </c>
      <c r="O308" s="85"/>
      <c r="P308" s="82"/>
    </row>
    <row r="309" hidden="1" spans="1:16">
      <c r="A309" s="83">
        <v>308</v>
      </c>
      <c r="B309" s="98">
        <v>46067</v>
      </c>
      <c r="C309" s="85" t="s">
        <v>68</v>
      </c>
      <c r="D309" s="85" t="s">
        <v>26</v>
      </c>
      <c r="E309" s="85" t="s">
        <v>27</v>
      </c>
      <c r="F309" s="101" t="s">
        <v>28</v>
      </c>
      <c r="G309" s="85" t="s">
        <v>1040</v>
      </c>
      <c r="H309" s="85" t="s">
        <v>1041</v>
      </c>
      <c r="I309" s="85"/>
      <c r="J309" s="88" t="s">
        <v>971</v>
      </c>
      <c r="K309" s="92" t="s">
        <v>32</v>
      </c>
      <c r="L309" s="85"/>
      <c r="M309" s="85" t="s">
        <v>1042</v>
      </c>
      <c r="N309" s="88" t="s">
        <v>34</v>
      </c>
      <c r="O309" s="91"/>
      <c r="P309" s="82"/>
    </row>
    <row r="310" ht="33" hidden="1" spans="1:16">
      <c r="A310" s="83">
        <v>309</v>
      </c>
      <c r="B310" s="98">
        <v>46071</v>
      </c>
      <c r="C310" s="85" t="s">
        <v>49</v>
      </c>
      <c r="D310" s="85" t="s">
        <v>164</v>
      </c>
      <c r="E310" s="85" t="s">
        <v>416</v>
      </c>
      <c r="F310" s="85" t="s">
        <v>28</v>
      </c>
      <c r="G310" s="85" t="s">
        <v>1043</v>
      </c>
      <c r="H310" s="85" t="s">
        <v>1044</v>
      </c>
      <c r="I310" s="85"/>
      <c r="J310" s="88" t="s">
        <v>1045</v>
      </c>
      <c r="K310" s="92" t="s">
        <v>49</v>
      </c>
      <c r="L310" s="85"/>
      <c r="M310" s="88" t="s">
        <v>1046</v>
      </c>
      <c r="N310" s="90" t="s">
        <v>34</v>
      </c>
      <c r="O310" s="85"/>
      <c r="P310" s="82"/>
    </row>
    <row r="311" ht="409.5" hidden="1" spans="1:16">
      <c r="A311" s="83">
        <v>310</v>
      </c>
      <c r="B311" s="98">
        <v>46073</v>
      </c>
      <c r="C311" s="85" t="s">
        <v>49</v>
      </c>
      <c r="D311" s="85" t="s">
        <v>40</v>
      </c>
      <c r="E311" s="85" t="s">
        <v>41</v>
      </c>
      <c r="F311" s="85" t="s">
        <v>28</v>
      </c>
      <c r="G311" s="85" t="s">
        <v>1047</v>
      </c>
      <c r="H311" s="85" t="s">
        <v>1048</v>
      </c>
      <c r="I311" s="85"/>
      <c r="J311" s="88" t="s">
        <v>1049</v>
      </c>
      <c r="K311" s="92" t="s">
        <v>49</v>
      </c>
      <c r="L311" s="85"/>
      <c r="M311" s="88" t="s">
        <v>1050</v>
      </c>
      <c r="N311" s="85" t="s">
        <v>34</v>
      </c>
      <c r="O311" s="85"/>
      <c r="P311" s="82"/>
    </row>
    <row r="312" ht="82.5" hidden="1" spans="1:16">
      <c r="A312" s="83">
        <v>311</v>
      </c>
      <c r="B312" s="102">
        <v>46077</v>
      </c>
      <c r="C312" s="85" t="s">
        <v>68</v>
      </c>
      <c r="D312" s="85" t="s">
        <v>26</v>
      </c>
      <c r="E312" s="85" t="s">
        <v>27</v>
      </c>
      <c r="F312" s="101" t="s">
        <v>28</v>
      </c>
      <c r="G312" s="85" t="s">
        <v>1051</v>
      </c>
      <c r="H312" s="85" t="s">
        <v>1052</v>
      </c>
      <c r="I312" s="85"/>
      <c r="J312" s="88" t="s">
        <v>1053</v>
      </c>
      <c r="K312" s="92" t="s">
        <v>24</v>
      </c>
      <c r="L312" s="85"/>
      <c r="M312" s="88" t="s">
        <v>1054</v>
      </c>
      <c r="N312" s="88" t="s">
        <v>34</v>
      </c>
      <c r="O312" s="91"/>
      <c r="P312" s="82"/>
    </row>
    <row r="313" ht="82.5" hidden="1" spans="1:16">
      <c r="A313" s="83">
        <v>312</v>
      </c>
      <c r="B313" s="102">
        <v>46077</v>
      </c>
      <c r="C313" s="85" t="s">
        <v>68</v>
      </c>
      <c r="D313" s="85" t="s">
        <v>26</v>
      </c>
      <c r="E313" s="85" t="s">
        <v>27</v>
      </c>
      <c r="F313" s="101" t="s">
        <v>28</v>
      </c>
      <c r="G313" s="85" t="s">
        <v>1055</v>
      </c>
      <c r="H313" s="85" t="s">
        <v>1056</v>
      </c>
      <c r="I313" s="85"/>
      <c r="J313" s="88" t="s">
        <v>1053</v>
      </c>
      <c r="K313" s="92" t="s">
        <v>24</v>
      </c>
      <c r="L313" s="85"/>
      <c r="M313" s="88" t="s">
        <v>1054</v>
      </c>
      <c r="N313" s="88" t="s">
        <v>34</v>
      </c>
      <c r="O313" s="91"/>
      <c r="P313" s="82"/>
    </row>
    <row r="314" ht="49.5" hidden="1" spans="1:16">
      <c r="A314" s="83">
        <v>313</v>
      </c>
      <c r="B314" s="103">
        <v>46077</v>
      </c>
      <c r="C314" s="85" t="s">
        <v>25</v>
      </c>
      <c r="D314" s="85" t="s">
        <v>317</v>
      </c>
      <c r="E314" s="85" t="s">
        <v>318</v>
      </c>
      <c r="F314" s="85" t="s">
        <v>28</v>
      </c>
      <c r="G314" s="85" t="s">
        <v>1057</v>
      </c>
      <c r="H314" s="85" t="s">
        <v>1058</v>
      </c>
      <c r="I314" s="85"/>
      <c r="J314" s="88" t="s">
        <v>1059</v>
      </c>
      <c r="K314" s="92" t="s">
        <v>24</v>
      </c>
      <c r="L314" s="85"/>
      <c r="M314" s="88" t="s">
        <v>1060</v>
      </c>
      <c r="N314" s="88" t="s">
        <v>34</v>
      </c>
      <c r="O314" s="85"/>
      <c r="P314" s="82"/>
    </row>
    <row r="315" hidden="1" spans="1:16">
      <c r="A315" s="83">
        <v>314</v>
      </c>
      <c r="B315" s="102">
        <v>46077</v>
      </c>
      <c r="C315" s="85" t="s">
        <v>68</v>
      </c>
      <c r="D315" s="85" t="s">
        <v>26</v>
      </c>
      <c r="E315" s="85" t="s">
        <v>27</v>
      </c>
      <c r="F315" s="101" t="s">
        <v>28</v>
      </c>
      <c r="G315" s="85" t="s">
        <v>1061</v>
      </c>
      <c r="H315" s="85" t="s">
        <v>1062</v>
      </c>
      <c r="I315" s="85"/>
      <c r="J315" s="88" t="s">
        <v>1063</v>
      </c>
      <c r="K315" s="92" t="s">
        <v>32</v>
      </c>
      <c r="L315" s="85"/>
      <c r="M315" s="85" t="s">
        <v>1064</v>
      </c>
      <c r="N315" s="88" t="s">
        <v>34</v>
      </c>
      <c r="O315" s="91"/>
      <c r="P315" s="82"/>
    </row>
    <row r="316" hidden="1" spans="1:16">
      <c r="A316" s="83">
        <v>315</v>
      </c>
      <c r="B316" s="102">
        <v>46077</v>
      </c>
      <c r="C316" s="85" t="s">
        <v>68</v>
      </c>
      <c r="D316" s="85" t="s">
        <v>26</v>
      </c>
      <c r="E316" s="85" t="s">
        <v>27</v>
      </c>
      <c r="F316" s="101" t="s">
        <v>28</v>
      </c>
      <c r="G316" s="85" t="s">
        <v>1065</v>
      </c>
      <c r="H316" s="85" t="s">
        <v>1066</v>
      </c>
      <c r="I316" s="85"/>
      <c r="J316" s="88" t="s">
        <v>1063</v>
      </c>
      <c r="K316" s="92" t="s">
        <v>32</v>
      </c>
      <c r="L316" s="85"/>
      <c r="M316" s="85" t="s">
        <v>1064</v>
      </c>
      <c r="N316" s="88" t="s">
        <v>34</v>
      </c>
      <c r="O316" s="91"/>
      <c r="P316" s="82"/>
    </row>
    <row r="317" ht="66" hidden="1" spans="1:16">
      <c r="A317" s="83">
        <v>316</v>
      </c>
      <c r="B317" s="104">
        <v>46078</v>
      </c>
      <c r="C317" s="85" t="s">
        <v>68</v>
      </c>
      <c r="D317" s="85" t="s">
        <v>26</v>
      </c>
      <c r="E317" s="88" t="s">
        <v>27</v>
      </c>
      <c r="F317" s="88" t="s">
        <v>28</v>
      </c>
      <c r="G317" s="88" t="s">
        <v>1067</v>
      </c>
      <c r="H317" s="88" t="s">
        <v>1068</v>
      </c>
      <c r="I317" s="88"/>
      <c r="J317" s="88" t="s">
        <v>1069</v>
      </c>
      <c r="K317" s="93" t="s">
        <v>97</v>
      </c>
      <c r="L317" s="88"/>
      <c r="M317" s="88" t="s">
        <v>1070</v>
      </c>
      <c r="N317" s="88" t="s">
        <v>34</v>
      </c>
      <c r="O317" s="85"/>
      <c r="P317" s="82"/>
    </row>
    <row r="318" ht="49.5" hidden="1" spans="1:16">
      <c r="A318" s="83">
        <v>317</v>
      </c>
      <c r="B318" s="104">
        <v>46078</v>
      </c>
      <c r="C318" s="85" t="s">
        <v>25</v>
      </c>
      <c r="D318" s="85" t="s">
        <v>222</v>
      </c>
      <c r="E318" s="88" t="s">
        <v>223</v>
      </c>
      <c r="F318" s="88" t="s">
        <v>28</v>
      </c>
      <c r="G318" s="88" t="s">
        <v>1071</v>
      </c>
      <c r="H318" s="88" t="s">
        <v>1072</v>
      </c>
      <c r="I318" s="88"/>
      <c r="J318" s="88" t="s">
        <v>1073</v>
      </c>
      <c r="K318" s="92" t="s">
        <v>24</v>
      </c>
      <c r="L318" s="88"/>
      <c r="M318" s="88" t="s">
        <v>1074</v>
      </c>
      <c r="N318" s="88" t="s">
        <v>34</v>
      </c>
      <c r="O318" s="85"/>
      <c r="P318" s="82"/>
    </row>
    <row r="319" hidden="1" spans="1:16">
      <c r="A319" s="83">
        <v>318</v>
      </c>
      <c r="B319" s="102">
        <v>46078</v>
      </c>
      <c r="C319" s="85" t="s">
        <v>68</v>
      </c>
      <c r="D319" s="85" t="s">
        <v>317</v>
      </c>
      <c r="E319" s="85" t="s">
        <v>318</v>
      </c>
      <c r="F319" s="101" t="s">
        <v>28</v>
      </c>
      <c r="G319" s="85" t="s">
        <v>1075</v>
      </c>
      <c r="H319" s="85" t="s">
        <v>1076</v>
      </c>
      <c r="I319" s="85"/>
      <c r="J319" s="88" t="s">
        <v>1077</v>
      </c>
      <c r="K319" s="92" t="s">
        <v>32</v>
      </c>
      <c r="L319" s="85"/>
      <c r="M319" s="85" t="s">
        <v>1078</v>
      </c>
      <c r="N319" s="88" t="s">
        <v>34</v>
      </c>
      <c r="O319" s="91"/>
      <c r="P319" s="82"/>
    </row>
    <row r="320" hidden="1" spans="1:16">
      <c r="A320" s="83">
        <v>319</v>
      </c>
      <c r="B320" s="102">
        <v>46080</v>
      </c>
      <c r="C320" s="85" t="s">
        <v>68</v>
      </c>
      <c r="D320" s="85" t="s">
        <v>317</v>
      </c>
      <c r="E320" s="85" t="s">
        <v>318</v>
      </c>
      <c r="F320" s="101" t="s">
        <v>28</v>
      </c>
      <c r="G320" s="85" t="s">
        <v>1079</v>
      </c>
      <c r="H320" s="85" t="s">
        <v>1080</v>
      </c>
      <c r="I320" s="85"/>
      <c r="J320" s="88" t="s">
        <v>1081</v>
      </c>
      <c r="K320" s="92" t="s">
        <v>32</v>
      </c>
      <c r="L320" s="85"/>
      <c r="M320" s="85" t="s">
        <v>1082</v>
      </c>
      <c r="N320" s="88" t="s">
        <v>34</v>
      </c>
      <c r="O320" s="91"/>
      <c r="P320" s="82"/>
    </row>
    <row r="321" hidden="1" spans="1:16">
      <c r="A321" s="83">
        <v>320</v>
      </c>
      <c r="B321" s="102">
        <v>46078</v>
      </c>
      <c r="C321" s="85" t="s">
        <v>68</v>
      </c>
      <c r="D321" s="85" t="s">
        <v>26</v>
      </c>
      <c r="E321" s="85" t="s">
        <v>27</v>
      </c>
      <c r="F321" s="101" t="s">
        <v>28</v>
      </c>
      <c r="G321" s="85" t="s">
        <v>1083</v>
      </c>
      <c r="H321" s="85" t="s">
        <v>1084</v>
      </c>
      <c r="I321" s="85"/>
      <c r="J321" s="88" t="s">
        <v>1085</v>
      </c>
      <c r="K321" s="92" t="s">
        <v>32</v>
      </c>
      <c r="L321" s="85"/>
      <c r="M321" s="85" t="s">
        <v>1086</v>
      </c>
      <c r="N321" s="88" t="s">
        <v>34</v>
      </c>
      <c r="O321" s="91"/>
      <c r="P321" s="82"/>
    </row>
    <row r="322" hidden="1" spans="1:16">
      <c r="A322" s="83">
        <v>321</v>
      </c>
      <c r="B322" s="102">
        <v>46078</v>
      </c>
      <c r="C322" s="85" t="s">
        <v>68</v>
      </c>
      <c r="D322" s="85" t="s">
        <v>26</v>
      </c>
      <c r="E322" s="85" t="s">
        <v>27</v>
      </c>
      <c r="F322" s="101" t="s">
        <v>28</v>
      </c>
      <c r="G322" s="85" t="s">
        <v>1087</v>
      </c>
      <c r="H322" s="85" t="s">
        <v>1088</v>
      </c>
      <c r="I322" s="85"/>
      <c r="J322" s="88" t="s">
        <v>1089</v>
      </c>
      <c r="K322" s="92" t="s">
        <v>32</v>
      </c>
      <c r="L322" s="85"/>
      <c r="M322" s="85" t="s">
        <v>1086</v>
      </c>
      <c r="N322" s="88" t="s">
        <v>34</v>
      </c>
      <c r="O322" s="91"/>
      <c r="P322" s="82"/>
    </row>
    <row r="323" hidden="1" spans="1:16">
      <c r="A323" s="83">
        <v>322</v>
      </c>
      <c r="B323" s="102">
        <v>46078</v>
      </c>
      <c r="C323" s="85" t="s">
        <v>68</v>
      </c>
      <c r="D323" s="85" t="s">
        <v>26</v>
      </c>
      <c r="E323" s="85" t="s">
        <v>27</v>
      </c>
      <c r="F323" s="101" t="s">
        <v>28</v>
      </c>
      <c r="G323" s="85" t="s">
        <v>1090</v>
      </c>
      <c r="H323" s="85" t="s">
        <v>1091</v>
      </c>
      <c r="I323" s="85"/>
      <c r="J323" s="88" t="s">
        <v>1077</v>
      </c>
      <c r="K323" s="92" t="s">
        <v>32</v>
      </c>
      <c r="L323" s="85"/>
      <c r="M323" s="85" t="s">
        <v>1078</v>
      </c>
      <c r="N323" s="88" t="s">
        <v>34</v>
      </c>
      <c r="O323" s="91"/>
      <c r="P323" s="82"/>
    </row>
    <row r="324" hidden="1" spans="1:16">
      <c r="A324" s="83">
        <v>323</v>
      </c>
      <c r="B324" s="102">
        <v>46078</v>
      </c>
      <c r="C324" s="85" t="s">
        <v>68</v>
      </c>
      <c r="D324" s="85" t="s">
        <v>26</v>
      </c>
      <c r="E324" s="85" t="s">
        <v>27</v>
      </c>
      <c r="F324" s="101" t="s">
        <v>28</v>
      </c>
      <c r="G324" s="85" t="s">
        <v>1092</v>
      </c>
      <c r="H324" s="85" t="s">
        <v>1093</v>
      </c>
      <c r="I324" s="85"/>
      <c r="J324" s="88" t="s">
        <v>1089</v>
      </c>
      <c r="K324" s="92" t="s">
        <v>32</v>
      </c>
      <c r="L324" s="85"/>
      <c r="M324" s="85" t="s">
        <v>1086</v>
      </c>
      <c r="N324" s="88" t="s">
        <v>34</v>
      </c>
      <c r="O324" s="91"/>
      <c r="P324" s="82"/>
    </row>
    <row r="325" ht="33" hidden="1" spans="1:16">
      <c r="A325" s="83">
        <v>324</v>
      </c>
      <c r="B325" s="103">
        <v>46079</v>
      </c>
      <c r="C325" s="85" t="s">
        <v>49</v>
      </c>
      <c r="D325" s="85" t="s">
        <v>26</v>
      </c>
      <c r="E325" s="85" t="s">
        <v>27</v>
      </c>
      <c r="F325" s="85" t="s">
        <v>28</v>
      </c>
      <c r="G325" s="85" t="s">
        <v>1094</v>
      </c>
      <c r="H325" s="88" t="s">
        <v>1095</v>
      </c>
      <c r="I325" s="85"/>
      <c r="J325" s="88" t="s">
        <v>1096</v>
      </c>
      <c r="K325" s="92" t="s">
        <v>49</v>
      </c>
      <c r="L325" s="85"/>
      <c r="M325" s="88" t="s">
        <v>1097</v>
      </c>
      <c r="N325" s="88" t="s">
        <v>34</v>
      </c>
      <c r="O325" s="85"/>
      <c r="P325" s="82"/>
    </row>
    <row r="326" hidden="1" spans="1:16">
      <c r="A326" s="83">
        <v>325</v>
      </c>
      <c r="B326" s="103">
        <v>46079</v>
      </c>
      <c r="C326" s="85" t="s">
        <v>68</v>
      </c>
      <c r="D326" s="85" t="s">
        <v>40</v>
      </c>
      <c r="E326" s="85" t="s">
        <v>41</v>
      </c>
      <c r="F326" s="85" t="s">
        <v>28</v>
      </c>
      <c r="G326" s="85" t="s">
        <v>1098</v>
      </c>
      <c r="H326" s="88" t="s">
        <v>1099</v>
      </c>
      <c r="I326" s="85"/>
      <c r="J326" s="88" t="s">
        <v>1100</v>
      </c>
      <c r="K326" s="92" t="s">
        <v>24</v>
      </c>
      <c r="L326" s="85"/>
      <c r="M326" s="85" t="s">
        <v>1101</v>
      </c>
      <c r="N326" s="88" t="s">
        <v>34</v>
      </c>
      <c r="O326" s="85"/>
      <c r="P326" s="82"/>
    </row>
    <row r="327" hidden="1" spans="1:16">
      <c r="A327" s="83">
        <v>326</v>
      </c>
      <c r="B327" s="103">
        <v>46079</v>
      </c>
      <c r="C327" s="85" t="s">
        <v>68</v>
      </c>
      <c r="D327" s="85" t="s">
        <v>40</v>
      </c>
      <c r="E327" s="85" t="s">
        <v>41</v>
      </c>
      <c r="F327" s="85" t="s">
        <v>28</v>
      </c>
      <c r="G327" s="85" t="s">
        <v>1102</v>
      </c>
      <c r="H327" s="88" t="s">
        <v>1103</v>
      </c>
      <c r="I327" s="85"/>
      <c r="J327" s="88" t="s">
        <v>1100</v>
      </c>
      <c r="K327" s="92" t="s">
        <v>24</v>
      </c>
      <c r="L327" s="85"/>
      <c r="M327" s="85" t="s">
        <v>1101</v>
      </c>
      <c r="N327" s="88" t="s">
        <v>34</v>
      </c>
      <c r="O327" s="85"/>
      <c r="P327" s="82"/>
    </row>
    <row r="328" hidden="1" spans="1:16">
      <c r="A328" s="83">
        <v>327</v>
      </c>
      <c r="B328" s="103">
        <v>46079</v>
      </c>
      <c r="C328" s="85" t="s">
        <v>68</v>
      </c>
      <c r="D328" s="85" t="s">
        <v>40</v>
      </c>
      <c r="E328" s="85" t="s">
        <v>41</v>
      </c>
      <c r="F328" s="85" t="s">
        <v>28</v>
      </c>
      <c r="G328" s="85" t="s">
        <v>1104</v>
      </c>
      <c r="H328" s="88" t="s">
        <v>1105</v>
      </c>
      <c r="I328" s="85"/>
      <c r="J328" s="88" t="s">
        <v>1106</v>
      </c>
      <c r="K328" s="92" t="s">
        <v>24</v>
      </c>
      <c r="L328" s="85"/>
      <c r="M328" s="85" t="s">
        <v>1101</v>
      </c>
      <c r="N328" s="88" t="s">
        <v>34</v>
      </c>
      <c r="O328" s="85"/>
      <c r="P328" s="82"/>
    </row>
    <row r="329" ht="33" hidden="1" spans="1:16">
      <c r="A329" s="83">
        <v>328</v>
      </c>
      <c r="B329" s="103">
        <v>46079</v>
      </c>
      <c r="C329" s="85" t="s">
        <v>68</v>
      </c>
      <c r="D329" s="85" t="s">
        <v>26</v>
      </c>
      <c r="E329" s="85" t="s">
        <v>35</v>
      </c>
      <c r="F329" s="85" t="s">
        <v>28</v>
      </c>
      <c r="G329" s="85" t="s">
        <v>1107</v>
      </c>
      <c r="H329" s="85" t="s">
        <v>1108</v>
      </c>
      <c r="I329" s="85"/>
      <c r="J329" s="88" t="s">
        <v>1109</v>
      </c>
      <c r="K329" s="92" t="s">
        <v>24</v>
      </c>
      <c r="L329" s="85"/>
      <c r="M329" s="85" t="s">
        <v>1110</v>
      </c>
      <c r="N329" s="88" t="s">
        <v>34</v>
      </c>
      <c r="O329" s="85"/>
      <c r="P329" s="82"/>
    </row>
    <row r="330" ht="33" hidden="1" spans="1:16">
      <c r="A330" s="83">
        <v>329</v>
      </c>
      <c r="B330" s="102">
        <v>46079</v>
      </c>
      <c r="C330" s="85" t="s">
        <v>49</v>
      </c>
      <c r="D330" s="85" t="s">
        <v>40</v>
      </c>
      <c r="E330" s="85" t="s">
        <v>41</v>
      </c>
      <c r="F330" s="101" t="s">
        <v>28</v>
      </c>
      <c r="G330" s="85" t="s">
        <v>1111</v>
      </c>
      <c r="H330" s="85" t="s">
        <v>1112</v>
      </c>
      <c r="I330" s="101"/>
      <c r="J330" s="88" t="s">
        <v>1113</v>
      </c>
      <c r="K330" s="92" t="s">
        <v>49</v>
      </c>
      <c r="L330" s="101"/>
      <c r="M330" s="105" t="s">
        <v>1114</v>
      </c>
      <c r="N330" s="88" t="s">
        <v>34</v>
      </c>
      <c r="O330" s="101"/>
      <c r="P330" s="82"/>
    </row>
    <row r="331" ht="33" hidden="1" spans="1:16">
      <c r="A331" s="83">
        <v>330</v>
      </c>
      <c r="B331" s="102">
        <v>46080</v>
      </c>
      <c r="C331" s="85" t="s">
        <v>49</v>
      </c>
      <c r="D331" s="85" t="s">
        <v>40</v>
      </c>
      <c r="E331" s="85" t="s">
        <v>41</v>
      </c>
      <c r="F331" s="101" t="s">
        <v>28</v>
      </c>
      <c r="G331" s="85" t="s">
        <v>1115</v>
      </c>
      <c r="H331" s="85" t="s">
        <v>1116</v>
      </c>
      <c r="I331" s="85"/>
      <c r="J331" s="88" t="s">
        <v>1117</v>
      </c>
      <c r="K331" s="92" t="s">
        <v>49</v>
      </c>
      <c r="L331" s="85"/>
      <c r="M331" s="88" t="s">
        <v>1118</v>
      </c>
      <c r="N331" s="88" t="s">
        <v>34</v>
      </c>
      <c r="O331" s="91"/>
      <c r="P331" s="82"/>
    </row>
    <row r="332" hidden="1" spans="1:16">
      <c r="A332" s="83">
        <v>331</v>
      </c>
      <c r="B332" s="102">
        <v>46080</v>
      </c>
      <c r="C332" s="85" t="s">
        <v>68</v>
      </c>
      <c r="D332" s="85" t="s">
        <v>26</v>
      </c>
      <c r="E332" s="85" t="s">
        <v>27</v>
      </c>
      <c r="F332" s="101" t="s">
        <v>28</v>
      </c>
      <c r="G332" s="85" t="s">
        <v>1119</v>
      </c>
      <c r="H332" s="85" t="s">
        <v>1120</v>
      </c>
      <c r="I332" s="85"/>
      <c r="J332" s="88" t="s">
        <v>1121</v>
      </c>
      <c r="K332" s="92" t="s">
        <v>32</v>
      </c>
      <c r="L332" s="85"/>
      <c r="M332" s="85" t="s">
        <v>1122</v>
      </c>
      <c r="N332" s="88" t="s">
        <v>34</v>
      </c>
      <c r="O332" s="91"/>
      <c r="P332" s="82"/>
    </row>
    <row r="333" hidden="1" spans="1:16">
      <c r="A333" s="83">
        <v>332</v>
      </c>
      <c r="B333" s="102">
        <v>46081</v>
      </c>
      <c r="C333" s="85" t="s">
        <v>68</v>
      </c>
      <c r="D333" s="85" t="s">
        <v>26</v>
      </c>
      <c r="E333" s="85" t="s">
        <v>27</v>
      </c>
      <c r="F333" s="101" t="s">
        <v>28</v>
      </c>
      <c r="G333" s="85" t="s">
        <v>1123</v>
      </c>
      <c r="H333" s="85" t="s">
        <v>1124</v>
      </c>
      <c r="I333" s="85"/>
      <c r="J333" s="88" t="s">
        <v>1125</v>
      </c>
      <c r="K333" s="92" t="s">
        <v>32</v>
      </c>
      <c r="L333" s="85"/>
      <c r="M333" s="85" t="s">
        <v>1126</v>
      </c>
      <c r="N333" s="88" t="s">
        <v>34</v>
      </c>
      <c r="O333" s="91"/>
      <c r="P333" s="82"/>
    </row>
    <row r="334" hidden="1" spans="1:16">
      <c r="A334" s="83">
        <v>333</v>
      </c>
      <c r="B334" s="98">
        <v>46083</v>
      </c>
      <c r="C334" s="85" t="s">
        <v>68</v>
      </c>
      <c r="D334" s="85" t="s">
        <v>26</v>
      </c>
      <c r="E334" s="85" t="s">
        <v>27</v>
      </c>
      <c r="F334" s="101" t="s">
        <v>28</v>
      </c>
      <c r="G334" s="85" t="s">
        <v>1127</v>
      </c>
      <c r="H334" s="85" t="s">
        <v>1128</v>
      </c>
      <c r="I334" s="85"/>
      <c r="J334" s="88" t="s">
        <v>1125</v>
      </c>
      <c r="K334" s="92" t="s">
        <v>32</v>
      </c>
      <c r="L334" s="85"/>
      <c r="M334" s="85" t="s">
        <v>1129</v>
      </c>
      <c r="N334" s="88" t="s">
        <v>34</v>
      </c>
      <c r="O334" s="85"/>
      <c r="P334" s="82"/>
    </row>
    <row r="335" hidden="1" spans="1:16">
      <c r="A335" s="83">
        <v>334</v>
      </c>
      <c r="B335" s="98">
        <v>46083</v>
      </c>
      <c r="C335" s="85" t="s">
        <v>49</v>
      </c>
      <c r="D335" s="85" t="s">
        <v>40</v>
      </c>
      <c r="E335" s="85" t="s">
        <v>41</v>
      </c>
      <c r="F335" s="101" t="s">
        <v>28</v>
      </c>
      <c r="G335" s="85" t="s">
        <v>1130</v>
      </c>
      <c r="H335" s="85" t="s">
        <v>1131</v>
      </c>
      <c r="I335" s="85"/>
      <c r="J335" s="88" t="s">
        <v>1132</v>
      </c>
      <c r="K335" s="92" t="s">
        <v>49</v>
      </c>
      <c r="L335" s="85"/>
      <c r="M335" s="88" t="s">
        <v>1133</v>
      </c>
      <c r="N335" s="90" t="s">
        <v>34</v>
      </c>
      <c r="O335" s="85"/>
      <c r="P335" s="82"/>
    </row>
    <row r="336" ht="49.5" hidden="1" spans="1:16">
      <c r="A336" s="83">
        <v>335</v>
      </c>
      <c r="B336" s="98">
        <v>46083</v>
      </c>
      <c r="C336" s="85" t="s">
        <v>49</v>
      </c>
      <c r="D336" s="85" t="s">
        <v>40</v>
      </c>
      <c r="E336" s="85" t="s">
        <v>41</v>
      </c>
      <c r="F336" s="101" t="s">
        <v>28</v>
      </c>
      <c r="G336" s="88" t="s">
        <v>1134</v>
      </c>
      <c r="H336" s="88" t="s">
        <v>1135</v>
      </c>
      <c r="I336" s="88"/>
      <c r="J336" s="88" t="s">
        <v>1136</v>
      </c>
      <c r="K336" s="92" t="s">
        <v>49</v>
      </c>
      <c r="L336" s="85"/>
      <c r="M336" s="88" t="s">
        <v>1137</v>
      </c>
      <c r="N336" s="90" t="s">
        <v>34</v>
      </c>
      <c r="O336" s="85"/>
      <c r="P336" s="82"/>
    </row>
    <row r="337" ht="49.5" hidden="1" spans="1:16">
      <c r="A337" s="83">
        <v>336</v>
      </c>
      <c r="B337" s="98">
        <v>46083</v>
      </c>
      <c r="C337" s="85" t="s">
        <v>68</v>
      </c>
      <c r="D337" s="85" t="s">
        <v>40</v>
      </c>
      <c r="E337" s="85" t="s">
        <v>41</v>
      </c>
      <c r="F337" s="85" t="s">
        <v>28</v>
      </c>
      <c r="G337" s="88" t="s">
        <v>1138</v>
      </c>
      <c r="H337" s="88" t="s">
        <v>1139</v>
      </c>
      <c r="I337" s="88"/>
      <c r="J337" s="88" t="s">
        <v>1140</v>
      </c>
      <c r="K337" s="92" t="s">
        <v>24</v>
      </c>
      <c r="L337" s="85"/>
      <c r="M337" s="88" t="s">
        <v>1141</v>
      </c>
      <c r="N337" s="90" t="s">
        <v>34</v>
      </c>
      <c r="O337" s="85"/>
      <c r="P337" s="82"/>
    </row>
    <row r="338" ht="33" hidden="1" spans="1:16">
      <c r="A338" s="83">
        <v>337</v>
      </c>
      <c r="B338" s="98">
        <v>46083</v>
      </c>
      <c r="C338" s="85" t="s">
        <v>49</v>
      </c>
      <c r="D338" s="85" t="s">
        <v>40</v>
      </c>
      <c r="E338" s="85" t="s">
        <v>41</v>
      </c>
      <c r="F338" s="85" t="s">
        <v>28</v>
      </c>
      <c r="G338" s="88" t="s">
        <v>1142</v>
      </c>
      <c r="H338" s="88">
        <v>285473855</v>
      </c>
      <c r="I338" s="88"/>
      <c r="J338" s="88" t="s">
        <v>1143</v>
      </c>
      <c r="K338" s="92" t="s">
        <v>49</v>
      </c>
      <c r="L338" s="85"/>
      <c r="M338" s="88" t="s">
        <v>1144</v>
      </c>
      <c r="N338" s="90" t="s">
        <v>34</v>
      </c>
      <c r="O338" s="85"/>
      <c r="P338" s="82"/>
    </row>
    <row r="339" ht="33" hidden="1" spans="1:16">
      <c r="A339" s="83">
        <v>338</v>
      </c>
      <c r="B339" s="98">
        <v>46083</v>
      </c>
      <c r="C339" s="85" t="s">
        <v>403</v>
      </c>
      <c r="D339" s="85" t="s">
        <v>40</v>
      </c>
      <c r="E339" s="85" t="s">
        <v>41</v>
      </c>
      <c r="F339" s="85" t="s">
        <v>28</v>
      </c>
      <c r="G339" s="88" t="s">
        <v>1145</v>
      </c>
      <c r="H339" s="88" t="s">
        <v>1146</v>
      </c>
      <c r="I339" s="88"/>
      <c r="J339" s="88" t="s">
        <v>1147</v>
      </c>
      <c r="K339" s="92" t="s">
        <v>92</v>
      </c>
      <c r="L339" s="85"/>
      <c r="M339" s="88" t="s">
        <v>1148</v>
      </c>
      <c r="N339" s="90" t="s">
        <v>34</v>
      </c>
      <c r="O339" s="85"/>
      <c r="P339" s="82"/>
    </row>
    <row r="340" ht="33" hidden="1" spans="1:16">
      <c r="A340" s="83">
        <v>339</v>
      </c>
      <c r="B340" s="98">
        <v>46083</v>
      </c>
      <c r="C340" s="85" t="s">
        <v>25</v>
      </c>
      <c r="D340" s="85" t="s">
        <v>222</v>
      </c>
      <c r="E340" s="88" t="s">
        <v>223</v>
      </c>
      <c r="F340" s="85" t="s">
        <v>28</v>
      </c>
      <c r="G340" s="88" t="s">
        <v>1149</v>
      </c>
      <c r="H340" s="88" t="s">
        <v>1150</v>
      </c>
      <c r="I340" s="88"/>
      <c r="J340" s="88" t="s">
        <v>1151</v>
      </c>
      <c r="K340" s="92" t="s">
        <v>24</v>
      </c>
      <c r="L340" s="85"/>
      <c r="M340" s="88" t="s">
        <v>1152</v>
      </c>
      <c r="N340" s="90" t="s">
        <v>34</v>
      </c>
      <c r="O340" s="85"/>
      <c r="P340" s="82"/>
    </row>
    <row r="341" hidden="1" spans="1:16">
      <c r="A341" s="83">
        <v>340</v>
      </c>
      <c r="B341" s="98">
        <v>46084</v>
      </c>
      <c r="C341" s="85" t="s">
        <v>68</v>
      </c>
      <c r="D341" s="85" t="s">
        <v>26</v>
      </c>
      <c r="E341" s="85" t="s">
        <v>27</v>
      </c>
      <c r="F341" s="85" t="s">
        <v>28</v>
      </c>
      <c r="G341" s="85" t="s">
        <v>1153</v>
      </c>
      <c r="H341" s="85" t="s">
        <v>1154</v>
      </c>
      <c r="I341" s="85"/>
      <c r="J341" s="88" t="s">
        <v>1155</v>
      </c>
      <c r="K341" s="92" t="s">
        <v>32</v>
      </c>
      <c r="L341" s="85"/>
      <c r="M341" s="88" t="s">
        <v>1156</v>
      </c>
      <c r="N341" s="90" t="s">
        <v>34</v>
      </c>
      <c r="O341" s="85"/>
      <c r="P341" s="82"/>
    </row>
    <row r="342" hidden="1" spans="1:16">
      <c r="A342" s="83">
        <v>341</v>
      </c>
      <c r="B342" s="98">
        <v>46084</v>
      </c>
      <c r="C342" s="85" t="s">
        <v>68</v>
      </c>
      <c r="D342" s="85" t="s">
        <v>26</v>
      </c>
      <c r="E342" s="85" t="s">
        <v>27</v>
      </c>
      <c r="F342" s="85" t="s">
        <v>28</v>
      </c>
      <c r="G342" s="85" t="s">
        <v>1157</v>
      </c>
      <c r="H342" s="85" t="s">
        <v>1158</v>
      </c>
      <c r="I342" s="85"/>
      <c r="J342" s="88" t="s">
        <v>1155</v>
      </c>
      <c r="K342" s="92" t="s">
        <v>32</v>
      </c>
      <c r="L342" s="85"/>
      <c r="M342" s="88" t="s">
        <v>1156</v>
      </c>
      <c r="N342" s="90" t="s">
        <v>34</v>
      </c>
      <c r="O342" s="85"/>
      <c r="P342" s="82"/>
    </row>
    <row r="343" ht="49.5" hidden="1" spans="1:16">
      <c r="A343" s="83">
        <v>342</v>
      </c>
      <c r="B343" s="98">
        <v>46084</v>
      </c>
      <c r="C343" s="85" t="s">
        <v>49</v>
      </c>
      <c r="D343" s="85" t="s">
        <v>40</v>
      </c>
      <c r="E343" s="85" t="s">
        <v>41</v>
      </c>
      <c r="F343" s="85" t="s">
        <v>28</v>
      </c>
      <c r="G343" s="85" t="s">
        <v>1159</v>
      </c>
      <c r="H343" s="85" t="s">
        <v>1160</v>
      </c>
      <c r="I343" s="85"/>
      <c r="J343" s="88" t="s">
        <v>1161</v>
      </c>
      <c r="K343" s="92" t="s">
        <v>49</v>
      </c>
      <c r="L343" s="85"/>
      <c r="M343" s="88" t="s">
        <v>1162</v>
      </c>
      <c r="N343" s="90" t="s">
        <v>34</v>
      </c>
      <c r="O343" s="85"/>
      <c r="P343" s="82"/>
    </row>
    <row r="344" ht="49.5" hidden="1" spans="1:16">
      <c r="A344" s="83">
        <v>343</v>
      </c>
      <c r="B344" s="98">
        <v>46085</v>
      </c>
      <c r="C344" s="85" t="s">
        <v>68</v>
      </c>
      <c r="D344" s="85" t="s">
        <v>40</v>
      </c>
      <c r="E344" s="85" t="s">
        <v>41</v>
      </c>
      <c r="F344" s="85" t="s">
        <v>28</v>
      </c>
      <c r="G344" s="85" t="s">
        <v>1163</v>
      </c>
      <c r="H344" s="85" t="s">
        <v>1164</v>
      </c>
      <c r="I344" s="85"/>
      <c r="J344" s="88" t="s">
        <v>1165</v>
      </c>
      <c r="K344" s="92" t="s">
        <v>24</v>
      </c>
      <c r="L344" s="85"/>
      <c r="M344" s="88" t="s">
        <v>1166</v>
      </c>
      <c r="N344" s="90" t="s">
        <v>34</v>
      </c>
      <c r="O344" s="85"/>
      <c r="P344" s="82"/>
    </row>
    <row r="345" ht="49.5" hidden="1" spans="1:16">
      <c r="A345" s="83">
        <v>344</v>
      </c>
      <c r="B345" s="98">
        <v>46085</v>
      </c>
      <c r="C345" s="85" t="s">
        <v>68</v>
      </c>
      <c r="D345" s="85" t="s">
        <v>222</v>
      </c>
      <c r="E345" s="85" t="s">
        <v>223</v>
      </c>
      <c r="F345" s="85" t="s">
        <v>521</v>
      </c>
      <c r="G345" s="85" t="s">
        <v>1167</v>
      </c>
      <c r="H345" s="85" t="s">
        <v>1168</v>
      </c>
      <c r="I345" s="85"/>
      <c r="J345" s="88" t="s">
        <v>1169</v>
      </c>
      <c r="K345" s="92" t="s">
        <v>32</v>
      </c>
      <c r="L345" s="85"/>
      <c r="M345" s="88" t="s">
        <v>1170</v>
      </c>
      <c r="N345" s="90" t="s">
        <v>34</v>
      </c>
      <c r="O345" s="85"/>
      <c r="P345" s="82"/>
    </row>
    <row r="346" ht="33" hidden="1" spans="1:16">
      <c r="A346" s="83">
        <v>345</v>
      </c>
      <c r="B346" s="98">
        <v>46085</v>
      </c>
      <c r="C346" s="85" t="s">
        <v>49</v>
      </c>
      <c r="D346" s="85" t="s">
        <v>26</v>
      </c>
      <c r="E346" s="85" t="s">
        <v>660</v>
      </c>
      <c r="F346" s="85" t="s">
        <v>28</v>
      </c>
      <c r="G346" s="85" t="s">
        <v>1171</v>
      </c>
      <c r="H346" s="85" t="s">
        <v>1172</v>
      </c>
      <c r="I346" s="85"/>
      <c r="J346" s="88" t="s">
        <v>1173</v>
      </c>
      <c r="K346" s="92" t="s">
        <v>49</v>
      </c>
      <c r="L346" s="85"/>
      <c r="M346" s="88" t="s">
        <v>1174</v>
      </c>
      <c r="N346" s="90" t="s">
        <v>34</v>
      </c>
      <c r="O346" s="85"/>
      <c r="P346" s="82"/>
    </row>
    <row r="347" ht="33" hidden="1" spans="1:16">
      <c r="A347" s="83">
        <v>346</v>
      </c>
      <c r="B347" s="98">
        <v>46085</v>
      </c>
      <c r="C347" s="85" t="s">
        <v>49</v>
      </c>
      <c r="D347" s="85" t="s">
        <v>26</v>
      </c>
      <c r="E347" s="88" t="s">
        <v>27</v>
      </c>
      <c r="F347" s="88" t="s">
        <v>28</v>
      </c>
      <c r="G347" s="88" t="s">
        <v>1175</v>
      </c>
      <c r="H347" s="88" t="s">
        <v>1176</v>
      </c>
      <c r="I347" s="85"/>
      <c r="J347" s="88" t="s">
        <v>1173</v>
      </c>
      <c r="K347" s="92" t="s">
        <v>49</v>
      </c>
      <c r="L347" s="85"/>
      <c r="M347" s="88" t="s">
        <v>1177</v>
      </c>
      <c r="N347" s="90" t="s">
        <v>34</v>
      </c>
      <c r="O347" s="85"/>
      <c r="P347" s="82"/>
    </row>
    <row r="348" ht="99" hidden="1" spans="1:16">
      <c r="A348" s="83">
        <v>347</v>
      </c>
      <c r="B348" s="98">
        <v>46086</v>
      </c>
      <c r="C348" s="85" t="s">
        <v>179</v>
      </c>
      <c r="D348" s="85" t="s">
        <v>40</v>
      </c>
      <c r="E348" s="88" t="s">
        <v>41</v>
      </c>
      <c r="F348" s="88" t="s">
        <v>28</v>
      </c>
      <c r="G348" s="88" t="s">
        <v>1178</v>
      </c>
      <c r="H348" s="88" t="s">
        <v>1179</v>
      </c>
      <c r="I348" s="85"/>
      <c r="J348" s="88" t="s">
        <v>1180</v>
      </c>
      <c r="K348" s="92" t="s">
        <v>92</v>
      </c>
      <c r="L348" s="85"/>
      <c r="M348" s="88" t="s">
        <v>1181</v>
      </c>
      <c r="N348" s="90" t="s">
        <v>34</v>
      </c>
      <c r="O348" s="85"/>
      <c r="P348" s="82"/>
    </row>
    <row r="349" ht="49.5" hidden="1" spans="1:16">
      <c r="A349" s="83">
        <v>348</v>
      </c>
      <c r="B349" s="98">
        <v>46086</v>
      </c>
      <c r="C349" s="85" t="s">
        <v>179</v>
      </c>
      <c r="D349" s="85" t="s">
        <v>26</v>
      </c>
      <c r="E349" s="88" t="s">
        <v>35</v>
      </c>
      <c r="F349" s="88" t="s">
        <v>28</v>
      </c>
      <c r="G349" s="88" t="s">
        <v>1182</v>
      </c>
      <c r="H349" s="88" t="s">
        <v>1183</v>
      </c>
      <c r="I349" s="85"/>
      <c r="J349" s="88" t="s">
        <v>1180</v>
      </c>
      <c r="K349" s="92" t="s">
        <v>92</v>
      </c>
      <c r="L349" s="85"/>
      <c r="M349" s="88" t="s">
        <v>1184</v>
      </c>
      <c r="N349" s="90" t="s">
        <v>34</v>
      </c>
      <c r="O349" s="85"/>
      <c r="P349" s="82"/>
    </row>
    <row r="350" ht="33" hidden="1" spans="1:16">
      <c r="A350" s="83">
        <v>349</v>
      </c>
      <c r="B350" s="98">
        <v>46086</v>
      </c>
      <c r="C350" s="85" t="s">
        <v>49</v>
      </c>
      <c r="D350" s="85" t="s">
        <v>26</v>
      </c>
      <c r="E350" s="88" t="s">
        <v>27</v>
      </c>
      <c r="F350" s="88" t="s">
        <v>28</v>
      </c>
      <c r="G350" s="88" t="s">
        <v>1185</v>
      </c>
      <c r="H350" s="88" t="s">
        <v>1186</v>
      </c>
      <c r="I350" s="85"/>
      <c r="J350" s="88" t="s">
        <v>1187</v>
      </c>
      <c r="K350" s="92" t="s">
        <v>49</v>
      </c>
      <c r="L350" s="85"/>
      <c r="M350" s="88" t="s">
        <v>1188</v>
      </c>
      <c r="N350" s="90" t="s">
        <v>34</v>
      </c>
      <c r="O350" s="85"/>
      <c r="P350" s="82"/>
    </row>
    <row r="351" ht="33" hidden="1" spans="1:16">
      <c r="A351" s="83">
        <v>350</v>
      </c>
      <c r="B351" s="98">
        <v>46086</v>
      </c>
      <c r="C351" s="85" t="s">
        <v>403</v>
      </c>
      <c r="D351" s="85" t="s">
        <v>153</v>
      </c>
      <c r="E351" s="88" t="s">
        <v>411</v>
      </c>
      <c r="F351" s="88" t="s">
        <v>28</v>
      </c>
      <c r="G351" s="88" t="s">
        <v>1189</v>
      </c>
      <c r="H351" s="88" t="s">
        <v>1190</v>
      </c>
      <c r="I351" s="85"/>
      <c r="J351" s="88" t="s">
        <v>1191</v>
      </c>
      <c r="K351" s="92" t="s">
        <v>92</v>
      </c>
      <c r="L351" s="85"/>
      <c r="M351" s="88" t="s">
        <v>1192</v>
      </c>
      <c r="N351" s="90" t="s">
        <v>34</v>
      </c>
      <c r="O351" s="85"/>
      <c r="P351" s="82"/>
    </row>
    <row r="352" ht="82.5" hidden="1" spans="1:16">
      <c r="A352" s="83">
        <v>351</v>
      </c>
      <c r="B352" s="98">
        <v>46086</v>
      </c>
      <c r="C352" s="85" t="s">
        <v>179</v>
      </c>
      <c r="D352" s="85" t="s">
        <v>153</v>
      </c>
      <c r="E352" s="88" t="s">
        <v>411</v>
      </c>
      <c r="F352" s="88" t="s">
        <v>28</v>
      </c>
      <c r="G352" s="88" t="s">
        <v>1193</v>
      </c>
      <c r="H352" s="88" t="s">
        <v>1194</v>
      </c>
      <c r="I352" s="85"/>
      <c r="J352" s="88" t="s">
        <v>1195</v>
      </c>
      <c r="K352" s="92" t="s">
        <v>92</v>
      </c>
      <c r="L352" s="85"/>
      <c r="M352" s="88" t="s">
        <v>1196</v>
      </c>
      <c r="N352" s="90" t="s">
        <v>34</v>
      </c>
      <c r="O352" s="85"/>
      <c r="P352" s="82"/>
    </row>
    <row r="353" hidden="1" spans="1:16">
      <c r="A353" s="83">
        <v>352</v>
      </c>
      <c r="B353" s="98">
        <v>46086</v>
      </c>
      <c r="C353" s="85" t="s">
        <v>49</v>
      </c>
      <c r="D353" s="85" t="s">
        <v>26</v>
      </c>
      <c r="E353" s="85" t="s">
        <v>27</v>
      </c>
      <c r="F353" s="88" t="s">
        <v>28</v>
      </c>
      <c r="G353" s="85" t="s">
        <v>1197</v>
      </c>
      <c r="H353" s="88" t="s">
        <v>1198</v>
      </c>
      <c r="I353" s="85"/>
      <c r="J353" s="88" t="s">
        <v>1187</v>
      </c>
      <c r="K353" s="92" t="s">
        <v>49</v>
      </c>
      <c r="L353" s="85"/>
      <c r="M353" s="88" t="s">
        <v>1199</v>
      </c>
      <c r="N353" s="90" t="s">
        <v>34</v>
      </c>
      <c r="O353" s="85"/>
      <c r="P353" s="82"/>
    </row>
    <row r="354" ht="33" hidden="1" spans="1:16">
      <c r="A354" s="83">
        <v>353</v>
      </c>
      <c r="B354" s="98">
        <v>46086</v>
      </c>
      <c r="C354" s="85" t="s">
        <v>49</v>
      </c>
      <c r="D354" s="85" t="s">
        <v>40</v>
      </c>
      <c r="E354" s="85" t="s">
        <v>41</v>
      </c>
      <c r="F354" s="88" t="s">
        <v>28</v>
      </c>
      <c r="G354" s="85" t="s">
        <v>1200</v>
      </c>
      <c r="H354" s="88" t="s">
        <v>1201</v>
      </c>
      <c r="I354" s="85"/>
      <c r="J354" s="88" t="s">
        <v>1187</v>
      </c>
      <c r="K354" s="92" t="s">
        <v>49</v>
      </c>
      <c r="L354" s="85"/>
      <c r="M354" s="88" t="s">
        <v>1202</v>
      </c>
      <c r="N354" s="90" t="s">
        <v>34</v>
      </c>
      <c r="O354" s="85"/>
      <c r="P354" s="82"/>
    </row>
    <row r="355" hidden="1" spans="1:16">
      <c r="A355" s="83">
        <v>354</v>
      </c>
      <c r="B355" s="98">
        <v>46086</v>
      </c>
      <c r="C355" s="85" t="s">
        <v>49</v>
      </c>
      <c r="D355" s="85" t="s">
        <v>26</v>
      </c>
      <c r="E355" s="85" t="s">
        <v>27</v>
      </c>
      <c r="F355" s="88" t="s">
        <v>28</v>
      </c>
      <c r="G355" s="85" t="s">
        <v>1203</v>
      </c>
      <c r="H355" s="88" t="s">
        <v>1204</v>
      </c>
      <c r="I355" s="85"/>
      <c r="J355" s="88" t="s">
        <v>1187</v>
      </c>
      <c r="K355" s="92" t="s">
        <v>49</v>
      </c>
      <c r="L355" s="85"/>
      <c r="M355" s="88" t="s">
        <v>1205</v>
      </c>
      <c r="N355" s="90" t="s">
        <v>34</v>
      </c>
      <c r="O355" s="85"/>
      <c r="P355" s="82"/>
    </row>
    <row r="356" hidden="1" spans="1:16">
      <c r="A356" s="83">
        <v>355</v>
      </c>
      <c r="B356" s="98">
        <v>46086</v>
      </c>
      <c r="C356" s="85" t="s">
        <v>68</v>
      </c>
      <c r="D356" s="85" t="s">
        <v>26</v>
      </c>
      <c r="E356" s="85" t="s">
        <v>27</v>
      </c>
      <c r="F356" s="88" t="s">
        <v>28</v>
      </c>
      <c r="G356" s="85" t="s">
        <v>1206</v>
      </c>
      <c r="H356" s="85" t="s">
        <v>1207</v>
      </c>
      <c r="I356" s="85"/>
      <c r="J356" s="88" t="s">
        <v>1208</v>
      </c>
      <c r="K356" s="92" t="s">
        <v>32</v>
      </c>
      <c r="L356" s="85"/>
      <c r="M356" s="88" t="s">
        <v>1209</v>
      </c>
      <c r="N356" s="90" t="s">
        <v>34</v>
      </c>
      <c r="O356" s="85"/>
      <c r="P356" s="82"/>
    </row>
    <row r="357" ht="33" hidden="1" spans="1:16">
      <c r="A357" s="83">
        <v>356</v>
      </c>
      <c r="B357" s="98">
        <v>46087</v>
      </c>
      <c r="C357" s="85" t="s">
        <v>1210</v>
      </c>
      <c r="D357" s="85" t="s">
        <v>26</v>
      </c>
      <c r="E357" s="85" t="s">
        <v>27</v>
      </c>
      <c r="F357" s="88" t="s">
        <v>28</v>
      </c>
      <c r="G357" s="85" t="s">
        <v>1211</v>
      </c>
      <c r="H357" s="85" t="s">
        <v>1212</v>
      </c>
      <c r="I357" s="85"/>
      <c r="J357" s="88" t="s">
        <v>1213</v>
      </c>
      <c r="K357" s="92" t="s">
        <v>49</v>
      </c>
      <c r="L357" s="85"/>
      <c r="M357" s="88" t="s">
        <v>1214</v>
      </c>
      <c r="N357" s="90" t="s">
        <v>34</v>
      </c>
      <c r="O357" s="85"/>
      <c r="P357" s="82"/>
    </row>
    <row r="358" hidden="1" spans="1:16">
      <c r="A358" s="83">
        <v>357</v>
      </c>
      <c r="B358" s="98">
        <v>46087</v>
      </c>
      <c r="C358" s="85" t="s">
        <v>68</v>
      </c>
      <c r="D358" s="85" t="s">
        <v>317</v>
      </c>
      <c r="E358" s="85" t="s">
        <v>318</v>
      </c>
      <c r="F358" s="88" t="s">
        <v>28</v>
      </c>
      <c r="G358" s="85" t="s">
        <v>1215</v>
      </c>
      <c r="H358" s="85" t="s">
        <v>1216</v>
      </c>
      <c r="I358" s="85"/>
      <c r="J358" s="88" t="s">
        <v>1217</v>
      </c>
      <c r="K358" s="92" t="s">
        <v>32</v>
      </c>
      <c r="L358" s="85"/>
      <c r="M358" s="88" t="s">
        <v>1218</v>
      </c>
      <c r="N358" s="90" t="s">
        <v>34</v>
      </c>
      <c r="O358" s="85"/>
      <c r="P358" s="82"/>
    </row>
    <row r="359" hidden="1" spans="1:16">
      <c r="A359" s="83">
        <v>358</v>
      </c>
      <c r="B359" s="98">
        <v>46087</v>
      </c>
      <c r="C359" s="85" t="s">
        <v>49</v>
      </c>
      <c r="D359" s="85" t="s">
        <v>153</v>
      </c>
      <c r="E359" s="85" t="s">
        <v>411</v>
      </c>
      <c r="F359" s="88" t="s">
        <v>28</v>
      </c>
      <c r="G359" s="85" t="s">
        <v>1219</v>
      </c>
      <c r="H359" s="85" t="s">
        <v>1220</v>
      </c>
      <c r="I359" s="85"/>
      <c r="J359" s="88" t="s">
        <v>1221</v>
      </c>
      <c r="K359" s="92" t="s">
        <v>49</v>
      </c>
      <c r="L359" s="85"/>
      <c r="M359" s="88" t="s">
        <v>1222</v>
      </c>
      <c r="N359" s="90" t="s">
        <v>34</v>
      </c>
      <c r="O359" s="85"/>
      <c r="P359" s="82"/>
    </row>
    <row r="360" ht="82.5" hidden="1" spans="1:16">
      <c r="A360" s="83">
        <v>359</v>
      </c>
      <c r="B360" s="98">
        <v>46087</v>
      </c>
      <c r="C360" s="85" t="s">
        <v>179</v>
      </c>
      <c r="D360" s="85" t="s">
        <v>26</v>
      </c>
      <c r="E360" s="85" t="s">
        <v>35</v>
      </c>
      <c r="F360" s="88" t="s">
        <v>28</v>
      </c>
      <c r="G360" s="85" t="s">
        <v>1223</v>
      </c>
      <c r="H360" s="85">
        <v>266924155</v>
      </c>
      <c r="I360" s="85"/>
      <c r="J360" s="88" t="s">
        <v>1224</v>
      </c>
      <c r="K360" s="92" t="s">
        <v>1225</v>
      </c>
      <c r="L360" s="85"/>
      <c r="M360" s="88" t="s">
        <v>1226</v>
      </c>
      <c r="N360" s="90" t="s">
        <v>34</v>
      </c>
      <c r="O360" s="85"/>
      <c r="P360" s="82"/>
    </row>
    <row r="361" ht="33" hidden="1" spans="1:16">
      <c r="A361" s="83">
        <v>360</v>
      </c>
      <c r="B361" s="98">
        <v>46087</v>
      </c>
      <c r="C361" s="85" t="s">
        <v>49</v>
      </c>
      <c r="D361" s="85" t="s">
        <v>40</v>
      </c>
      <c r="E361" s="85" t="s">
        <v>41</v>
      </c>
      <c r="F361" s="88" t="s">
        <v>28</v>
      </c>
      <c r="G361" s="85" t="s">
        <v>1227</v>
      </c>
      <c r="H361" s="85" t="s">
        <v>1228</v>
      </c>
      <c r="I361" s="85"/>
      <c r="J361" s="88" t="s">
        <v>1229</v>
      </c>
      <c r="K361" s="92" t="s">
        <v>49</v>
      </c>
      <c r="L361" s="85"/>
      <c r="M361" s="88" t="s">
        <v>1230</v>
      </c>
      <c r="N361" s="90" t="s">
        <v>34</v>
      </c>
      <c r="O361" s="85"/>
      <c r="P361" s="82"/>
    </row>
    <row r="362" ht="33" hidden="1" spans="1:16">
      <c r="A362" s="83">
        <v>361</v>
      </c>
      <c r="B362" s="98">
        <v>46087</v>
      </c>
      <c r="C362" s="85" t="s">
        <v>68</v>
      </c>
      <c r="D362" s="85" t="s">
        <v>40</v>
      </c>
      <c r="E362" s="85" t="s">
        <v>148</v>
      </c>
      <c r="F362" s="88" t="s">
        <v>28</v>
      </c>
      <c r="G362" s="97" t="s">
        <v>1231</v>
      </c>
      <c r="H362" s="85" t="s">
        <v>1232</v>
      </c>
      <c r="I362" s="85"/>
      <c r="J362" s="88" t="s">
        <v>1233</v>
      </c>
      <c r="K362" s="92" t="s">
        <v>24</v>
      </c>
      <c r="L362" s="85"/>
      <c r="M362" s="88" t="s">
        <v>1234</v>
      </c>
      <c r="N362" s="90" t="s">
        <v>34</v>
      </c>
      <c r="O362" s="85" t="s">
        <v>280</v>
      </c>
      <c r="P362" s="82"/>
    </row>
    <row r="363" ht="33" hidden="1" spans="1:16">
      <c r="A363" s="83">
        <v>362</v>
      </c>
      <c r="B363" s="98">
        <v>46087</v>
      </c>
      <c r="C363" s="85" t="s">
        <v>68</v>
      </c>
      <c r="D363" s="85" t="s">
        <v>26</v>
      </c>
      <c r="E363" s="85" t="s">
        <v>35</v>
      </c>
      <c r="F363" s="88" t="s">
        <v>28</v>
      </c>
      <c r="G363" s="85" t="s">
        <v>1235</v>
      </c>
      <c r="H363" s="85" t="s">
        <v>1236</v>
      </c>
      <c r="I363" s="85"/>
      <c r="J363" s="88" t="s">
        <v>1237</v>
      </c>
      <c r="K363" s="92" t="s">
        <v>32</v>
      </c>
      <c r="L363" s="85"/>
      <c r="M363" s="88" t="s">
        <v>1238</v>
      </c>
      <c r="N363" s="90" t="s">
        <v>34</v>
      </c>
      <c r="O363" s="85"/>
      <c r="P363" s="82"/>
    </row>
    <row r="364" ht="33" hidden="1" spans="1:16">
      <c r="A364" s="83">
        <v>363</v>
      </c>
      <c r="B364" s="98">
        <v>46087</v>
      </c>
      <c r="C364" s="85" t="s">
        <v>49</v>
      </c>
      <c r="D364" s="85" t="s">
        <v>40</v>
      </c>
      <c r="E364" s="85" t="s">
        <v>41</v>
      </c>
      <c r="F364" s="88" t="s">
        <v>28</v>
      </c>
      <c r="G364" s="85" t="s">
        <v>1239</v>
      </c>
      <c r="H364" s="85" t="s">
        <v>1240</v>
      </c>
      <c r="I364" s="85"/>
      <c r="J364" s="88" t="s">
        <v>1221</v>
      </c>
      <c r="K364" s="92" t="s">
        <v>49</v>
      </c>
      <c r="L364" s="85"/>
      <c r="M364" s="88" t="s">
        <v>1241</v>
      </c>
      <c r="N364" s="90" t="s">
        <v>34</v>
      </c>
      <c r="O364" s="85"/>
      <c r="P364" s="82"/>
    </row>
    <row r="365" ht="165" hidden="1" spans="1:16">
      <c r="A365" s="83">
        <v>364</v>
      </c>
      <c r="B365" s="98">
        <v>46089</v>
      </c>
      <c r="C365" s="85" t="s">
        <v>25</v>
      </c>
      <c r="D365" s="85" t="s">
        <v>164</v>
      </c>
      <c r="E365" s="85" t="s">
        <v>416</v>
      </c>
      <c r="F365" s="88" t="s">
        <v>28</v>
      </c>
      <c r="G365" s="85" t="s">
        <v>1242</v>
      </c>
      <c r="H365" s="85" t="s">
        <v>1243</v>
      </c>
      <c r="I365" s="85"/>
      <c r="J365" s="88" t="s">
        <v>1244</v>
      </c>
      <c r="K365" s="92" t="s">
        <v>24</v>
      </c>
      <c r="L365" s="85"/>
      <c r="M365" s="88" t="s">
        <v>1245</v>
      </c>
      <c r="N365" s="90" t="s">
        <v>34</v>
      </c>
      <c r="O365" s="85" t="s">
        <v>1246</v>
      </c>
      <c r="P365" s="82"/>
    </row>
    <row r="366" hidden="1" spans="1:16">
      <c r="A366" s="83">
        <v>365</v>
      </c>
      <c r="B366" s="98">
        <v>46089</v>
      </c>
      <c r="C366" s="85" t="s">
        <v>49</v>
      </c>
      <c r="D366" s="85" t="s">
        <v>164</v>
      </c>
      <c r="E366" s="85" t="s">
        <v>416</v>
      </c>
      <c r="F366" s="88" t="s">
        <v>28</v>
      </c>
      <c r="G366" s="85" t="s">
        <v>1247</v>
      </c>
      <c r="H366" s="85" t="s">
        <v>1248</v>
      </c>
      <c r="I366" s="85"/>
      <c r="J366" s="88" t="s">
        <v>1249</v>
      </c>
      <c r="K366" s="92" t="s">
        <v>49</v>
      </c>
      <c r="L366" s="85"/>
      <c r="M366" s="88" t="s">
        <v>1250</v>
      </c>
      <c r="N366" s="90" t="s">
        <v>34</v>
      </c>
      <c r="O366" s="85"/>
      <c r="P366" s="82"/>
    </row>
    <row r="367" hidden="1" spans="1:16">
      <c r="A367" s="83">
        <v>366</v>
      </c>
      <c r="B367" s="98">
        <v>46089</v>
      </c>
      <c r="C367" s="85" t="s">
        <v>49</v>
      </c>
      <c r="D367" s="85" t="s">
        <v>164</v>
      </c>
      <c r="E367" s="85" t="s">
        <v>416</v>
      </c>
      <c r="F367" s="88" t="s">
        <v>28</v>
      </c>
      <c r="G367" s="85" t="s">
        <v>1251</v>
      </c>
      <c r="H367" s="85">
        <v>11203901111</v>
      </c>
      <c r="I367" s="85"/>
      <c r="J367" s="88" t="s">
        <v>1249</v>
      </c>
      <c r="K367" s="92" t="s">
        <v>49</v>
      </c>
      <c r="L367" s="85"/>
      <c r="M367" s="88" t="s">
        <v>1250</v>
      </c>
      <c r="N367" s="90" t="s">
        <v>34</v>
      </c>
      <c r="O367" s="85"/>
      <c r="P367" s="82"/>
    </row>
    <row r="368" ht="33" hidden="1" spans="1:16">
      <c r="A368" s="83">
        <v>367</v>
      </c>
      <c r="B368" s="98">
        <v>46090</v>
      </c>
      <c r="C368" s="85" t="s">
        <v>403</v>
      </c>
      <c r="D368" s="85" t="s">
        <v>26</v>
      </c>
      <c r="E368" s="85" t="s">
        <v>35</v>
      </c>
      <c r="F368" s="88" t="s">
        <v>28</v>
      </c>
      <c r="G368" s="85" t="s">
        <v>1252</v>
      </c>
      <c r="H368" s="85" t="s">
        <v>1253</v>
      </c>
      <c r="I368" s="85"/>
      <c r="J368" s="88" t="s">
        <v>1254</v>
      </c>
      <c r="K368" s="92" t="s">
        <v>92</v>
      </c>
      <c r="L368" s="85"/>
      <c r="M368" s="88" t="s">
        <v>1255</v>
      </c>
      <c r="N368" s="90" t="s">
        <v>34</v>
      </c>
      <c r="O368" s="85"/>
      <c r="P368" s="82"/>
    </row>
    <row r="369" hidden="1" spans="1:16">
      <c r="A369" s="83">
        <v>368</v>
      </c>
      <c r="B369" s="98">
        <v>46090</v>
      </c>
      <c r="C369" s="85" t="s">
        <v>49</v>
      </c>
      <c r="D369" s="85" t="s">
        <v>26</v>
      </c>
      <c r="E369" s="85" t="s">
        <v>27</v>
      </c>
      <c r="F369" s="88" t="s">
        <v>28</v>
      </c>
      <c r="G369" s="88" t="s">
        <v>1256</v>
      </c>
      <c r="H369" s="85" t="s">
        <v>1257</v>
      </c>
      <c r="I369" s="85"/>
      <c r="J369" s="88" t="s">
        <v>1258</v>
      </c>
      <c r="K369" s="92" t="s">
        <v>49</v>
      </c>
      <c r="L369" s="85"/>
      <c r="M369" s="88" t="s">
        <v>1259</v>
      </c>
      <c r="N369" s="90" t="s">
        <v>34</v>
      </c>
      <c r="O369" s="85"/>
      <c r="P369" s="82"/>
    </row>
    <row r="370" ht="115.5" hidden="1" spans="1:16">
      <c r="A370" s="83">
        <v>369</v>
      </c>
      <c r="B370" s="98">
        <v>46090</v>
      </c>
      <c r="C370" s="85" t="s">
        <v>179</v>
      </c>
      <c r="D370" s="85" t="s">
        <v>26</v>
      </c>
      <c r="E370" s="85" t="s">
        <v>35</v>
      </c>
      <c r="F370" s="88" t="s">
        <v>28</v>
      </c>
      <c r="G370" s="85" t="s">
        <v>1260</v>
      </c>
      <c r="H370" s="85" t="s">
        <v>1261</v>
      </c>
      <c r="I370" s="85"/>
      <c r="J370" s="88" t="s">
        <v>1262</v>
      </c>
      <c r="K370" s="92" t="s">
        <v>92</v>
      </c>
      <c r="L370" s="85"/>
      <c r="M370" s="88" t="s">
        <v>1263</v>
      </c>
      <c r="N370" s="90" t="s">
        <v>34</v>
      </c>
      <c r="O370" s="85"/>
      <c r="P370" s="82"/>
    </row>
    <row r="371" ht="66" hidden="1" spans="1:16">
      <c r="A371" s="83">
        <v>370</v>
      </c>
      <c r="B371" s="98">
        <v>46090</v>
      </c>
      <c r="C371" s="85" t="s">
        <v>179</v>
      </c>
      <c r="D371" s="85" t="s">
        <v>40</v>
      </c>
      <c r="E371" s="85" t="s">
        <v>41</v>
      </c>
      <c r="F371" s="88" t="s">
        <v>28</v>
      </c>
      <c r="G371" s="85" t="s">
        <v>1264</v>
      </c>
      <c r="H371" s="85" t="s">
        <v>1265</v>
      </c>
      <c r="I371" s="85"/>
      <c r="J371" s="88" t="s">
        <v>1262</v>
      </c>
      <c r="K371" s="92" t="s">
        <v>92</v>
      </c>
      <c r="L371" s="85"/>
      <c r="M371" s="88" t="s">
        <v>1266</v>
      </c>
      <c r="N371" s="90" t="s">
        <v>34</v>
      </c>
      <c r="O371" s="85"/>
      <c r="P371" s="82"/>
    </row>
    <row r="372" hidden="1" spans="1:16">
      <c r="A372" s="83">
        <v>371</v>
      </c>
      <c r="B372" s="98">
        <v>46090</v>
      </c>
      <c r="C372" s="85" t="s">
        <v>68</v>
      </c>
      <c r="D372" s="85" t="s">
        <v>26</v>
      </c>
      <c r="E372" s="85" t="s">
        <v>27</v>
      </c>
      <c r="F372" s="88" t="s">
        <v>28</v>
      </c>
      <c r="G372" s="85" t="s">
        <v>1267</v>
      </c>
      <c r="H372" s="85" t="s">
        <v>1268</v>
      </c>
      <c r="I372" s="85"/>
      <c r="J372" s="88" t="s">
        <v>1269</v>
      </c>
      <c r="K372" s="92" t="s">
        <v>32</v>
      </c>
      <c r="L372" s="85"/>
      <c r="M372" s="88" t="s">
        <v>1259</v>
      </c>
      <c r="N372" s="90" t="s">
        <v>34</v>
      </c>
      <c r="O372" s="85"/>
      <c r="P372" s="82"/>
    </row>
    <row r="373" hidden="1" spans="1:16">
      <c r="A373" s="83">
        <v>372</v>
      </c>
      <c r="B373" s="98">
        <v>46090</v>
      </c>
      <c r="C373" s="85" t="s">
        <v>49</v>
      </c>
      <c r="D373" s="85" t="s">
        <v>26</v>
      </c>
      <c r="E373" s="85" t="s">
        <v>27</v>
      </c>
      <c r="F373" s="88" t="s">
        <v>28</v>
      </c>
      <c r="G373" s="85" t="s">
        <v>1270</v>
      </c>
      <c r="H373" s="88">
        <v>266751555</v>
      </c>
      <c r="I373" s="88"/>
      <c r="J373" s="88" t="s">
        <v>1258</v>
      </c>
      <c r="K373" s="92" t="s">
        <v>49</v>
      </c>
      <c r="L373" s="85"/>
      <c r="M373" s="88" t="s">
        <v>1250</v>
      </c>
      <c r="N373" s="90" t="s">
        <v>34</v>
      </c>
      <c r="O373" s="85"/>
      <c r="P373" s="82"/>
    </row>
    <row r="374" ht="33" hidden="1" spans="1:16">
      <c r="A374" s="83">
        <v>373</v>
      </c>
      <c r="B374" s="98">
        <v>46090</v>
      </c>
      <c r="C374" s="85" t="s">
        <v>49</v>
      </c>
      <c r="D374" s="85" t="s">
        <v>26</v>
      </c>
      <c r="E374" s="85" t="s">
        <v>27</v>
      </c>
      <c r="F374" s="88" t="s">
        <v>28</v>
      </c>
      <c r="G374" s="85" t="s">
        <v>1271</v>
      </c>
      <c r="H374" s="88" t="s">
        <v>1272</v>
      </c>
      <c r="I374" s="88"/>
      <c r="J374" s="88" t="s">
        <v>1258</v>
      </c>
      <c r="K374" s="92" t="s">
        <v>49</v>
      </c>
      <c r="L374" s="85"/>
      <c r="M374" s="88" t="s">
        <v>1273</v>
      </c>
      <c r="N374" s="90" t="s">
        <v>34</v>
      </c>
      <c r="O374" s="85"/>
      <c r="P374" s="82"/>
    </row>
    <row r="375" hidden="1" spans="1:16">
      <c r="A375" s="83">
        <v>374</v>
      </c>
      <c r="B375" s="98">
        <v>46090</v>
      </c>
      <c r="C375" s="85" t="s">
        <v>68</v>
      </c>
      <c r="D375" s="85" t="s">
        <v>26</v>
      </c>
      <c r="E375" s="85" t="s">
        <v>27</v>
      </c>
      <c r="F375" s="88" t="s">
        <v>28</v>
      </c>
      <c r="G375" s="88" t="s">
        <v>1274</v>
      </c>
      <c r="H375" s="88" t="s">
        <v>1275</v>
      </c>
      <c r="I375" s="88"/>
      <c r="J375" s="88" t="s">
        <v>1269</v>
      </c>
      <c r="K375" s="92" t="s">
        <v>32</v>
      </c>
      <c r="L375" s="85"/>
      <c r="M375" s="88" t="s">
        <v>1259</v>
      </c>
      <c r="N375" s="90" t="s">
        <v>34</v>
      </c>
      <c r="O375" s="85"/>
      <c r="P375" s="82"/>
    </row>
    <row r="376" hidden="1" spans="1:16">
      <c r="A376" s="83">
        <v>375</v>
      </c>
      <c r="B376" s="98">
        <v>46090</v>
      </c>
      <c r="C376" s="85" t="s">
        <v>68</v>
      </c>
      <c r="D376" s="85" t="s">
        <v>26</v>
      </c>
      <c r="E376" s="85" t="s">
        <v>27</v>
      </c>
      <c r="F376" s="88" t="s">
        <v>28</v>
      </c>
      <c r="G376" s="88" t="s">
        <v>1276</v>
      </c>
      <c r="H376" s="88" t="s">
        <v>1277</v>
      </c>
      <c r="I376" s="88"/>
      <c r="J376" s="88" t="s">
        <v>1269</v>
      </c>
      <c r="K376" s="92" t="s">
        <v>32</v>
      </c>
      <c r="L376" s="85"/>
      <c r="M376" s="88" t="s">
        <v>1259</v>
      </c>
      <c r="N376" s="90" t="s">
        <v>34</v>
      </c>
      <c r="O376" s="85"/>
      <c r="P376" s="82"/>
    </row>
    <row r="377" hidden="1" spans="1:16">
      <c r="A377" s="83">
        <v>376</v>
      </c>
      <c r="B377" s="98">
        <v>46090</v>
      </c>
      <c r="C377" s="85" t="s">
        <v>68</v>
      </c>
      <c r="D377" s="85" t="s">
        <v>26</v>
      </c>
      <c r="E377" s="85" t="s">
        <v>27</v>
      </c>
      <c r="F377" s="88" t="s">
        <v>28</v>
      </c>
      <c r="G377" s="85" t="s">
        <v>1278</v>
      </c>
      <c r="H377" s="88" t="s">
        <v>1279</v>
      </c>
      <c r="I377" s="88"/>
      <c r="J377" s="88" t="s">
        <v>1269</v>
      </c>
      <c r="K377" s="92" t="s">
        <v>32</v>
      </c>
      <c r="L377" s="85"/>
      <c r="M377" s="88" t="s">
        <v>1259</v>
      </c>
      <c r="N377" s="90" t="s">
        <v>34</v>
      </c>
      <c r="O377" s="85"/>
      <c r="P377" s="82"/>
    </row>
    <row r="378" ht="33" hidden="1" spans="1:16">
      <c r="A378" s="83">
        <v>377</v>
      </c>
      <c r="B378" s="98">
        <v>46090</v>
      </c>
      <c r="C378" s="85" t="s">
        <v>25</v>
      </c>
      <c r="D378" s="85" t="s">
        <v>26</v>
      </c>
      <c r="E378" s="85" t="s">
        <v>27</v>
      </c>
      <c r="F378" s="88" t="s">
        <v>28</v>
      </c>
      <c r="G378" s="85" t="s">
        <v>1280</v>
      </c>
      <c r="H378" s="88">
        <v>598949143</v>
      </c>
      <c r="I378" s="88"/>
      <c r="J378" s="88" t="s">
        <v>1281</v>
      </c>
      <c r="K378" s="92" t="s">
        <v>24</v>
      </c>
      <c r="L378" s="85"/>
      <c r="M378" s="88" t="s">
        <v>1282</v>
      </c>
      <c r="N378" s="90" t="s">
        <v>34</v>
      </c>
      <c r="O378" s="85" t="s">
        <v>794</v>
      </c>
      <c r="P378" s="82"/>
    </row>
    <row r="379" ht="33" hidden="1" spans="1:16">
      <c r="A379" s="83">
        <v>378</v>
      </c>
      <c r="B379" s="98">
        <v>46090</v>
      </c>
      <c r="C379" s="85" t="s">
        <v>49</v>
      </c>
      <c r="D379" s="85" t="s">
        <v>26</v>
      </c>
      <c r="E379" s="85" t="s">
        <v>27</v>
      </c>
      <c r="F379" s="88" t="s">
        <v>28</v>
      </c>
      <c r="G379" s="85" t="s">
        <v>1283</v>
      </c>
      <c r="H379" s="88" t="s">
        <v>1284</v>
      </c>
      <c r="I379" s="88"/>
      <c r="J379" s="88" t="s">
        <v>1258</v>
      </c>
      <c r="K379" s="92" t="s">
        <v>49</v>
      </c>
      <c r="L379" s="85"/>
      <c r="M379" s="88" t="s">
        <v>1273</v>
      </c>
      <c r="N379" s="90" t="s">
        <v>34</v>
      </c>
      <c r="O379" s="85"/>
      <c r="P379" s="82"/>
    </row>
    <row r="380" ht="33" hidden="1" spans="1:16">
      <c r="A380" s="83">
        <v>379</v>
      </c>
      <c r="B380" s="98">
        <v>46090</v>
      </c>
      <c r="C380" s="85" t="s">
        <v>49</v>
      </c>
      <c r="D380" s="85" t="s">
        <v>26</v>
      </c>
      <c r="E380" s="85" t="s">
        <v>35</v>
      </c>
      <c r="F380" s="88" t="s">
        <v>28</v>
      </c>
      <c r="G380" s="85" t="s">
        <v>1285</v>
      </c>
      <c r="H380" s="88" t="s">
        <v>1286</v>
      </c>
      <c r="I380" s="88"/>
      <c r="J380" s="88" t="s">
        <v>1258</v>
      </c>
      <c r="K380" s="92" t="s">
        <v>49</v>
      </c>
      <c r="L380" s="85"/>
      <c r="M380" s="88" t="s">
        <v>1273</v>
      </c>
      <c r="N380" s="90" t="s">
        <v>34</v>
      </c>
      <c r="O380" s="85"/>
      <c r="P380" s="82"/>
    </row>
    <row r="381" ht="33" hidden="1" spans="1:16">
      <c r="A381" s="83">
        <v>380</v>
      </c>
      <c r="B381" s="98">
        <v>46090</v>
      </c>
      <c r="C381" s="85" t="s">
        <v>68</v>
      </c>
      <c r="D381" s="85" t="s">
        <v>153</v>
      </c>
      <c r="E381" s="85" t="s">
        <v>154</v>
      </c>
      <c r="F381" s="88" t="s">
        <v>28</v>
      </c>
      <c r="G381" s="85" t="s">
        <v>1287</v>
      </c>
      <c r="H381" s="88" t="s">
        <v>1288</v>
      </c>
      <c r="I381" s="88"/>
      <c r="J381" s="88" t="s">
        <v>1289</v>
      </c>
      <c r="K381" s="92" t="s">
        <v>32</v>
      </c>
      <c r="L381" s="85"/>
      <c r="M381" s="88" t="s">
        <v>1290</v>
      </c>
      <c r="N381" s="90" t="s">
        <v>34</v>
      </c>
      <c r="O381" s="85"/>
      <c r="P381" s="82"/>
    </row>
    <row r="382" ht="49.5" hidden="1" spans="1:16">
      <c r="A382" s="83">
        <v>381</v>
      </c>
      <c r="B382" s="98">
        <v>46091</v>
      </c>
      <c r="C382" s="85" t="s">
        <v>179</v>
      </c>
      <c r="D382" s="85" t="s">
        <v>26</v>
      </c>
      <c r="E382" s="88" t="s">
        <v>35</v>
      </c>
      <c r="F382" s="88" t="s">
        <v>28</v>
      </c>
      <c r="G382" s="88" t="s">
        <v>1291</v>
      </c>
      <c r="H382" s="88" t="s">
        <v>1292</v>
      </c>
      <c r="I382" s="85"/>
      <c r="J382" s="88" t="s">
        <v>1293</v>
      </c>
      <c r="K382" s="92" t="s">
        <v>92</v>
      </c>
      <c r="L382" s="85"/>
      <c r="M382" s="88" t="s">
        <v>1294</v>
      </c>
      <c r="N382" s="90" t="s">
        <v>34</v>
      </c>
      <c r="O382" s="85"/>
      <c r="P382" s="82"/>
    </row>
    <row r="383" hidden="1" spans="1:16">
      <c r="A383" s="83">
        <v>382</v>
      </c>
      <c r="B383" s="98">
        <v>46091</v>
      </c>
      <c r="C383" s="85" t="s">
        <v>25</v>
      </c>
      <c r="D383" s="85" t="s">
        <v>26</v>
      </c>
      <c r="E383" s="88" t="s">
        <v>27</v>
      </c>
      <c r="F383" s="88" t="s">
        <v>28</v>
      </c>
      <c r="G383" s="88" t="s">
        <v>1295</v>
      </c>
      <c r="H383" s="88" t="s">
        <v>1296</v>
      </c>
      <c r="I383" s="85"/>
      <c r="J383" s="88" t="s">
        <v>1297</v>
      </c>
      <c r="K383" s="92" t="s">
        <v>92</v>
      </c>
      <c r="L383" s="85"/>
      <c r="M383" s="88" t="s">
        <v>1298</v>
      </c>
      <c r="N383" s="90" t="s">
        <v>34</v>
      </c>
      <c r="O383" s="85"/>
      <c r="P383" s="82"/>
    </row>
    <row r="384" ht="33" hidden="1" spans="1:16">
      <c r="A384" s="83">
        <v>383</v>
      </c>
      <c r="B384" s="98">
        <v>46091</v>
      </c>
      <c r="C384" s="85" t="s">
        <v>25</v>
      </c>
      <c r="D384" s="85" t="s">
        <v>26</v>
      </c>
      <c r="E384" s="88" t="s">
        <v>27</v>
      </c>
      <c r="F384" s="88" t="s">
        <v>28</v>
      </c>
      <c r="G384" s="88" t="s">
        <v>1299</v>
      </c>
      <c r="H384" s="88" t="s">
        <v>1300</v>
      </c>
      <c r="I384" s="85"/>
      <c r="J384" s="88" t="s">
        <v>1301</v>
      </c>
      <c r="K384" s="92" t="s">
        <v>92</v>
      </c>
      <c r="L384" s="85"/>
      <c r="M384" s="88" t="s">
        <v>1302</v>
      </c>
      <c r="N384" s="90" t="s">
        <v>34</v>
      </c>
      <c r="O384" s="85"/>
      <c r="P384" s="82"/>
    </row>
    <row r="385" hidden="1" spans="1:16">
      <c r="A385" s="83">
        <v>384</v>
      </c>
      <c r="B385" s="98">
        <v>46091</v>
      </c>
      <c r="C385" s="85" t="s">
        <v>25</v>
      </c>
      <c r="D385" s="85" t="s">
        <v>26</v>
      </c>
      <c r="E385" s="88" t="s">
        <v>27</v>
      </c>
      <c r="F385" s="88" t="s">
        <v>28</v>
      </c>
      <c r="G385" s="88" t="s">
        <v>1303</v>
      </c>
      <c r="H385" s="88" t="s">
        <v>1304</v>
      </c>
      <c r="I385" s="85"/>
      <c r="J385" s="88" t="s">
        <v>1297</v>
      </c>
      <c r="K385" s="92" t="s">
        <v>92</v>
      </c>
      <c r="L385" s="85"/>
      <c r="M385" s="88" t="s">
        <v>1298</v>
      </c>
      <c r="N385" s="90" t="s">
        <v>34</v>
      </c>
      <c r="O385" s="85"/>
      <c r="P385" s="82"/>
    </row>
    <row r="386" hidden="1" spans="1:16">
      <c r="A386" s="83">
        <v>385</v>
      </c>
      <c r="B386" s="98">
        <v>46091</v>
      </c>
      <c r="C386" s="85" t="s">
        <v>25</v>
      </c>
      <c r="D386" s="85" t="s">
        <v>26</v>
      </c>
      <c r="E386" s="88" t="s">
        <v>27</v>
      </c>
      <c r="F386" s="88" t="s">
        <v>28</v>
      </c>
      <c r="G386" s="88" t="s">
        <v>1305</v>
      </c>
      <c r="H386" s="88" t="s">
        <v>1306</v>
      </c>
      <c r="I386" s="85"/>
      <c r="J386" s="88" t="s">
        <v>1297</v>
      </c>
      <c r="K386" s="92" t="s">
        <v>92</v>
      </c>
      <c r="L386" s="85"/>
      <c r="M386" s="88" t="s">
        <v>1298</v>
      </c>
      <c r="N386" s="90" t="s">
        <v>34</v>
      </c>
      <c r="O386" s="85"/>
      <c r="P386" s="82"/>
    </row>
    <row r="387" ht="33" hidden="1" spans="1:16">
      <c r="A387" s="83">
        <v>386</v>
      </c>
      <c r="B387" s="98">
        <v>46091</v>
      </c>
      <c r="C387" s="85" t="s">
        <v>49</v>
      </c>
      <c r="D387" s="85" t="s">
        <v>153</v>
      </c>
      <c r="E387" s="88" t="s">
        <v>154</v>
      </c>
      <c r="F387" s="88" t="s">
        <v>28</v>
      </c>
      <c r="G387" s="88" t="s">
        <v>1307</v>
      </c>
      <c r="H387" s="88">
        <v>264346970</v>
      </c>
      <c r="I387" s="88"/>
      <c r="J387" s="88" t="s">
        <v>1308</v>
      </c>
      <c r="K387" s="92" t="s">
        <v>49</v>
      </c>
      <c r="L387" s="85"/>
      <c r="M387" s="88" t="s">
        <v>1309</v>
      </c>
      <c r="N387" s="90" t="s">
        <v>34</v>
      </c>
      <c r="O387" s="85"/>
      <c r="P387" s="82"/>
    </row>
    <row r="388" hidden="1" spans="1:16">
      <c r="A388" s="83">
        <v>387</v>
      </c>
      <c r="B388" s="98">
        <v>46091</v>
      </c>
      <c r="C388" s="85" t="s">
        <v>68</v>
      </c>
      <c r="D388" s="85" t="s">
        <v>40</v>
      </c>
      <c r="E388" s="88" t="s">
        <v>41</v>
      </c>
      <c r="F388" s="88" t="s">
        <v>28</v>
      </c>
      <c r="G388" s="88" t="s">
        <v>1310</v>
      </c>
      <c r="H388" s="88" t="s">
        <v>1311</v>
      </c>
      <c r="I388" s="88"/>
      <c r="J388" s="88" t="s">
        <v>1312</v>
      </c>
      <c r="K388" s="92" t="s">
        <v>24</v>
      </c>
      <c r="L388" s="85"/>
      <c r="M388" s="97" t="s">
        <v>1313</v>
      </c>
      <c r="N388" s="90" t="s">
        <v>34</v>
      </c>
      <c r="O388" s="85"/>
      <c r="P388" s="82"/>
    </row>
    <row r="389" hidden="1" spans="1:16">
      <c r="A389" s="83">
        <v>388</v>
      </c>
      <c r="B389" s="98">
        <v>46091</v>
      </c>
      <c r="C389" s="85" t="s">
        <v>68</v>
      </c>
      <c r="D389" s="85" t="s">
        <v>40</v>
      </c>
      <c r="E389" s="88" t="s">
        <v>41</v>
      </c>
      <c r="F389" s="88" t="s">
        <v>28</v>
      </c>
      <c r="G389" s="88" t="s">
        <v>1314</v>
      </c>
      <c r="H389" s="88" t="s">
        <v>1315</v>
      </c>
      <c r="I389" s="97"/>
      <c r="J389" s="88" t="s">
        <v>1312</v>
      </c>
      <c r="K389" s="92" t="s">
        <v>24</v>
      </c>
      <c r="L389" s="85"/>
      <c r="M389" s="97" t="s">
        <v>1313</v>
      </c>
      <c r="N389" s="90" t="s">
        <v>34</v>
      </c>
      <c r="O389" s="85"/>
      <c r="P389" s="82"/>
    </row>
    <row r="390" hidden="1" spans="1:16">
      <c r="A390" s="83">
        <v>389</v>
      </c>
      <c r="B390" s="98">
        <v>46091</v>
      </c>
      <c r="C390" s="85" t="s">
        <v>68</v>
      </c>
      <c r="D390" s="85" t="s">
        <v>26</v>
      </c>
      <c r="E390" s="88" t="s">
        <v>27</v>
      </c>
      <c r="F390" s="88" t="s">
        <v>28</v>
      </c>
      <c r="G390" s="88" t="s">
        <v>1316</v>
      </c>
      <c r="H390" s="88" t="s">
        <v>1317</v>
      </c>
      <c r="I390" s="88"/>
      <c r="J390" s="88" t="s">
        <v>1269</v>
      </c>
      <c r="K390" s="92" t="s">
        <v>32</v>
      </c>
      <c r="L390" s="85"/>
      <c r="M390" s="88" t="s">
        <v>1318</v>
      </c>
      <c r="N390" s="90" t="s">
        <v>34</v>
      </c>
      <c r="O390" s="85"/>
      <c r="P390" s="82"/>
    </row>
    <row r="391" hidden="1" spans="1:16">
      <c r="A391" s="83">
        <v>390</v>
      </c>
      <c r="B391" s="98">
        <v>46091</v>
      </c>
      <c r="C391" s="85" t="s">
        <v>49</v>
      </c>
      <c r="D391" s="85" t="s">
        <v>26</v>
      </c>
      <c r="E391" s="88" t="s">
        <v>27</v>
      </c>
      <c r="F391" s="88" t="s">
        <v>28</v>
      </c>
      <c r="G391" s="88" t="s">
        <v>1319</v>
      </c>
      <c r="H391" s="88" t="s">
        <v>1320</v>
      </c>
      <c r="I391" s="88"/>
      <c r="J391" s="88" t="s">
        <v>1308</v>
      </c>
      <c r="K391" s="92" t="s">
        <v>49</v>
      </c>
      <c r="L391" s="85"/>
      <c r="M391" s="88" t="s">
        <v>1309</v>
      </c>
      <c r="N391" s="90" t="s">
        <v>34</v>
      </c>
      <c r="O391" s="85"/>
      <c r="P391" s="82"/>
    </row>
    <row r="392" ht="33" hidden="1" spans="1:16">
      <c r="A392" s="83">
        <v>391</v>
      </c>
      <c r="B392" s="98">
        <v>46091</v>
      </c>
      <c r="C392" s="85" t="s">
        <v>68</v>
      </c>
      <c r="D392" s="85" t="s">
        <v>26</v>
      </c>
      <c r="E392" s="88" t="s">
        <v>35</v>
      </c>
      <c r="F392" s="88" t="s">
        <v>28</v>
      </c>
      <c r="G392" s="88" t="s">
        <v>1321</v>
      </c>
      <c r="H392" s="88" t="s">
        <v>1322</v>
      </c>
      <c r="I392" s="88"/>
      <c r="J392" s="88" t="s">
        <v>1323</v>
      </c>
      <c r="K392" s="92" t="s">
        <v>24</v>
      </c>
      <c r="L392" s="85"/>
      <c r="M392" s="88" t="s">
        <v>1324</v>
      </c>
      <c r="N392" s="90" t="s">
        <v>34</v>
      </c>
      <c r="O392" s="85"/>
      <c r="P392" s="82"/>
    </row>
    <row r="393" ht="49.5" hidden="1" spans="1:16">
      <c r="A393" s="83">
        <v>392</v>
      </c>
      <c r="B393" s="98">
        <v>46091</v>
      </c>
      <c r="C393" s="85" t="s">
        <v>25</v>
      </c>
      <c r="D393" s="85" t="s">
        <v>26</v>
      </c>
      <c r="E393" s="88" t="s">
        <v>27</v>
      </c>
      <c r="F393" s="88" t="s">
        <v>28</v>
      </c>
      <c r="G393" s="88" t="s">
        <v>1325</v>
      </c>
      <c r="H393" s="88">
        <v>266402775</v>
      </c>
      <c r="I393" s="88"/>
      <c r="J393" s="88" t="s">
        <v>1297</v>
      </c>
      <c r="K393" s="92" t="s">
        <v>92</v>
      </c>
      <c r="L393" s="85"/>
      <c r="M393" s="88" t="s">
        <v>1326</v>
      </c>
      <c r="N393" s="90" t="s">
        <v>34</v>
      </c>
      <c r="O393" s="85"/>
      <c r="P393" s="82"/>
    </row>
    <row r="394" hidden="1" spans="1:16">
      <c r="A394" s="83">
        <v>393</v>
      </c>
      <c r="B394" s="98">
        <v>46092</v>
      </c>
      <c r="C394" s="85" t="s">
        <v>68</v>
      </c>
      <c r="D394" s="85" t="s">
        <v>26</v>
      </c>
      <c r="E394" s="85" t="s">
        <v>27</v>
      </c>
      <c r="F394" s="88" t="s">
        <v>28</v>
      </c>
      <c r="G394" s="88" t="s">
        <v>1327</v>
      </c>
      <c r="H394" s="88" t="s">
        <v>1328</v>
      </c>
      <c r="I394" s="88"/>
      <c r="J394" s="88" t="s">
        <v>1329</v>
      </c>
      <c r="K394" s="92" t="s">
        <v>32</v>
      </c>
      <c r="L394" s="85"/>
      <c r="M394" s="88" t="s">
        <v>1330</v>
      </c>
      <c r="N394" s="90" t="s">
        <v>34</v>
      </c>
      <c r="O394" s="85"/>
      <c r="P394" s="82"/>
    </row>
    <row r="395" ht="33" hidden="1" spans="1:16">
      <c r="A395" s="83">
        <v>394</v>
      </c>
      <c r="B395" s="98">
        <v>46092</v>
      </c>
      <c r="C395" s="85" t="s">
        <v>68</v>
      </c>
      <c r="D395" s="85" t="s">
        <v>26</v>
      </c>
      <c r="E395" s="85" t="s">
        <v>660</v>
      </c>
      <c r="F395" s="88" t="s">
        <v>28</v>
      </c>
      <c r="G395" s="88" t="s">
        <v>1331</v>
      </c>
      <c r="H395" s="88" t="s">
        <v>1332</v>
      </c>
      <c r="I395" s="88"/>
      <c r="J395" s="88" t="s">
        <v>1333</v>
      </c>
      <c r="K395" s="92" t="s">
        <v>32</v>
      </c>
      <c r="L395" s="85"/>
      <c r="M395" s="88" t="s">
        <v>1334</v>
      </c>
      <c r="N395" s="90" t="s">
        <v>34</v>
      </c>
      <c r="O395" s="85"/>
      <c r="P395" s="82"/>
    </row>
    <row r="396" hidden="1" spans="1:16">
      <c r="A396" s="83">
        <v>395</v>
      </c>
      <c r="B396" s="98">
        <v>46093</v>
      </c>
      <c r="C396" s="85" t="s">
        <v>68</v>
      </c>
      <c r="D396" s="85" t="s">
        <v>26</v>
      </c>
      <c r="E396" s="85" t="s">
        <v>27</v>
      </c>
      <c r="F396" s="88" t="s">
        <v>28</v>
      </c>
      <c r="G396" s="88" t="s">
        <v>1335</v>
      </c>
      <c r="H396" s="88" t="s">
        <v>1336</v>
      </c>
      <c r="I396" s="88"/>
      <c r="J396" s="88" t="s">
        <v>1337</v>
      </c>
      <c r="K396" s="92" t="s">
        <v>32</v>
      </c>
      <c r="L396" s="85"/>
      <c r="M396" s="88" t="s">
        <v>1338</v>
      </c>
      <c r="N396" s="90" t="s">
        <v>34</v>
      </c>
      <c r="O396" s="85"/>
      <c r="P396" s="82"/>
    </row>
    <row r="397" hidden="1" spans="1:16">
      <c r="A397" s="83">
        <v>396</v>
      </c>
      <c r="B397" s="98">
        <v>46093</v>
      </c>
      <c r="C397" s="85" t="s">
        <v>68</v>
      </c>
      <c r="D397" s="85" t="s">
        <v>26</v>
      </c>
      <c r="E397" s="85" t="s">
        <v>27</v>
      </c>
      <c r="F397" s="88" t="s">
        <v>28</v>
      </c>
      <c r="G397" s="88" t="s">
        <v>1339</v>
      </c>
      <c r="H397" s="88" t="s">
        <v>1340</v>
      </c>
      <c r="I397" s="88"/>
      <c r="J397" s="88" t="s">
        <v>1337</v>
      </c>
      <c r="K397" s="92" t="s">
        <v>32</v>
      </c>
      <c r="L397" s="85"/>
      <c r="M397" s="88" t="s">
        <v>1338</v>
      </c>
      <c r="N397" s="90" t="s">
        <v>34</v>
      </c>
      <c r="O397" s="85"/>
      <c r="P397" s="82"/>
    </row>
    <row r="398" hidden="1" spans="1:16">
      <c r="A398" s="83">
        <v>397</v>
      </c>
      <c r="B398" s="98">
        <v>46093</v>
      </c>
      <c r="C398" s="85" t="s">
        <v>49</v>
      </c>
      <c r="D398" s="85" t="s">
        <v>153</v>
      </c>
      <c r="E398" s="85" t="s">
        <v>154</v>
      </c>
      <c r="F398" s="88" t="s">
        <v>28</v>
      </c>
      <c r="G398" s="88" t="s">
        <v>1341</v>
      </c>
      <c r="H398" s="88" t="s">
        <v>1342</v>
      </c>
      <c r="I398" s="88"/>
      <c r="J398" s="88" t="s">
        <v>1343</v>
      </c>
      <c r="K398" s="92" t="s">
        <v>49</v>
      </c>
      <c r="L398" s="85"/>
      <c r="M398" s="88" t="s">
        <v>1344</v>
      </c>
      <c r="N398" s="90" t="s">
        <v>34</v>
      </c>
      <c r="O398" s="85"/>
      <c r="P398" s="82"/>
    </row>
    <row r="399" hidden="1" spans="1:16">
      <c r="A399" s="83">
        <v>398</v>
      </c>
      <c r="B399" s="98">
        <v>46093</v>
      </c>
      <c r="C399" s="85" t="s">
        <v>49</v>
      </c>
      <c r="D399" s="85" t="s">
        <v>40</v>
      </c>
      <c r="E399" s="85" t="s">
        <v>41</v>
      </c>
      <c r="F399" s="88" t="s">
        <v>28</v>
      </c>
      <c r="G399" s="88" t="s">
        <v>1345</v>
      </c>
      <c r="H399" s="88" t="s">
        <v>1346</v>
      </c>
      <c r="I399" s="88"/>
      <c r="J399" s="88" t="s">
        <v>1343</v>
      </c>
      <c r="K399" s="92" t="s">
        <v>49</v>
      </c>
      <c r="L399" s="85"/>
      <c r="M399" s="88" t="s">
        <v>1344</v>
      </c>
      <c r="N399" s="90" t="s">
        <v>34</v>
      </c>
      <c r="O399" s="85"/>
      <c r="P399" s="82"/>
    </row>
    <row r="400" ht="99" hidden="1" spans="1:16">
      <c r="A400" s="83">
        <v>399</v>
      </c>
      <c r="B400" s="98">
        <v>46094</v>
      </c>
      <c r="C400" s="85" t="s">
        <v>25</v>
      </c>
      <c r="D400" s="85" t="s">
        <v>26</v>
      </c>
      <c r="E400" s="85" t="s">
        <v>35</v>
      </c>
      <c r="F400" s="88" t="s">
        <v>28</v>
      </c>
      <c r="G400" s="88" t="s">
        <v>1347</v>
      </c>
      <c r="H400" s="88" t="s">
        <v>1348</v>
      </c>
      <c r="I400" s="88"/>
      <c r="J400" s="88" t="s">
        <v>1349</v>
      </c>
      <c r="K400" s="92" t="s">
        <v>92</v>
      </c>
      <c r="L400" s="85"/>
      <c r="M400" s="88" t="s">
        <v>1350</v>
      </c>
      <c r="N400" s="90" t="s">
        <v>34</v>
      </c>
      <c r="O400" s="85"/>
      <c r="P400" s="82"/>
    </row>
    <row r="401" ht="181.5" hidden="1" spans="1:16">
      <c r="A401" s="83">
        <v>400</v>
      </c>
      <c r="B401" s="98">
        <v>46094</v>
      </c>
      <c r="C401" s="85" t="s">
        <v>25</v>
      </c>
      <c r="D401" s="85" t="s">
        <v>26</v>
      </c>
      <c r="E401" s="85" t="s">
        <v>35</v>
      </c>
      <c r="F401" s="88" t="s">
        <v>28</v>
      </c>
      <c r="G401" s="88" t="s">
        <v>1351</v>
      </c>
      <c r="H401" s="88" t="s">
        <v>1352</v>
      </c>
      <c r="I401" s="88"/>
      <c r="J401" s="88" t="s">
        <v>1353</v>
      </c>
      <c r="K401" s="92" t="s">
        <v>92</v>
      </c>
      <c r="L401" s="85"/>
      <c r="M401" s="88" t="s">
        <v>1354</v>
      </c>
      <c r="N401" s="90" t="s">
        <v>34</v>
      </c>
      <c r="O401" s="85"/>
      <c r="P401" s="82"/>
    </row>
    <row r="402" ht="181.5" hidden="1" spans="1:16">
      <c r="A402" s="83">
        <v>401</v>
      </c>
      <c r="B402" s="98">
        <v>46094</v>
      </c>
      <c r="C402" s="85" t="s">
        <v>25</v>
      </c>
      <c r="D402" s="85" t="s">
        <v>26</v>
      </c>
      <c r="E402" s="85" t="s">
        <v>35</v>
      </c>
      <c r="F402" s="88" t="s">
        <v>28</v>
      </c>
      <c r="G402" s="88" t="s">
        <v>1355</v>
      </c>
      <c r="H402" s="88" t="s">
        <v>1356</v>
      </c>
      <c r="I402" s="88"/>
      <c r="J402" s="88" t="s">
        <v>1353</v>
      </c>
      <c r="K402" s="92" t="s">
        <v>92</v>
      </c>
      <c r="L402" s="85"/>
      <c r="M402" s="88" t="s">
        <v>1354</v>
      </c>
      <c r="N402" s="90" t="s">
        <v>34</v>
      </c>
      <c r="O402" s="85"/>
      <c r="P402" s="82"/>
    </row>
    <row r="403" hidden="1" spans="1:16">
      <c r="A403" s="83">
        <v>402</v>
      </c>
      <c r="B403" s="98">
        <v>46094</v>
      </c>
      <c r="C403" s="85" t="s">
        <v>68</v>
      </c>
      <c r="D403" s="85" t="s">
        <v>26</v>
      </c>
      <c r="E403" s="85" t="s">
        <v>27</v>
      </c>
      <c r="F403" s="88" t="s">
        <v>28</v>
      </c>
      <c r="G403" s="88" t="s">
        <v>1357</v>
      </c>
      <c r="H403" s="88" t="s">
        <v>1358</v>
      </c>
      <c r="I403" s="88"/>
      <c r="J403" s="88" t="s">
        <v>1359</v>
      </c>
      <c r="K403" s="92" t="s">
        <v>32</v>
      </c>
      <c r="L403" s="85"/>
      <c r="M403" s="88" t="s">
        <v>1360</v>
      </c>
      <c r="N403" s="90" t="s">
        <v>34</v>
      </c>
      <c r="O403" s="85"/>
      <c r="P403" s="82"/>
    </row>
    <row r="404" hidden="1" spans="1:16">
      <c r="A404" s="83">
        <v>403</v>
      </c>
      <c r="B404" s="98">
        <v>46094</v>
      </c>
      <c r="C404" s="85" t="s">
        <v>68</v>
      </c>
      <c r="D404" s="85" t="s">
        <v>26</v>
      </c>
      <c r="E404" s="85" t="s">
        <v>27</v>
      </c>
      <c r="F404" s="88" t="s">
        <v>28</v>
      </c>
      <c r="G404" s="88" t="s">
        <v>1361</v>
      </c>
      <c r="H404" s="88" t="s">
        <v>1362</v>
      </c>
      <c r="I404" s="88"/>
      <c r="J404" s="88" t="s">
        <v>1359</v>
      </c>
      <c r="K404" s="92" t="s">
        <v>32</v>
      </c>
      <c r="L404" s="85"/>
      <c r="M404" s="88" t="s">
        <v>1360</v>
      </c>
      <c r="N404" s="90" t="s">
        <v>34</v>
      </c>
      <c r="O404" s="85"/>
      <c r="P404" s="82"/>
    </row>
    <row r="405" hidden="1" spans="1:16">
      <c r="A405" s="83">
        <v>404</v>
      </c>
      <c r="B405" s="98">
        <v>46094</v>
      </c>
      <c r="C405" s="85" t="s">
        <v>68</v>
      </c>
      <c r="D405" s="85" t="s">
        <v>26</v>
      </c>
      <c r="E405" s="85" t="s">
        <v>27</v>
      </c>
      <c r="F405" s="88" t="s">
        <v>28</v>
      </c>
      <c r="G405" s="88" t="s">
        <v>1363</v>
      </c>
      <c r="H405" s="88" t="s">
        <v>1364</v>
      </c>
      <c r="I405" s="88"/>
      <c r="J405" s="88" t="s">
        <v>1359</v>
      </c>
      <c r="K405" s="92" t="s">
        <v>32</v>
      </c>
      <c r="L405" s="85"/>
      <c r="M405" s="88" t="s">
        <v>1360</v>
      </c>
      <c r="N405" s="90" t="s">
        <v>34</v>
      </c>
      <c r="O405" s="85"/>
      <c r="P405" s="82"/>
    </row>
    <row r="406" hidden="1" spans="1:16">
      <c r="A406" s="83">
        <v>405</v>
      </c>
      <c r="B406" s="98">
        <v>46094</v>
      </c>
      <c r="C406" s="85" t="s">
        <v>68</v>
      </c>
      <c r="D406" s="85" t="s">
        <v>26</v>
      </c>
      <c r="E406" s="85" t="s">
        <v>27</v>
      </c>
      <c r="F406" s="88" t="s">
        <v>28</v>
      </c>
      <c r="G406" s="88" t="s">
        <v>1365</v>
      </c>
      <c r="H406" s="88" t="s">
        <v>1366</v>
      </c>
      <c r="I406" s="88"/>
      <c r="J406" s="88" t="s">
        <v>1359</v>
      </c>
      <c r="K406" s="92" t="s">
        <v>32</v>
      </c>
      <c r="L406" s="85"/>
      <c r="M406" s="88" t="s">
        <v>1360</v>
      </c>
      <c r="N406" s="90" t="s">
        <v>34</v>
      </c>
      <c r="O406" s="85"/>
      <c r="P406" s="82"/>
    </row>
    <row r="407" hidden="1" spans="1:16">
      <c r="A407" s="83">
        <v>406</v>
      </c>
      <c r="B407" s="98">
        <v>46094</v>
      </c>
      <c r="C407" s="85" t="s">
        <v>68</v>
      </c>
      <c r="D407" s="85" t="s">
        <v>26</v>
      </c>
      <c r="E407" s="88" t="s">
        <v>27</v>
      </c>
      <c r="F407" s="88" t="s">
        <v>28</v>
      </c>
      <c r="G407" s="88" t="s">
        <v>1367</v>
      </c>
      <c r="H407" s="88" t="s">
        <v>1368</v>
      </c>
      <c r="I407" s="85"/>
      <c r="J407" s="88" t="s">
        <v>1369</v>
      </c>
      <c r="K407" s="92" t="s">
        <v>32</v>
      </c>
      <c r="L407" s="85"/>
      <c r="M407" s="88" t="s">
        <v>1360</v>
      </c>
      <c r="N407" s="90" t="s">
        <v>34</v>
      </c>
      <c r="O407" s="85"/>
      <c r="P407" s="82"/>
    </row>
    <row r="408" hidden="1" spans="1:16">
      <c r="A408" s="83">
        <v>407</v>
      </c>
      <c r="B408" s="98">
        <v>46094</v>
      </c>
      <c r="C408" s="85" t="s">
        <v>68</v>
      </c>
      <c r="D408" s="85" t="s">
        <v>26</v>
      </c>
      <c r="E408" s="88" t="s">
        <v>27</v>
      </c>
      <c r="F408" s="88" t="s">
        <v>28</v>
      </c>
      <c r="G408" s="88" t="s">
        <v>1370</v>
      </c>
      <c r="H408" s="88" t="s">
        <v>1371</v>
      </c>
      <c r="I408" s="85"/>
      <c r="J408" s="88" t="s">
        <v>1369</v>
      </c>
      <c r="K408" s="92" t="s">
        <v>32</v>
      </c>
      <c r="L408" s="85"/>
      <c r="M408" s="88" t="s">
        <v>1360</v>
      </c>
      <c r="N408" s="90" t="s">
        <v>34</v>
      </c>
      <c r="O408" s="85"/>
      <c r="P408" s="82"/>
    </row>
    <row r="409" hidden="1" spans="1:16">
      <c r="A409" s="83">
        <v>408</v>
      </c>
      <c r="B409" s="98">
        <v>46094</v>
      </c>
      <c r="C409" s="85" t="s">
        <v>49</v>
      </c>
      <c r="D409" s="85" t="s">
        <v>26</v>
      </c>
      <c r="E409" s="88" t="s">
        <v>35</v>
      </c>
      <c r="F409" s="88" t="s">
        <v>28</v>
      </c>
      <c r="G409" s="85" t="s">
        <v>1372</v>
      </c>
      <c r="H409" s="88" t="s">
        <v>1373</v>
      </c>
      <c r="I409" s="85"/>
      <c r="J409" s="88" t="s">
        <v>1374</v>
      </c>
      <c r="K409" s="92" t="s">
        <v>49</v>
      </c>
      <c r="L409" s="85"/>
      <c r="M409" s="88" t="s">
        <v>1375</v>
      </c>
      <c r="N409" s="90" t="s">
        <v>34</v>
      </c>
      <c r="O409" s="85"/>
      <c r="P409" s="82"/>
    </row>
    <row r="410" ht="33" hidden="1" spans="1:16">
      <c r="A410" s="83">
        <v>409</v>
      </c>
      <c r="B410" s="98">
        <v>46094</v>
      </c>
      <c r="C410" s="85" t="s">
        <v>49</v>
      </c>
      <c r="D410" s="85" t="s">
        <v>153</v>
      </c>
      <c r="E410" s="88" t="s">
        <v>154</v>
      </c>
      <c r="F410" s="88" t="s">
        <v>28</v>
      </c>
      <c r="G410" s="88" t="s">
        <v>1376</v>
      </c>
      <c r="H410" s="88" t="s">
        <v>1377</v>
      </c>
      <c r="I410" s="85"/>
      <c r="J410" s="88" t="s">
        <v>1374</v>
      </c>
      <c r="K410" s="92" t="s">
        <v>49</v>
      </c>
      <c r="L410" s="85"/>
      <c r="M410" s="88" t="s">
        <v>1378</v>
      </c>
      <c r="N410" s="90" t="s">
        <v>34</v>
      </c>
      <c r="O410" s="85"/>
      <c r="P410" s="82"/>
    </row>
    <row r="411" ht="33" hidden="1" spans="1:16">
      <c r="A411" s="83">
        <v>410</v>
      </c>
      <c r="B411" s="98">
        <v>46094</v>
      </c>
      <c r="C411" s="85" t="s">
        <v>49</v>
      </c>
      <c r="D411" s="85" t="s">
        <v>26</v>
      </c>
      <c r="E411" s="85" t="s">
        <v>27</v>
      </c>
      <c r="F411" s="88" t="s">
        <v>28</v>
      </c>
      <c r="G411" s="85" t="s">
        <v>1379</v>
      </c>
      <c r="H411" s="88" t="s">
        <v>1380</v>
      </c>
      <c r="I411" s="85"/>
      <c r="J411" s="88" t="s">
        <v>1374</v>
      </c>
      <c r="K411" s="92" t="s">
        <v>49</v>
      </c>
      <c r="L411" s="85"/>
      <c r="M411" s="99" t="s">
        <v>1381</v>
      </c>
      <c r="N411" s="90" t="s">
        <v>34</v>
      </c>
      <c r="O411" s="85"/>
      <c r="P411" s="82"/>
    </row>
    <row r="412" ht="49.5" hidden="1" spans="1:16">
      <c r="A412" s="83">
        <v>411</v>
      </c>
      <c r="B412" s="98">
        <v>46097</v>
      </c>
      <c r="C412" s="85" t="s">
        <v>179</v>
      </c>
      <c r="D412" s="85" t="s">
        <v>26</v>
      </c>
      <c r="E412" s="85" t="s">
        <v>27</v>
      </c>
      <c r="F412" s="88" t="s">
        <v>28</v>
      </c>
      <c r="G412" s="85" t="s">
        <v>1382</v>
      </c>
      <c r="H412" s="88" t="s">
        <v>1383</v>
      </c>
      <c r="I412" s="85"/>
      <c r="J412" s="88" t="s">
        <v>1384</v>
      </c>
      <c r="K412" s="92" t="s">
        <v>92</v>
      </c>
      <c r="L412" s="85"/>
      <c r="M412" s="88" t="s">
        <v>1385</v>
      </c>
      <c r="N412" s="90" t="s">
        <v>34</v>
      </c>
      <c r="O412" s="85"/>
      <c r="P412" s="82"/>
    </row>
    <row r="413" ht="33" hidden="1" spans="1:16">
      <c r="A413" s="83">
        <v>412</v>
      </c>
      <c r="B413" s="98">
        <v>46097</v>
      </c>
      <c r="C413" s="85" t="s">
        <v>25</v>
      </c>
      <c r="D413" s="85" t="s">
        <v>26</v>
      </c>
      <c r="E413" s="85" t="s">
        <v>27</v>
      </c>
      <c r="F413" s="88" t="s">
        <v>28</v>
      </c>
      <c r="G413" s="85" t="s">
        <v>1386</v>
      </c>
      <c r="H413" s="88" t="s">
        <v>1387</v>
      </c>
      <c r="I413" s="85"/>
      <c r="J413" s="88" t="s">
        <v>1388</v>
      </c>
      <c r="K413" s="92" t="s">
        <v>24</v>
      </c>
      <c r="L413" s="85"/>
      <c r="M413" s="88" t="s">
        <v>1389</v>
      </c>
      <c r="N413" s="90" t="s">
        <v>34</v>
      </c>
      <c r="O413" s="85" t="s">
        <v>1390</v>
      </c>
      <c r="P413" s="82"/>
    </row>
    <row r="414" ht="33" hidden="1" spans="1:16">
      <c r="A414" s="83">
        <v>413</v>
      </c>
      <c r="B414" s="98">
        <v>46097</v>
      </c>
      <c r="C414" s="85" t="s">
        <v>25</v>
      </c>
      <c r="D414" s="85" t="s">
        <v>26</v>
      </c>
      <c r="E414" s="85" t="s">
        <v>27</v>
      </c>
      <c r="F414" s="88" t="s">
        <v>28</v>
      </c>
      <c r="G414" s="85" t="s">
        <v>1391</v>
      </c>
      <c r="H414" s="88" t="s">
        <v>1392</v>
      </c>
      <c r="I414" s="85"/>
      <c r="J414" s="88" t="s">
        <v>1388</v>
      </c>
      <c r="K414" s="92" t="s">
        <v>24</v>
      </c>
      <c r="L414" s="85"/>
      <c r="M414" s="88" t="s">
        <v>1389</v>
      </c>
      <c r="N414" s="90" t="s">
        <v>34</v>
      </c>
      <c r="O414" s="85" t="s">
        <v>1390</v>
      </c>
      <c r="P414" s="82"/>
    </row>
    <row r="415" ht="99" hidden="1" spans="1:16">
      <c r="A415" s="83">
        <v>414</v>
      </c>
      <c r="B415" s="98">
        <v>46097</v>
      </c>
      <c r="C415" s="85" t="s">
        <v>179</v>
      </c>
      <c r="D415" s="85" t="s">
        <v>222</v>
      </c>
      <c r="E415" s="85" t="s">
        <v>223</v>
      </c>
      <c r="F415" s="88" t="s">
        <v>28</v>
      </c>
      <c r="G415" s="85" t="s">
        <v>1393</v>
      </c>
      <c r="H415" s="88" t="s">
        <v>1394</v>
      </c>
      <c r="I415" s="85"/>
      <c r="J415" s="88" t="s">
        <v>1395</v>
      </c>
      <c r="K415" s="92" t="s">
        <v>92</v>
      </c>
      <c r="L415" s="85"/>
      <c r="M415" s="88" t="s">
        <v>1396</v>
      </c>
      <c r="N415" s="90" t="s">
        <v>34</v>
      </c>
      <c r="O415" s="85"/>
      <c r="P415" s="82"/>
    </row>
    <row r="416" ht="99" hidden="1" spans="1:16">
      <c r="A416" s="83">
        <v>415</v>
      </c>
      <c r="B416" s="98">
        <v>46097</v>
      </c>
      <c r="C416" s="85" t="s">
        <v>179</v>
      </c>
      <c r="D416" s="85" t="s">
        <v>222</v>
      </c>
      <c r="E416" s="85" t="s">
        <v>223</v>
      </c>
      <c r="F416" s="88" t="s">
        <v>28</v>
      </c>
      <c r="G416" s="85" t="s">
        <v>1397</v>
      </c>
      <c r="H416" s="88" t="s">
        <v>1398</v>
      </c>
      <c r="I416" s="85"/>
      <c r="J416" s="88" t="s">
        <v>1395</v>
      </c>
      <c r="K416" s="92" t="s">
        <v>92</v>
      </c>
      <c r="L416" s="85"/>
      <c r="M416" s="88" t="s">
        <v>1396</v>
      </c>
      <c r="N416" s="90" t="s">
        <v>34</v>
      </c>
      <c r="O416" s="85"/>
      <c r="P416" s="82"/>
    </row>
    <row r="417" ht="99" hidden="1" spans="1:16">
      <c r="A417" s="83">
        <v>416</v>
      </c>
      <c r="B417" s="98">
        <v>46097</v>
      </c>
      <c r="C417" s="85" t="s">
        <v>179</v>
      </c>
      <c r="D417" s="85" t="s">
        <v>222</v>
      </c>
      <c r="E417" s="85" t="s">
        <v>223</v>
      </c>
      <c r="F417" s="88" t="s">
        <v>28</v>
      </c>
      <c r="G417" s="85" t="s">
        <v>1399</v>
      </c>
      <c r="H417" s="88" t="s">
        <v>1400</v>
      </c>
      <c r="I417" s="85"/>
      <c r="J417" s="88" t="s">
        <v>1395</v>
      </c>
      <c r="K417" s="92" t="s">
        <v>92</v>
      </c>
      <c r="L417" s="85"/>
      <c r="M417" s="88" t="s">
        <v>1396</v>
      </c>
      <c r="N417" s="90" t="s">
        <v>34</v>
      </c>
      <c r="O417" s="85"/>
      <c r="P417" s="82"/>
    </row>
    <row r="418" ht="99" hidden="1" spans="1:16">
      <c r="A418" s="83">
        <v>417</v>
      </c>
      <c r="B418" s="98">
        <v>46097</v>
      </c>
      <c r="C418" s="85" t="s">
        <v>179</v>
      </c>
      <c r="D418" s="85" t="s">
        <v>222</v>
      </c>
      <c r="E418" s="85" t="s">
        <v>223</v>
      </c>
      <c r="F418" s="88" t="s">
        <v>28</v>
      </c>
      <c r="G418" s="85" t="s">
        <v>1401</v>
      </c>
      <c r="H418" s="88" t="s">
        <v>1402</v>
      </c>
      <c r="I418" s="85"/>
      <c r="J418" s="88" t="s">
        <v>1395</v>
      </c>
      <c r="K418" s="92" t="s">
        <v>92</v>
      </c>
      <c r="L418" s="85"/>
      <c r="M418" s="88" t="s">
        <v>1396</v>
      </c>
      <c r="N418" s="90" t="s">
        <v>34</v>
      </c>
      <c r="O418" s="85"/>
      <c r="P418" s="82"/>
    </row>
    <row r="419" hidden="1" spans="1:16">
      <c r="A419" s="83">
        <v>418</v>
      </c>
      <c r="B419" s="98">
        <v>46097</v>
      </c>
      <c r="C419" s="85" t="s">
        <v>68</v>
      </c>
      <c r="D419" s="85" t="s">
        <v>153</v>
      </c>
      <c r="E419" s="85" t="s">
        <v>411</v>
      </c>
      <c r="F419" s="88" t="s">
        <v>28</v>
      </c>
      <c r="G419" s="85" t="s">
        <v>1403</v>
      </c>
      <c r="H419" s="88" t="s">
        <v>1404</v>
      </c>
      <c r="I419" s="85"/>
      <c r="J419" s="88" t="s">
        <v>1405</v>
      </c>
      <c r="K419" s="92" t="s">
        <v>32</v>
      </c>
      <c r="L419" s="85"/>
      <c r="M419" s="88" t="s">
        <v>1406</v>
      </c>
      <c r="N419" s="90" t="s">
        <v>34</v>
      </c>
      <c r="O419" s="85"/>
      <c r="P419" s="82"/>
    </row>
    <row r="420" hidden="1" spans="1:16">
      <c r="A420" s="83">
        <v>419</v>
      </c>
      <c r="B420" s="98">
        <v>46097</v>
      </c>
      <c r="C420" s="85" t="s">
        <v>68</v>
      </c>
      <c r="D420" s="85" t="s">
        <v>153</v>
      </c>
      <c r="E420" s="85" t="s">
        <v>411</v>
      </c>
      <c r="F420" s="88" t="s">
        <v>28</v>
      </c>
      <c r="G420" s="85" t="s">
        <v>1407</v>
      </c>
      <c r="H420" s="88" t="s">
        <v>1408</v>
      </c>
      <c r="I420" s="85"/>
      <c r="J420" s="88" t="s">
        <v>1405</v>
      </c>
      <c r="K420" s="92" t="s">
        <v>32</v>
      </c>
      <c r="L420" s="85"/>
      <c r="M420" s="88" t="s">
        <v>1406</v>
      </c>
      <c r="N420" s="90" t="s">
        <v>34</v>
      </c>
      <c r="O420" s="85"/>
      <c r="P420" s="82"/>
    </row>
    <row r="421" hidden="1" spans="1:16">
      <c r="A421" s="83">
        <v>420</v>
      </c>
      <c r="B421" s="98">
        <v>46097</v>
      </c>
      <c r="C421" s="85" t="s">
        <v>49</v>
      </c>
      <c r="D421" s="85" t="s">
        <v>40</v>
      </c>
      <c r="E421" s="85" t="s">
        <v>41</v>
      </c>
      <c r="F421" s="88" t="s">
        <v>28</v>
      </c>
      <c r="G421" s="85" t="s">
        <v>1409</v>
      </c>
      <c r="H421" s="88" t="s">
        <v>1410</v>
      </c>
      <c r="I421" s="85"/>
      <c r="J421" s="88" t="s">
        <v>1411</v>
      </c>
      <c r="K421" s="92" t="s">
        <v>49</v>
      </c>
      <c r="L421" s="85"/>
      <c r="M421" s="88" t="s">
        <v>1378</v>
      </c>
      <c r="N421" s="90" t="s">
        <v>34</v>
      </c>
      <c r="O421" s="85"/>
      <c r="P421" s="82"/>
    </row>
    <row r="422" hidden="1" spans="1:16">
      <c r="A422" s="83">
        <v>421</v>
      </c>
      <c r="B422" s="98">
        <v>46097</v>
      </c>
      <c r="C422" s="85" t="s">
        <v>49</v>
      </c>
      <c r="D422" s="85" t="s">
        <v>26</v>
      </c>
      <c r="E422" s="85" t="s">
        <v>35</v>
      </c>
      <c r="F422" s="88" t="s">
        <v>28</v>
      </c>
      <c r="G422" s="85" t="s">
        <v>1412</v>
      </c>
      <c r="H422" s="88" t="s">
        <v>1413</v>
      </c>
      <c r="I422" s="85"/>
      <c r="J422" s="88" t="s">
        <v>1411</v>
      </c>
      <c r="K422" s="92" t="s">
        <v>49</v>
      </c>
      <c r="L422" s="85"/>
      <c r="M422" s="88" t="s">
        <v>1378</v>
      </c>
      <c r="N422" s="90" t="s">
        <v>34</v>
      </c>
      <c r="O422" s="85"/>
      <c r="P422" s="82"/>
    </row>
    <row r="423" ht="49.5" hidden="1" spans="1:16">
      <c r="A423" s="83">
        <v>422</v>
      </c>
      <c r="B423" s="98">
        <v>46097</v>
      </c>
      <c r="C423" s="85" t="s">
        <v>25</v>
      </c>
      <c r="D423" s="85" t="s">
        <v>40</v>
      </c>
      <c r="E423" s="85" t="s">
        <v>41</v>
      </c>
      <c r="F423" s="88" t="s">
        <v>28</v>
      </c>
      <c r="G423" s="85" t="s">
        <v>1414</v>
      </c>
      <c r="H423" s="88" t="s">
        <v>1415</v>
      </c>
      <c r="I423" s="85"/>
      <c r="J423" s="88" t="s">
        <v>1416</v>
      </c>
      <c r="K423" s="92" t="s">
        <v>355</v>
      </c>
      <c r="L423" s="85"/>
      <c r="M423" s="88" t="s">
        <v>1417</v>
      </c>
      <c r="N423" s="90" t="s">
        <v>34</v>
      </c>
      <c r="O423" s="85"/>
      <c r="P423" s="82"/>
    </row>
    <row r="424" hidden="1" spans="1:16">
      <c r="A424" s="83">
        <v>423</v>
      </c>
      <c r="B424" s="98">
        <v>46097</v>
      </c>
      <c r="C424" s="85" t="s">
        <v>49</v>
      </c>
      <c r="D424" s="85" t="s">
        <v>40</v>
      </c>
      <c r="E424" s="85" t="s">
        <v>41</v>
      </c>
      <c r="F424" s="88" t="s">
        <v>28</v>
      </c>
      <c r="G424" s="85" t="s">
        <v>1418</v>
      </c>
      <c r="H424" s="88" t="s">
        <v>1419</v>
      </c>
      <c r="I424" s="85"/>
      <c r="J424" s="88" t="s">
        <v>1411</v>
      </c>
      <c r="K424" s="92" t="s">
        <v>49</v>
      </c>
      <c r="L424" s="85"/>
      <c r="M424" s="88" t="s">
        <v>1420</v>
      </c>
      <c r="N424" s="90" t="s">
        <v>34</v>
      </c>
      <c r="O424" s="85"/>
      <c r="P424" s="82"/>
    </row>
    <row r="425" hidden="1" spans="1:16">
      <c r="A425" s="83">
        <v>424</v>
      </c>
      <c r="B425" s="98">
        <v>46098</v>
      </c>
      <c r="C425" s="85" t="s">
        <v>68</v>
      </c>
      <c r="D425" s="85" t="s">
        <v>153</v>
      </c>
      <c r="E425" s="85" t="s">
        <v>154</v>
      </c>
      <c r="F425" s="88" t="s">
        <v>28</v>
      </c>
      <c r="G425" s="85" t="s">
        <v>1421</v>
      </c>
      <c r="H425" s="88" t="s">
        <v>1422</v>
      </c>
      <c r="I425" s="85"/>
      <c r="J425" s="88" t="s">
        <v>1423</v>
      </c>
      <c r="K425" s="92" t="s">
        <v>32</v>
      </c>
      <c r="L425" s="85"/>
      <c r="M425" s="88" t="s">
        <v>1424</v>
      </c>
      <c r="N425" s="90" t="s">
        <v>34</v>
      </c>
      <c r="O425" s="85"/>
      <c r="P425" s="82"/>
    </row>
    <row r="426" hidden="1" spans="1:16">
      <c r="A426" s="83">
        <v>425</v>
      </c>
      <c r="B426" s="98">
        <v>46098</v>
      </c>
      <c r="C426" s="85" t="s">
        <v>68</v>
      </c>
      <c r="D426" s="85" t="s">
        <v>26</v>
      </c>
      <c r="E426" s="85" t="s">
        <v>35</v>
      </c>
      <c r="F426" s="88" t="s">
        <v>28</v>
      </c>
      <c r="G426" s="85" t="s">
        <v>1425</v>
      </c>
      <c r="H426" s="85" t="s">
        <v>1426</v>
      </c>
      <c r="I426" s="85"/>
      <c r="J426" s="88" t="s">
        <v>1427</v>
      </c>
      <c r="K426" s="92" t="s">
        <v>32</v>
      </c>
      <c r="L426" s="85"/>
      <c r="M426" s="88" t="s">
        <v>1424</v>
      </c>
      <c r="N426" s="90" t="s">
        <v>34</v>
      </c>
      <c r="O426" s="85"/>
      <c r="P426" s="82"/>
    </row>
    <row r="427" hidden="1" spans="1:16">
      <c r="A427" s="83">
        <v>426</v>
      </c>
      <c r="B427" s="98">
        <v>46098</v>
      </c>
      <c r="C427" s="85" t="s">
        <v>68</v>
      </c>
      <c r="D427" s="85" t="s">
        <v>26</v>
      </c>
      <c r="E427" s="85" t="s">
        <v>35</v>
      </c>
      <c r="F427" s="88" t="s">
        <v>28</v>
      </c>
      <c r="G427" s="85" t="s">
        <v>1428</v>
      </c>
      <c r="H427" s="85" t="s">
        <v>1429</v>
      </c>
      <c r="I427" s="85"/>
      <c r="J427" s="88" t="s">
        <v>1427</v>
      </c>
      <c r="K427" s="92" t="s">
        <v>32</v>
      </c>
      <c r="L427" s="85"/>
      <c r="M427" s="88" t="s">
        <v>1424</v>
      </c>
      <c r="N427" s="90" t="s">
        <v>34</v>
      </c>
      <c r="O427" s="85"/>
      <c r="P427" s="82"/>
    </row>
    <row r="428" hidden="1" spans="1:16">
      <c r="A428" s="83">
        <v>427</v>
      </c>
      <c r="B428" s="98">
        <v>46098</v>
      </c>
      <c r="C428" s="85" t="s">
        <v>68</v>
      </c>
      <c r="D428" s="85" t="s">
        <v>26</v>
      </c>
      <c r="E428" s="85" t="s">
        <v>35</v>
      </c>
      <c r="F428" s="88" t="s">
        <v>28</v>
      </c>
      <c r="G428" s="85" t="s">
        <v>1430</v>
      </c>
      <c r="H428" s="85" t="s">
        <v>1431</v>
      </c>
      <c r="I428" s="85"/>
      <c r="J428" s="88" t="s">
        <v>1427</v>
      </c>
      <c r="K428" s="92" t="s">
        <v>32</v>
      </c>
      <c r="L428" s="85"/>
      <c r="M428" s="88" t="s">
        <v>1424</v>
      </c>
      <c r="N428" s="90" t="s">
        <v>34</v>
      </c>
      <c r="O428" s="85"/>
      <c r="P428" s="82"/>
    </row>
    <row r="429" hidden="1" spans="1:16">
      <c r="A429" s="83">
        <v>428</v>
      </c>
      <c r="B429" s="98">
        <v>46098</v>
      </c>
      <c r="C429" s="85" t="s">
        <v>68</v>
      </c>
      <c r="D429" s="85" t="s">
        <v>26</v>
      </c>
      <c r="E429" s="85" t="s">
        <v>35</v>
      </c>
      <c r="F429" s="88" t="s">
        <v>28</v>
      </c>
      <c r="G429" s="85" t="s">
        <v>1432</v>
      </c>
      <c r="H429" s="85" t="s">
        <v>1433</v>
      </c>
      <c r="I429" s="85"/>
      <c r="J429" s="88" t="s">
        <v>1427</v>
      </c>
      <c r="K429" s="92" t="s">
        <v>32</v>
      </c>
      <c r="L429" s="85"/>
      <c r="M429" s="88" t="s">
        <v>1424</v>
      </c>
      <c r="N429" s="90" t="s">
        <v>34</v>
      </c>
      <c r="O429" s="85"/>
      <c r="P429" s="82"/>
    </row>
    <row r="430" ht="66" hidden="1" spans="1:16">
      <c r="A430" s="83">
        <v>429</v>
      </c>
      <c r="B430" s="98">
        <v>46098</v>
      </c>
      <c r="C430" s="85" t="s">
        <v>25</v>
      </c>
      <c r="D430" s="85" t="s">
        <v>40</v>
      </c>
      <c r="E430" s="85" t="s">
        <v>41</v>
      </c>
      <c r="F430" s="88" t="s">
        <v>28</v>
      </c>
      <c r="G430" s="85" t="s">
        <v>1434</v>
      </c>
      <c r="H430" s="88" t="s">
        <v>1435</v>
      </c>
      <c r="I430" s="85"/>
      <c r="J430" s="88" t="s">
        <v>1436</v>
      </c>
      <c r="K430" s="92" t="s">
        <v>24</v>
      </c>
      <c r="L430" s="85"/>
      <c r="M430" s="88" t="s">
        <v>1437</v>
      </c>
      <c r="N430" s="90" t="s">
        <v>34</v>
      </c>
      <c r="O430" s="85" t="s">
        <v>1438</v>
      </c>
      <c r="P430" s="82"/>
    </row>
    <row r="431" ht="66" hidden="1" spans="1:16">
      <c r="A431" s="83">
        <v>430</v>
      </c>
      <c r="B431" s="98">
        <v>46098</v>
      </c>
      <c r="C431" s="85" t="s">
        <v>25</v>
      </c>
      <c r="D431" s="85" t="s">
        <v>40</v>
      </c>
      <c r="E431" s="85" t="s">
        <v>41</v>
      </c>
      <c r="F431" s="88" t="s">
        <v>28</v>
      </c>
      <c r="G431" s="85" t="s">
        <v>1439</v>
      </c>
      <c r="H431" s="88" t="s">
        <v>1440</v>
      </c>
      <c r="I431" s="85"/>
      <c r="J431" s="88" t="s">
        <v>1436</v>
      </c>
      <c r="K431" s="92" t="s">
        <v>24</v>
      </c>
      <c r="L431" s="85"/>
      <c r="M431" s="88" t="s">
        <v>1437</v>
      </c>
      <c r="N431" s="90" t="s">
        <v>34</v>
      </c>
      <c r="O431" s="85" t="s">
        <v>1438</v>
      </c>
      <c r="P431" s="82"/>
    </row>
    <row r="432" hidden="1" spans="1:16">
      <c r="A432" s="83">
        <v>431</v>
      </c>
      <c r="B432" s="98">
        <v>46099</v>
      </c>
      <c r="C432" s="85" t="s">
        <v>68</v>
      </c>
      <c r="D432" s="85" t="s">
        <v>40</v>
      </c>
      <c r="E432" s="85" t="s">
        <v>41</v>
      </c>
      <c r="F432" s="85" t="s">
        <v>28</v>
      </c>
      <c r="G432" s="85" t="s">
        <v>1441</v>
      </c>
      <c r="H432" s="85" t="s">
        <v>1442</v>
      </c>
      <c r="I432" s="85"/>
      <c r="J432" s="88" t="s">
        <v>1443</v>
      </c>
      <c r="K432" s="92" t="s">
        <v>24</v>
      </c>
      <c r="L432" s="85"/>
      <c r="M432" s="88" t="s">
        <v>1444</v>
      </c>
      <c r="N432" s="90" t="s">
        <v>34</v>
      </c>
      <c r="O432" s="85" t="s">
        <v>500</v>
      </c>
      <c r="P432" s="82"/>
    </row>
    <row r="433" hidden="1" spans="1:16">
      <c r="A433" s="83">
        <v>432</v>
      </c>
      <c r="B433" s="98">
        <v>46099</v>
      </c>
      <c r="C433" s="85" t="s">
        <v>49</v>
      </c>
      <c r="D433" s="85" t="s">
        <v>26</v>
      </c>
      <c r="E433" s="85" t="s">
        <v>35</v>
      </c>
      <c r="F433" s="85" t="s">
        <v>28</v>
      </c>
      <c r="G433" s="85" t="s">
        <v>1445</v>
      </c>
      <c r="H433" s="85" t="s">
        <v>1446</v>
      </c>
      <c r="I433" s="85"/>
      <c r="J433" s="88" t="s">
        <v>1447</v>
      </c>
      <c r="K433" s="92" t="s">
        <v>49</v>
      </c>
      <c r="L433" s="85"/>
      <c r="M433" s="88" t="s">
        <v>1448</v>
      </c>
      <c r="N433" s="90" t="s">
        <v>34</v>
      </c>
      <c r="O433" s="85"/>
      <c r="P433" s="82"/>
    </row>
    <row r="434" ht="33" hidden="1" spans="1:16">
      <c r="A434" s="83">
        <v>433</v>
      </c>
      <c r="B434" s="98">
        <v>46100</v>
      </c>
      <c r="C434" s="85" t="s">
        <v>68</v>
      </c>
      <c r="D434" s="85" t="s">
        <v>107</v>
      </c>
      <c r="E434" s="85" t="s">
        <v>630</v>
      </c>
      <c r="F434" s="85" t="s">
        <v>28</v>
      </c>
      <c r="G434" s="85" t="s">
        <v>1449</v>
      </c>
      <c r="H434" s="88" t="s">
        <v>1450</v>
      </c>
      <c r="I434" s="85"/>
      <c r="J434" s="88" t="s">
        <v>1451</v>
      </c>
      <c r="K434" s="92" t="s">
        <v>1452</v>
      </c>
      <c r="L434" s="85"/>
      <c r="M434" s="88" t="s">
        <v>1453</v>
      </c>
      <c r="N434" s="90" t="s">
        <v>34</v>
      </c>
      <c r="O434" s="85"/>
      <c r="P434" s="82"/>
    </row>
    <row r="435" ht="33" hidden="1" spans="1:16">
      <c r="A435" s="83">
        <v>434</v>
      </c>
      <c r="B435" s="98">
        <v>46100</v>
      </c>
      <c r="C435" s="85" t="s">
        <v>68</v>
      </c>
      <c r="D435" s="85" t="s">
        <v>26</v>
      </c>
      <c r="E435" s="85" t="s">
        <v>35</v>
      </c>
      <c r="F435" s="85" t="s">
        <v>28</v>
      </c>
      <c r="G435" s="85" t="s">
        <v>1454</v>
      </c>
      <c r="H435" s="85" t="s">
        <v>1455</v>
      </c>
      <c r="I435" s="85"/>
      <c r="J435" s="88" t="s">
        <v>1456</v>
      </c>
      <c r="K435" s="92" t="s">
        <v>32</v>
      </c>
      <c r="L435" s="85"/>
      <c r="M435" s="88" t="s">
        <v>1457</v>
      </c>
      <c r="N435" s="90" t="s">
        <v>34</v>
      </c>
      <c r="O435" s="85"/>
      <c r="P435" s="82"/>
    </row>
    <row r="436" hidden="1" spans="1:16">
      <c r="A436" s="83">
        <v>435</v>
      </c>
      <c r="B436" s="98">
        <v>46100</v>
      </c>
      <c r="C436" s="85" t="s">
        <v>68</v>
      </c>
      <c r="D436" s="85" t="s">
        <v>26</v>
      </c>
      <c r="E436" s="85" t="s">
        <v>35</v>
      </c>
      <c r="F436" s="85" t="s">
        <v>28</v>
      </c>
      <c r="G436" s="85" t="s">
        <v>1458</v>
      </c>
      <c r="H436" s="85" t="s">
        <v>1459</v>
      </c>
      <c r="I436" s="85"/>
      <c r="J436" s="88" t="s">
        <v>1460</v>
      </c>
      <c r="K436" s="92" t="s">
        <v>32</v>
      </c>
      <c r="L436" s="85"/>
      <c r="M436" s="88" t="s">
        <v>1461</v>
      </c>
      <c r="N436" s="90" t="s">
        <v>34</v>
      </c>
      <c r="O436" s="85"/>
      <c r="P436" s="82"/>
    </row>
    <row r="437" hidden="1" spans="1:16">
      <c r="A437" s="83">
        <v>436</v>
      </c>
      <c r="B437" s="98">
        <v>46100</v>
      </c>
      <c r="C437" s="85" t="s">
        <v>68</v>
      </c>
      <c r="D437" s="85" t="s">
        <v>26</v>
      </c>
      <c r="E437" s="85" t="s">
        <v>35</v>
      </c>
      <c r="F437" s="85" t="s">
        <v>28</v>
      </c>
      <c r="G437" s="85" t="s">
        <v>1462</v>
      </c>
      <c r="H437" s="85" t="s">
        <v>1463</v>
      </c>
      <c r="I437" s="85"/>
      <c r="J437" s="88" t="s">
        <v>1460</v>
      </c>
      <c r="K437" s="92" t="s">
        <v>32</v>
      </c>
      <c r="L437" s="85"/>
      <c r="M437" s="88" t="s">
        <v>1461</v>
      </c>
      <c r="N437" s="90" t="s">
        <v>34</v>
      </c>
      <c r="O437" s="85"/>
      <c r="P437" s="82"/>
    </row>
    <row r="438" hidden="1" spans="1:16">
      <c r="A438" s="83">
        <v>437</v>
      </c>
      <c r="B438" s="98">
        <v>46100</v>
      </c>
      <c r="C438" s="85" t="s">
        <v>68</v>
      </c>
      <c r="D438" s="85" t="s">
        <v>26</v>
      </c>
      <c r="E438" s="85" t="s">
        <v>35</v>
      </c>
      <c r="F438" s="85" t="s">
        <v>28</v>
      </c>
      <c r="G438" s="85" t="s">
        <v>1464</v>
      </c>
      <c r="H438" s="85" t="s">
        <v>1465</v>
      </c>
      <c r="I438" s="85"/>
      <c r="J438" s="88" t="s">
        <v>1460</v>
      </c>
      <c r="K438" s="92" t="s">
        <v>32</v>
      </c>
      <c r="L438" s="85"/>
      <c r="M438" s="88" t="s">
        <v>1461</v>
      </c>
      <c r="N438" s="90" t="s">
        <v>34</v>
      </c>
      <c r="O438" s="85"/>
      <c r="P438" s="82"/>
    </row>
    <row r="439" hidden="1" spans="1:16">
      <c r="A439" s="83">
        <v>438</v>
      </c>
      <c r="B439" s="98">
        <v>46100</v>
      </c>
      <c r="C439" s="85" t="s">
        <v>68</v>
      </c>
      <c r="D439" s="85" t="s">
        <v>26</v>
      </c>
      <c r="E439" s="85" t="s">
        <v>35</v>
      </c>
      <c r="F439" s="85" t="s">
        <v>28</v>
      </c>
      <c r="G439" s="85" t="s">
        <v>1466</v>
      </c>
      <c r="H439" s="85" t="s">
        <v>1467</v>
      </c>
      <c r="I439" s="85"/>
      <c r="J439" s="88" t="s">
        <v>1460</v>
      </c>
      <c r="K439" s="92" t="s">
        <v>32</v>
      </c>
      <c r="L439" s="85"/>
      <c r="M439" s="88" t="s">
        <v>1461</v>
      </c>
      <c r="N439" s="90" t="s">
        <v>34</v>
      </c>
      <c r="O439" s="85"/>
      <c r="P439" s="82"/>
    </row>
    <row r="440" hidden="1" spans="1:16">
      <c r="A440" s="83">
        <v>439</v>
      </c>
      <c r="B440" s="98">
        <v>46100</v>
      </c>
      <c r="C440" s="85" t="s">
        <v>68</v>
      </c>
      <c r="D440" s="85" t="s">
        <v>26</v>
      </c>
      <c r="E440" s="85" t="s">
        <v>35</v>
      </c>
      <c r="F440" s="85" t="s">
        <v>28</v>
      </c>
      <c r="G440" s="85" t="s">
        <v>1468</v>
      </c>
      <c r="H440" s="85" t="s">
        <v>1469</v>
      </c>
      <c r="I440" s="85"/>
      <c r="J440" s="88" t="s">
        <v>1460</v>
      </c>
      <c r="K440" s="92" t="s">
        <v>32</v>
      </c>
      <c r="L440" s="85"/>
      <c r="M440" s="88" t="s">
        <v>1461</v>
      </c>
      <c r="N440" s="90" t="s">
        <v>34</v>
      </c>
      <c r="O440" s="85"/>
      <c r="P440" s="82"/>
    </row>
    <row r="441" hidden="1" spans="1:16">
      <c r="A441" s="83">
        <v>440</v>
      </c>
      <c r="B441" s="98">
        <v>46100</v>
      </c>
      <c r="C441" s="85" t="s">
        <v>68</v>
      </c>
      <c r="D441" s="85" t="s">
        <v>26</v>
      </c>
      <c r="E441" s="85" t="s">
        <v>27</v>
      </c>
      <c r="F441" s="85" t="s">
        <v>28</v>
      </c>
      <c r="G441" s="85" t="s">
        <v>1470</v>
      </c>
      <c r="H441" s="85" t="s">
        <v>1471</v>
      </c>
      <c r="I441" s="85"/>
      <c r="J441" s="88" t="s">
        <v>1472</v>
      </c>
      <c r="K441" s="92" t="s">
        <v>32</v>
      </c>
      <c r="L441" s="85"/>
      <c r="M441" s="88" t="s">
        <v>1461</v>
      </c>
      <c r="N441" s="90" t="s">
        <v>34</v>
      </c>
      <c r="O441" s="85"/>
      <c r="P441" s="82"/>
    </row>
    <row r="442" hidden="1" spans="1:16">
      <c r="A442" s="83">
        <v>441</v>
      </c>
      <c r="B442" s="98">
        <v>46100</v>
      </c>
      <c r="C442" s="85" t="s">
        <v>68</v>
      </c>
      <c r="D442" s="85" t="s">
        <v>40</v>
      </c>
      <c r="E442" s="85" t="s">
        <v>41</v>
      </c>
      <c r="F442" s="88" t="s">
        <v>28</v>
      </c>
      <c r="G442" s="85" t="s">
        <v>1473</v>
      </c>
      <c r="H442" s="88" t="s">
        <v>1474</v>
      </c>
      <c r="I442" s="85"/>
      <c r="J442" s="88" t="s">
        <v>1475</v>
      </c>
      <c r="K442" s="92" t="s">
        <v>24</v>
      </c>
      <c r="L442" s="85"/>
      <c r="M442" s="88" t="s">
        <v>1476</v>
      </c>
      <c r="N442" s="90" t="s">
        <v>34</v>
      </c>
      <c r="O442" s="85" t="s">
        <v>348</v>
      </c>
      <c r="P442" s="82"/>
    </row>
    <row r="443" ht="33" hidden="1" spans="1:16">
      <c r="A443" s="83">
        <v>442</v>
      </c>
      <c r="B443" s="98">
        <v>46100</v>
      </c>
      <c r="C443" s="85" t="s">
        <v>68</v>
      </c>
      <c r="D443" s="85" t="s">
        <v>26</v>
      </c>
      <c r="E443" s="85" t="s">
        <v>27</v>
      </c>
      <c r="F443" s="85" t="s">
        <v>28</v>
      </c>
      <c r="G443" s="85" t="s">
        <v>1477</v>
      </c>
      <c r="H443" s="85" t="s">
        <v>1478</v>
      </c>
      <c r="I443" s="85"/>
      <c r="J443" s="88" t="s">
        <v>1479</v>
      </c>
      <c r="K443" s="92" t="s">
        <v>32</v>
      </c>
      <c r="L443" s="85"/>
      <c r="M443" s="88" t="s">
        <v>1480</v>
      </c>
      <c r="N443" s="90" t="s">
        <v>34</v>
      </c>
      <c r="O443" s="85"/>
      <c r="P443" s="82"/>
    </row>
    <row r="444" ht="33" hidden="1" spans="1:16">
      <c r="A444" s="83">
        <v>443</v>
      </c>
      <c r="B444" s="98">
        <v>46100</v>
      </c>
      <c r="C444" s="85" t="s">
        <v>68</v>
      </c>
      <c r="D444" s="85" t="s">
        <v>40</v>
      </c>
      <c r="E444" s="85" t="s">
        <v>41</v>
      </c>
      <c r="F444" s="85" t="s">
        <v>28</v>
      </c>
      <c r="G444" s="85" t="s">
        <v>1481</v>
      </c>
      <c r="H444" s="85" t="s">
        <v>1482</v>
      </c>
      <c r="I444" s="85"/>
      <c r="J444" s="88" t="s">
        <v>1479</v>
      </c>
      <c r="K444" s="92" t="s">
        <v>32</v>
      </c>
      <c r="L444" s="85"/>
      <c r="M444" s="88" t="s">
        <v>1480</v>
      </c>
      <c r="N444" s="90" t="s">
        <v>34</v>
      </c>
      <c r="O444" s="85"/>
      <c r="P444" s="82"/>
    </row>
    <row r="445" ht="33" hidden="1" spans="1:16">
      <c r="A445" s="83">
        <v>444</v>
      </c>
      <c r="B445" s="98">
        <v>46100</v>
      </c>
      <c r="C445" s="85" t="s">
        <v>403</v>
      </c>
      <c r="D445" s="85" t="s">
        <v>40</v>
      </c>
      <c r="E445" s="85" t="s">
        <v>41</v>
      </c>
      <c r="F445" s="85" t="s">
        <v>28</v>
      </c>
      <c r="G445" s="85" t="s">
        <v>1483</v>
      </c>
      <c r="H445" s="85" t="s">
        <v>1484</v>
      </c>
      <c r="I445" s="85"/>
      <c r="J445" s="88" t="s">
        <v>1485</v>
      </c>
      <c r="K445" s="92" t="s">
        <v>92</v>
      </c>
      <c r="L445" s="85"/>
      <c r="M445" s="88" t="s">
        <v>1486</v>
      </c>
      <c r="N445" s="90" t="s">
        <v>34</v>
      </c>
      <c r="O445" s="85"/>
      <c r="P445" s="82"/>
    </row>
    <row r="446" ht="33" hidden="1" spans="1:16">
      <c r="A446" s="83">
        <v>445</v>
      </c>
      <c r="B446" s="98">
        <v>46100</v>
      </c>
      <c r="C446" s="85" t="s">
        <v>403</v>
      </c>
      <c r="D446" s="85" t="s">
        <v>26</v>
      </c>
      <c r="E446" s="85" t="s">
        <v>660</v>
      </c>
      <c r="F446" s="85" t="s">
        <v>28</v>
      </c>
      <c r="G446" s="85" t="s">
        <v>1487</v>
      </c>
      <c r="H446" s="85" t="s">
        <v>1488</v>
      </c>
      <c r="I446" s="85"/>
      <c r="J446" s="88" t="s">
        <v>1489</v>
      </c>
      <c r="K446" s="92" t="s">
        <v>92</v>
      </c>
      <c r="L446" s="85"/>
      <c r="M446" s="88" t="s">
        <v>1490</v>
      </c>
      <c r="N446" s="90" t="s">
        <v>34</v>
      </c>
      <c r="O446" s="85"/>
      <c r="P446" s="82"/>
    </row>
    <row r="447" ht="33" hidden="1" spans="1:16">
      <c r="A447" s="83">
        <v>446</v>
      </c>
      <c r="B447" s="98">
        <v>46100</v>
      </c>
      <c r="C447" s="85" t="s">
        <v>403</v>
      </c>
      <c r="D447" s="85" t="s">
        <v>26</v>
      </c>
      <c r="E447" s="85" t="s">
        <v>660</v>
      </c>
      <c r="F447" s="85" t="s">
        <v>28</v>
      </c>
      <c r="G447" s="85" t="s">
        <v>1491</v>
      </c>
      <c r="H447" s="85" t="s">
        <v>1492</v>
      </c>
      <c r="I447" s="85"/>
      <c r="J447" s="88" t="s">
        <v>1493</v>
      </c>
      <c r="K447" s="92" t="s">
        <v>92</v>
      </c>
      <c r="L447" s="85"/>
      <c r="M447" s="88" t="s">
        <v>1490</v>
      </c>
      <c r="N447" s="90" t="s">
        <v>34</v>
      </c>
      <c r="O447" s="85"/>
      <c r="P447" s="82"/>
    </row>
    <row r="448" ht="33" hidden="1" spans="1:16">
      <c r="A448" s="83">
        <v>447</v>
      </c>
      <c r="B448" s="98">
        <v>46100</v>
      </c>
      <c r="C448" s="85" t="s">
        <v>403</v>
      </c>
      <c r="D448" s="85" t="s">
        <v>26</v>
      </c>
      <c r="E448" s="85" t="s">
        <v>660</v>
      </c>
      <c r="F448" s="85" t="s">
        <v>28</v>
      </c>
      <c r="G448" s="85" t="s">
        <v>1494</v>
      </c>
      <c r="H448" s="85" t="s">
        <v>1495</v>
      </c>
      <c r="I448" s="85"/>
      <c r="J448" s="88" t="s">
        <v>1496</v>
      </c>
      <c r="K448" s="92" t="s">
        <v>92</v>
      </c>
      <c r="L448" s="85"/>
      <c r="M448" s="88" t="s">
        <v>1490</v>
      </c>
      <c r="N448" s="90" t="s">
        <v>34</v>
      </c>
      <c r="O448" s="85"/>
      <c r="P448" s="82"/>
    </row>
    <row r="449" ht="33" hidden="1" spans="1:16">
      <c r="A449" s="83">
        <v>448</v>
      </c>
      <c r="B449" s="98">
        <v>46100</v>
      </c>
      <c r="C449" s="85" t="s">
        <v>49</v>
      </c>
      <c r="D449" s="85" t="s">
        <v>317</v>
      </c>
      <c r="E449" s="85" t="s">
        <v>318</v>
      </c>
      <c r="F449" s="85" t="s">
        <v>28</v>
      </c>
      <c r="G449" s="85" t="s">
        <v>1497</v>
      </c>
      <c r="H449" s="85" t="s">
        <v>1498</v>
      </c>
      <c r="I449" s="85"/>
      <c r="J449" s="88" t="s">
        <v>1499</v>
      </c>
      <c r="K449" s="92" t="s">
        <v>49</v>
      </c>
      <c r="L449" s="85"/>
      <c r="M449" s="88" t="s">
        <v>1500</v>
      </c>
      <c r="N449" s="90" t="s">
        <v>34</v>
      </c>
      <c r="O449" s="85"/>
      <c r="P449" s="82"/>
    </row>
    <row r="450" ht="33" hidden="1" spans="1:16">
      <c r="A450" s="83">
        <v>449</v>
      </c>
      <c r="B450" s="98">
        <v>46100</v>
      </c>
      <c r="C450" s="85" t="s">
        <v>68</v>
      </c>
      <c r="D450" s="85" t="s">
        <v>222</v>
      </c>
      <c r="E450" s="88" t="s">
        <v>223</v>
      </c>
      <c r="F450" s="88" t="s">
        <v>28</v>
      </c>
      <c r="G450" s="97" t="s">
        <v>1501</v>
      </c>
      <c r="H450" s="88" t="s">
        <v>1502</v>
      </c>
      <c r="I450" s="88"/>
      <c r="J450" s="88" t="s">
        <v>1479</v>
      </c>
      <c r="K450" s="93" t="s">
        <v>32</v>
      </c>
      <c r="L450" s="88"/>
      <c r="M450" s="88" t="s">
        <v>1503</v>
      </c>
      <c r="N450" s="88" t="s">
        <v>34</v>
      </c>
      <c r="O450" s="85"/>
      <c r="P450" s="82"/>
    </row>
    <row r="451" ht="33" hidden="1" spans="1:16">
      <c r="A451" s="83">
        <v>450</v>
      </c>
      <c r="B451" s="98">
        <v>46100</v>
      </c>
      <c r="C451" s="85" t="s">
        <v>68</v>
      </c>
      <c r="D451" s="85" t="s">
        <v>317</v>
      </c>
      <c r="E451" s="88" t="s">
        <v>318</v>
      </c>
      <c r="F451" s="88" t="s">
        <v>28</v>
      </c>
      <c r="G451" s="88" t="s">
        <v>1504</v>
      </c>
      <c r="H451" s="88" t="s">
        <v>1505</v>
      </c>
      <c r="I451" s="88"/>
      <c r="J451" s="88" t="s">
        <v>1479</v>
      </c>
      <c r="K451" s="93" t="s">
        <v>32</v>
      </c>
      <c r="L451" s="88"/>
      <c r="M451" s="88" t="s">
        <v>1503</v>
      </c>
      <c r="N451" s="88" t="s">
        <v>34</v>
      </c>
      <c r="O451" s="85"/>
      <c r="P451" s="82"/>
    </row>
    <row r="452" hidden="1" spans="1:16">
      <c r="A452" s="83">
        <v>451</v>
      </c>
      <c r="B452" s="98">
        <v>46101</v>
      </c>
      <c r="C452" s="85" t="s">
        <v>68</v>
      </c>
      <c r="D452" s="85" t="s">
        <v>26</v>
      </c>
      <c r="E452" s="88" t="s">
        <v>27</v>
      </c>
      <c r="F452" s="88" t="s">
        <v>28</v>
      </c>
      <c r="G452" s="88" t="s">
        <v>1506</v>
      </c>
      <c r="H452" s="88" t="s">
        <v>1507</v>
      </c>
      <c r="I452" s="85"/>
      <c r="J452" s="88" t="s">
        <v>1508</v>
      </c>
      <c r="K452" s="93" t="s">
        <v>32</v>
      </c>
      <c r="L452" s="88"/>
      <c r="M452" s="88" t="s">
        <v>1509</v>
      </c>
      <c r="N452" s="88" t="s">
        <v>34</v>
      </c>
      <c r="O452" s="85"/>
      <c r="P452" s="82"/>
    </row>
    <row r="453" hidden="1" spans="1:16">
      <c r="A453" s="83">
        <v>452</v>
      </c>
      <c r="B453" s="98">
        <v>46101</v>
      </c>
      <c r="C453" s="85" t="s">
        <v>68</v>
      </c>
      <c r="D453" s="85" t="s">
        <v>26</v>
      </c>
      <c r="E453" s="88" t="s">
        <v>27</v>
      </c>
      <c r="F453" s="88" t="s">
        <v>28</v>
      </c>
      <c r="G453" s="88" t="s">
        <v>1510</v>
      </c>
      <c r="H453" s="88" t="s">
        <v>1511</v>
      </c>
      <c r="I453" s="85"/>
      <c r="J453" s="88" t="s">
        <v>1508</v>
      </c>
      <c r="K453" s="93" t="s">
        <v>32</v>
      </c>
      <c r="L453" s="88"/>
      <c r="M453" s="88" t="s">
        <v>1509</v>
      </c>
      <c r="N453" s="88" t="s">
        <v>34</v>
      </c>
      <c r="O453" s="85"/>
      <c r="P453" s="82"/>
    </row>
    <row r="454" hidden="1" spans="1:16">
      <c r="A454" s="83">
        <v>453</v>
      </c>
      <c r="B454" s="98">
        <v>46101</v>
      </c>
      <c r="C454" s="85" t="s">
        <v>68</v>
      </c>
      <c r="D454" s="85" t="s">
        <v>26</v>
      </c>
      <c r="E454" s="88" t="s">
        <v>27</v>
      </c>
      <c r="F454" s="88" t="s">
        <v>28</v>
      </c>
      <c r="G454" s="88" t="s">
        <v>1512</v>
      </c>
      <c r="H454" s="88" t="s">
        <v>1513</v>
      </c>
      <c r="I454" s="85"/>
      <c r="J454" s="88" t="s">
        <v>1508</v>
      </c>
      <c r="K454" s="93" t="s">
        <v>32</v>
      </c>
      <c r="L454" s="88"/>
      <c r="M454" s="88" t="s">
        <v>1509</v>
      </c>
      <c r="N454" s="88" t="s">
        <v>34</v>
      </c>
      <c r="O454" s="85"/>
      <c r="P454" s="82"/>
    </row>
    <row r="455" hidden="1" spans="1:16">
      <c r="A455" s="83">
        <v>454</v>
      </c>
      <c r="B455" s="98">
        <v>46101</v>
      </c>
      <c r="C455" s="85" t="s">
        <v>68</v>
      </c>
      <c r="D455" s="85" t="s">
        <v>40</v>
      </c>
      <c r="E455" s="88" t="s">
        <v>41</v>
      </c>
      <c r="F455" s="88" t="s">
        <v>28</v>
      </c>
      <c r="G455" s="88" t="s">
        <v>1514</v>
      </c>
      <c r="H455" s="88" t="s">
        <v>1515</v>
      </c>
      <c r="I455" s="85"/>
      <c r="J455" s="88" t="s">
        <v>1516</v>
      </c>
      <c r="K455" s="92" t="s">
        <v>32</v>
      </c>
      <c r="L455" s="85"/>
      <c r="M455" s="85" t="s">
        <v>1517</v>
      </c>
      <c r="N455" s="90" t="s">
        <v>34</v>
      </c>
      <c r="O455" s="85"/>
      <c r="P455" s="82"/>
    </row>
    <row r="456" ht="33" hidden="1" spans="1:16">
      <c r="A456" s="83">
        <v>455</v>
      </c>
      <c r="B456" s="98">
        <v>46101</v>
      </c>
      <c r="C456" s="85" t="s">
        <v>25</v>
      </c>
      <c r="D456" s="85" t="s">
        <v>26</v>
      </c>
      <c r="E456" s="88" t="s">
        <v>35</v>
      </c>
      <c r="F456" s="88" t="s">
        <v>28</v>
      </c>
      <c r="G456" s="88" t="s">
        <v>1518</v>
      </c>
      <c r="H456" s="88" t="s">
        <v>1519</v>
      </c>
      <c r="I456" s="85"/>
      <c r="J456" s="88" t="s">
        <v>1520</v>
      </c>
      <c r="K456" s="92" t="s">
        <v>92</v>
      </c>
      <c r="L456" s="85"/>
      <c r="M456" s="88" t="s">
        <v>1521</v>
      </c>
      <c r="N456" s="90" t="s">
        <v>34</v>
      </c>
      <c r="O456" s="85"/>
      <c r="P456" s="82"/>
    </row>
    <row r="457" ht="33" hidden="1" spans="1:16">
      <c r="A457" s="83">
        <v>456</v>
      </c>
      <c r="B457" s="98">
        <v>46101</v>
      </c>
      <c r="C457" s="85" t="s">
        <v>25</v>
      </c>
      <c r="D457" s="85" t="s">
        <v>26</v>
      </c>
      <c r="E457" s="88" t="s">
        <v>35</v>
      </c>
      <c r="F457" s="88" t="s">
        <v>28</v>
      </c>
      <c r="G457" s="88" t="s">
        <v>1522</v>
      </c>
      <c r="H457" s="88" t="s">
        <v>1523</v>
      </c>
      <c r="I457" s="88"/>
      <c r="J457" s="88" t="s">
        <v>1524</v>
      </c>
      <c r="K457" s="92" t="s">
        <v>92</v>
      </c>
      <c r="L457" s="85"/>
      <c r="M457" s="88" t="s">
        <v>1521</v>
      </c>
      <c r="N457" s="90" t="s">
        <v>34</v>
      </c>
      <c r="O457" s="85"/>
      <c r="P457" s="82"/>
    </row>
    <row r="458" hidden="1" spans="1:16">
      <c r="A458" s="83">
        <v>457</v>
      </c>
      <c r="B458" s="98">
        <v>46101</v>
      </c>
      <c r="C458" s="85" t="s">
        <v>68</v>
      </c>
      <c r="D458" s="85" t="s">
        <v>317</v>
      </c>
      <c r="E458" s="88" t="s">
        <v>318</v>
      </c>
      <c r="F458" s="88" t="s">
        <v>28</v>
      </c>
      <c r="G458" s="88" t="s">
        <v>1525</v>
      </c>
      <c r="H458" s="88" t="s">
        <v>1526</v>
      </c>
      <c r="I458" s="85"/>
      <c r="J458" s="88" t="s">
        <v>1527</v>
      </c>
      <c r="K458" s="92" t="s">
        <v>32</v>
      </c>
      <c r="L458" s="85"/>
      <c r="M458" s="88" t="s">
        <v>1528</v>
      </c>
      <c r="N458" s="90" t="s">
        <v>34</v>
      </c>
      <c r="O458" s="85"/>
      <c r="P458" s="82"/>
    </row>
    <row r="459" ht="33" hidden="1" spans="1:16">
      <c r="A459" s="83">
        <v>458</v>
      </c>
      <c r="B459" s="98">
        <v>46101</v>
      </c>
      <c r="C459" s="85" t="s">
        <v>68</v>
      </c>
      <c r="D459" s="85" t="s">
        <v>40</v>
      </c>
      <c r="E459" s="85" t="s">
        <v>148</v>
      </c>
      <c r="F459" s="88" t="s">
        <v>28</v>
      </c>
      <c r="G459" s="88" t="s">
        <v>1529</v>
      </c>
      <c r="H459" s="88" t="s">
        <v>1530</v>
      </c>
      <c r="I459" s="88"/>
      <c r="J459" s="88" t="s">
        <v>1531</v>
      </c>
      <c r="K459" s="92" t="s">
        <v>24</v>
      </c>
      <c r="L459" s="85"/>
      <c r="M459" s="88" t="s">
        <v>1532</v>
      </c>
      <c r="N459" s="90" t="s">
        <v>34</v>
      </c>
      <c r="O459" s="85" t="s">
        <v>380</v>
      </c>
      <c r="P459" s="82"/>
    </row>
    <row r="460" ht="49.5" hidden="1" spans="1:16">
      <c r="A460" s="83">
        <v>459</v>
      </c>
      <c r="B460" s="98">
        <v>46101</v>
      </c>
      <c r="C460" s="85" t="s">
        <v>25</v>
      </c>
      <c r="D460" s="85" t="s">
        <v>26</v>
      </c>
      <c r="E460" s="85" t="s">
        <v>35</v>
      </c>
      <c r="F460" s="88" t="s">
        <v>28</v>
      </c>
      <c r="G460" s="88" t="s">
        <v>1533</v>
      </c>
      <c r="H460" s="88" t="s">
        <v>1534</v>
      </c>
      <c r="I460" s="88"/>
      <c r="J460" s="88" t="s">
        <v>1535</v>
      </c>
      <c r="K460" s="92" t="s">
        <v>24</v>
      </c>
      <c r="L460" s="85"/>
      <c r="M460" s="88" t="s">
        <v>1536</v>
      </c>
      <c r="N460" s="90" t="s">
        <v>34</v>
      </c>
      <c r="O460" s="85" t="s">
        <v>106</v>
      </c>
      <c r="P460" s="82"/>
    </row>
    <row r="461" hidden="1" spans="1:16">
      <c r="A461" s="83">
        <v>460</v>
      </c>
      <c r="B461" s="98">
        <v>46104</v>
      </c>
      <c r="C461" s="85" t="s">
        <v>68</v>
      </c>
      <c r="D461" s="85" t="s">
        <v>26</v>
      </c>
      <c r="E461" s="88" t="s">
        <v>27</v>
      </c>
      <c r="F461" s="88" t="s">
        <v>28</v>
      </c>
      <c r="G461" s="88" t="s">
        <v>1537</v>
      </c>
      <c r="H461" s="88" t="s">
        <v>1538</v>
      </c>
      <c r="I461" s="85"/>
      <c r="J461" s="88" t="s">
        <v>1539</v>
      </c>
      <c r="K461" s="92" t="s">
        <v>32</v>
      </c>
      <c r="L461" s="85"/>
      <c r="M461" s="88" t="s">
        <v>1540</v>
      </c>
      <c r="N461" s="90" t="s">
        <v>34</v>
      </c>
      <c r="O461" s="85"/>
      <c r="P461" s="82"/>
    </row>
    <row r="462" hidden="1" spans="1:16">
      <c r="A462" s="83">
        <v>461</v>
      </c>
      <c r="B462" s="98">
        <v>46104</v>
      </c>
      <c r="C462" s="85" t="s">
        <v>68</v>
      </c>
      <c r="D462" s="85" t="s">
        <v>26</v>
      </c>
      <c r="E462" s="88" t="s">
        <v>27</v>
      </c>
      <c r="F462" s="88" t="s">
        <v>28</v>
      </c>
      <c r="G462" s="88" t="s">
        <v>1541</v>
      </c>
      <c r="H462" s="88" t="s">
        <v>1542</v>
      </c>
      <c r="I462" s="85"/>
      <c r="J462" s="88" t="s">
        <v>1539</v>
      </c>
      <c r="K462" s="92" t="s">
        <v>32</v>
      </c>
      <c r="L462" s="85"/>
      <c r="M462" s="88" t="s">
        <v>1540</v>
      </c>
      <c r="N462" s="90" t="s">
        <v>34</v>
      </c>
      <c r="O462" s="85"/>
      <c r="P462" s="82"/>
    </row>
    <row r="463" hidden="1" spans="1:16">
      <c r="A463" s="83">
        <v>462</v>
      </c>
      <c r="B463" s="98">
        <v>46104</v>
      </c>
      <c r="C463" s="85" t="s">
        <v>49</v>
      </c>
      <c r="D463" s="85" t="s">
        <v>26</v>
      </c>
      <c r="E463" s="88" t="s">
        <v>35</v>
      </c>
      <c r="F463" s="88" t="s">
        <v>28</v>
      </c>
      <c r="G463" s="88" t="s">
        <v>1543</v>
      </c>
      <c r="H463" s="88" t="s">
        <v>1544</v>
      </c>
      <c r="I463" s="85"/>
      <c r="J463" s="88" t="s">
        <v>1545</v>
      </c>
      <c r="K463" s="92" t="s">
        <v>49</v>
      </c>
      <c r="L463" s="85"/>
      <c r="M463" s="88" t="s">
        <v>1546</v>
      </c>
      <c r="N463" s="90" t="s">
        <v>34</v>
      </c>
      <c r="O463" s="85"/>
      <c r="P463" s="82"/>
    </row>
    <row r="464" ht="33" hidden="1" spans="1:16">
      <c r="A464" s="83">
        <v>463</v>
      </c>
      <c r="B464" s="98">
        <v>46104</v>
      </c>
      <c r="C464" s="85" t="s">
        <v>49</v>
      </c>
      <c r="D464" s="85" t="s">
        <v>40</v>
      </c>
      <c r="E464" s="88" t="s">
        <v>41</v>
      </c>
      <c r="F464" s="88" t="s">
        <v>28</v>
      </c>
      <c r="G464" s="85" t="s">
        <v>1547</v>
      </c>
      <c r="H464" s="88" t="s">
        <v>1548</v>
      </c>
      <c r="I464" s="85"/>
      <c r="J464" s="88" t="s">
        <v>1549</v>
      </c>
      <c r="K464" s="92" t="s">
        <v>49</v>
      </c>
      <c r="L464" s="85"/>
      <c r="M464" s="88" t="s">
        <v>1550</v>
      </c>
      <c r="N464" s="90" t="s">
        <v>34</v>
      </c>
      <c r="O464" s="85"/>
      <c r="P464" s="82"/>
    </row>
    <row r="465" ht="33" hidden="1" spans="1:16">
      <c r="A465" s="83">
        <v>464</v>
      </c>
      <c r="B465" s="98">
        <v>46104</v>
      </c>
      <c r="C465" s="85" t="s">
        <v>49</v>
      </c>
      <c r="D465" s="85" t="s">
        <v>26</v>
      </c>
      <c r="E465" s="88" t="s">
        <v>35</v>
      </c>
      <c r="F465" s="88" t="s">
        <v>28</v>
      </c>
      <c r="G465" s="88" t="s">
        <v>1551</v>
      </c>
      <c r="H465" s="88" t="s">
        <v>1552</v>
      </c>
      <c r="I465" s="85"/>
      <c r="J465" s="88" t="s">
        <v>1549</v>
      </c>
      <c r="K465" s="92" t="s">
        <v>49</v>
      </c>
      <c r="L465" s="85"/>
      <c r="M465" s="88" t="s">
        <v>1550</v>
      </c>
      <c r="N465" s="90" t="s">
        <v>34</v>
      </c>
      <c r="O465" s="85"/>
      <c r="P465" s="82"/>
    </row>
    <row r="466" hidden="1" spans="1:16">
      <c r="A466" s="83">
        <v>465</v>
      </c>
      <c r="B466" s="98">
        <v>46104</v>
      </c>
      <c r="C466" s="85" t="s">
        <v>68</v>
      </c>
      <c r="D466" s="85" t="s">
        <v>40</v>
      </c>
      <c r="E466" s="88" t="s">
        <v>41</v>
      </c>
      <c r="F466" s="88" t="s">
        <v>28</v>
      </c>
      <c r="G466" s="88" t="s">
        <v>1553</v>
      </c>
      <c r="H466" s="88" t="s">
        <v>1554</v>
      </c>
      <c r="I466" s="85"/>
      <c r="J466" s="88" t="s">
        <v>1555</v>
      </c>
      <c r="K466" s="92" t="s">
        <v>32</v>
      </c>
      <c r="L466" s="85"/>
      <c r="M466" s="88" t="s">
        <v>1540</v>
      </c>
      <c r="N466" s="90" t="s">
        <v>34</v>
      </c>
      <c r="O466" s="85"/>
      <c r="P466" s="82"/>
    </row>
    <row r="467" hidden="1" spans="1:16">
      <c r="A467" s="83">
        <v>466</v>
      </c>
      <c r="B467" s="98">
        <v>46104</v>
      </c>
      <c r="C467" s="85" t="s">
        <v>68</v>
      </c>
      <c r="D467" s="85" t="s">
        <v>40</v>
      </c>
      <c r="E467" s="88" t="s">
        <v>41</v>
      </c>
      <c r="F467" s="88" t="s">
        <v>28</v>
      </c>
      <c r="G467" s="88" t="s">
        <v>1556</v>
      </c>
      <c r="H467" s="88" t="s">
        <v>1557</v>
      </c>
      <c r="I467" s="85"/>
      <c r="J467" s="88" t="s">
        <v>1555</v>
      </c>
      <c r="K467" s="92" t="s">
        <v>32</v>
      </c>
      <c r="L467" s="85"/>
      <c r="M467" s="88" t="s">
        <v>1540</v>
      </c>
      <c r="N467" s="90" t="s">
        <v>34</v>
      </c>
      <c r="O467" s="85"/>
      <c r="P467" s="82"/>
    </row>
    <row r="468" hidden="1" spans="1:16">
      <c r="A468" s="83">
        <v>467</v>
      </c>
      <c r="B468" s="98">
        <v>46105</v>
      </c>
      <c r="C468" s="85" t="s">
        <v>68</v>
      </c>
      <c r="D468" s="85" t="s">
        <v>26</v>
      </c>
      <c r="E468" s="85" t="s">
        <v>27</v>
      </c>
      <c r="F468" s="88" t="s">
        <v>28</v>
      </c>
      <c r="G468" s="85" t="s">
        <v>1558</v>
      </c>
      <c r="H468" s="88" t="s">
        <v>1559</v>
      </c>
      <c r="I468" s="85"/>
      <c r="J468" s="88" t="s">
        <v>1560</v>
      </c>
      <c r="K468" s="93" t="s">
        <v>32</v>
      </c>
      <c r="L468" s="85"/>
      <c r="M468" s="88" t="s">
        <v>1561</v>
      </c>
      <c r="N468" s="90" t="s">
        <v>34</v>
      </c>
      <c r="O468" s="85"/>
      <c r="P468" s="82"/>
    </row>
    <row r="469" hidden="1" spans="1:16">
      <c r="A469" s="83">
        <v>468</v>
      </c>
      <c r="B469" s="98">
        <v>46105</v>
      </c>
      <c r="C469" s="85" t="s">
        <v>49</v>
      </c>
      <c r="D469" s="85" t="s">
        <v>153</v>
      </c>
      <c r="E469" s="85" t="s">
        <v>411</v>
      </c>
      <c r="F469" s="88" t="s">
        <v>28</v>
      </c>
      <c r="G469" s="85" t="s">
        <v>1562</v>
      </c>
      <c r="H469" s="88" t="s">
        <v>1563</v>
      </c>
      <c r="I469" s="85"/>
      <c r="J469" s="88" t="s">
        <v>1564</v>
      </c>
      <c r="K469" s="92" t="s">
        <v>49</v>
      </c>
      <c r="L469" s="85"/>
      <c r="M469" s="88" t="s">
        <v>1565</v>
      </c>
      <c r="N469" s="90" t="s">
        <v>34</v>
      </c>
      <c r="O469" s="85"/>
      <c r="P469" s="82"/>
    </row>
    <row r="470" hidden="1" spans="1:16">
      <c r="A470" s="83">
        <v>469</v>
      </c>
      <c r="B470" s="98">
        <v>46105</v>
      </c>
      <c r="C470" s="85" t="s">
        <v>49</v>
      </c>
      <c r="D470" s="85" t="s">
        <v>317</v>
      </c>
      <c r="E470" s="85" t="s">
        <v>318</v>
      </c>
      <c r="F470" s="88" t="s">
        <v>28</v>
      </c>
      <c r="G470" s="88" t="s">
        <v>1566</v>
      </c>
      <c r="H470" s="88" t="s">
        <v>1567</v>
      </c>
      <c r="I470" s="85"/>
      <c r="J470" s="88" t="s">
        <v>1564</v>
      </c>
      <c r="K470" s="92" t="s">
        <v>49</v>
      </c>
      <c r="L470" s="85"/>
      <c r="M470" s="88" t="s">
        <v>1568</v>
      </c>
      <c r="N470" s="90" t="s">
        <v>34</v>
      </c>
      <c r="O470" s="85"/>
      <c r="P470" s="82"/>
    </row>
    <row r="471" hidden="1" spans="1:16">
      <c r="A471" s="83">
        <v>470</v>
      </c>
      <c r="B471" s="98">
        <v>46105</v>
      </c>
      <c r="C471" s="85" t="s">
        <v>68</v>
      </c>
      <c r="D471" s="85" t="s">
        <v>153</v>
      </c>
      <c r="E471" s="85" t="s">
        <v>154</v>
      </c>
      <c r="F471" s="88" t="s">
        <v>28</v>
      </c>
      <c r="G471" s="88" t="s">
        <v>1569</v>
      </c>
      <c r="H471" s="88" t="s">
        <v>1570</v>
      </c>
      <c r="I471" s="85"/>
      <c r="J471" s="88" t="s">
        <v>1560</v>
      </c>
      <c r="K471" s="93" t="s">
        <v>32</v>
      </c>
      <c r="L471" s="85"/>
      <c r="M471" s="88" t="s">
        <v>1561</v>
      </c>
      <c r="N471" s="90" t="s">
        <v>34</v>
      </c>
      <c r="O471" s="85"/>
      <c r="P471" s="82"/>
    </row>
    <row r="472" hidden="1" spans="1:16">
      <c r="A472" s="83">
        <v>471</v>
      </c>
      <c r="B472" s="98">
        <v>46105</v>
      </c>
      <c r="C472" s="85" t="s">
        <v>68</v>
      </c>
      <c r="D472" s="85" t="s">
        <v>153</v>
      </c>
      <c r="E472" s="85" t="s">
        <v>154</v>
      </c>
      <c r="F472" s="88" t="s">
        <v>28</v>
      </c>
      <c r="G472" s="88" t="s">
        <v>1571</v>
      </c>
      <c r="H472" s="88" t="s">
        <v>1572</v>
      </c>
      <c r="I472" s="85"/>
      <c r="J472" s="88" t="s">
        <v>1560</v>
      </c>
      <c r="K472" s="93" t="s">
        <v>32</v>
      </c>
      <c r="L472" s="85"/>
      <c r="M472" s="88" t="s">
        <v>1561</v>
      </c>
      <c r="N472" s="90" t="s">
        <v>34</v>
      </c>
      <c r="O472" s="85"/>
      <c r="P472" s="82"/>
    </row>
    <row r="473" ht="33" hidden="1" spans="1:16">
      <c r="A473" s="83">
        <v>472</v>
      </c>
      <c r="B473" s="98">
        <v>46105</v>
      </c>
      <c r="C473" s="85" t="s">
        <v>68</v>
      </c>
      <c r="D473" s="85" t="s">
        <v>40</v>
      </c>
      <c r="E473" s="88" t="s">
        <v>41</v>
      </c>
      <c r="F473" s="88" t="s">
        <v>28</v>
      </c>
      <c r="G473" s="88" t="s">
        <v>1573</v>
      </c>
      <c r="H473" s="88" t="s">
        <v>1574</v>
      </c>
      <c r="I473" s="88"/>
      <c r="J473" s="88" t="s">
        <v>1575</v>
      </c>
      <c r="K473" s="92" t="s">
        <v>24</v>
      </c>
      <c r="L473" s="85"/>
      <c r="M473" s="88" t="s">
        <v>1576</v>
      </c>
      <c r="N473" s="90" t="s">
        <v>34</v>
      </c>
      <c r="O473" s="85" t="s">
        <v>380</v>
      </c>
      <c r="P473" s="82"/>
    </row>
    <row r="474" hidden="1" spans="1:16">
      <c r="A474" s="83">
        <v>473</v>
      </c>
      <c r="B474" s="98">
        <v>46105</v>
      </c>
      <c r="C474" s="85" t="s">
        <v>68</v>
      </c>
      <c r="D474" s="85" t="s">
        <v>26</v>
      </c>
      <c r="E474" s="88" t="s">
        <v>35</v>
      </c>
      <c r="F474" s="88" t="s">
        <v>28</v>
      </c>
      <c r="G474" s="88" t="s">
        <v>1577</v>
      </c>
      <c r="H474" s="88" t="s">
        <v>1578</v>
      </c>
      <c r="I474" s="88"/>
      <c r="J474" s="88" t="s">
        <v>1579</v>
      </c>
      <c r="K474" s="93" t="s">
        <v>32</v>
      </c>
      <c r="L474" s="85"/>
      <c r="M474" s="88" t="s">
        <v>1561</v>
      </c>
      <c r="N474" s="90" t="s">
        <v>34</v>
      </c>
      <c r="O474" s="85"/>
      <c r="P474" s="82"/>
    </row>
    <row r="475" ht="33" hidden="1" spans="1:16">
      <c r="A475" s="83">
        <v>474</v>
      </c>
      <c r="B475" s="98">
        <v>46105</v>
      </c>
      <c r="C475" s="85" t="s">
        <v>68</v>
      </c>
      <c r="D475" s="85" t="s">
        <v>26</v>
      </c>
      <c r="E475" s="88" t="s">
        <v>35</v>
      </c>
      <c r="F475" s="88" t="s">
        <v>28</v>
      </c>
      <c r="G475" s="88" t="s">
        <v>1580</v>
      </c>
      <c r="H475" s="88" t="s">
        <v>1581</v>
      </c>
      <c r="I475" s="88"/>
      <c r="J475" s="88" t="s">
        <v>1582</v>
      </c>
      <c r="K475" s="92" t="s">
        <v>24</v>
      </c>
      <c r="L475" s="85"/>
      <c r="M475" s="88" t="s">
        <v>1583</v>
      </c>
      <c r="N475" s="90" t="s">
        <v>34</v>
      </c>
      <c r="O475" s="85"/>
      <c r="P475" s="82"/>
    </row>
    <row r="476" ht="132" hidden="1" spans="1:16">
      <c r="A476" s="83">
        <v>475</v>
      </c>
      <c r="B476" s="98">
        <v>46105</v>
      </c>
      <c r="C476" s="85" t="s">
        <v>179</v>
      </c>
      <c r="D476" s="85" t="s">
        <v>40</v>
      </c>
      <c r="E476" s="85" t="s">
        <v>41</v>
      </c>
      <c r="F476" s="88" t="s">
        <v>28</v>
      </c>
      <c r="G476" s="88" t="s">
        <v>1584</v>
      </c>
      <c r="H476" s="88" t="s">
        <v>1585</v>
      </c>
      <c r="I476" s="85"/>
      <c r="J476" s="88" t="s">
        <v>1586</v>
      </c>
      <c r="K476" s="92" t="s">
        <v>92</v>
      </c>
      <c r="L476" s="85"/>
      <c r="M476" s="88" t="s">
        <v>1587</v>
      </c>
      <c r="N476" s="90" t="s">
        <v>34</v>
      </c>
      <c r="O476" s="85"/>
      <c r="P476" s="82"/>
    </row>
    <row r="477" ht="132" hidden="1" spans="1:16">
      <c r="A477" s="83">
        <v>476</v>
      </c>
      <c r="B477" s="98">
        <v>46105</v>
      </c>
      <c r="C477" s="85" t="s">
        <v>179</v>
      </c>
      <c r="D477" s="85" t="s">
        <v>40</v>
      </c>
      <c r="E477" s="85" t="s">
        <v>41</v>
      </c>
      <c r="F477" s="88" t="s">
        <v>28</v>
      </c>
      <c r="G477" s="88" t="s">
        <v>1588</v>
      </c>
      <c r="H477" s="88" t="s">
        <v>1588</v>
      </c>
      <c r="I477" s="85"/>
      <c r="J477" s="88" t="s">
        <v>1589</v>
      </c>
      <c r="K477" s="92" t="s">
        <v>92</v>
      </c>
      <c r="L477" s="85"/>
      <c r="M477" s="88" t="s">
        <v>1587</v>
      </c>
      <c r="N477" s="90" t="s">
        <v>34</v>
      </c>
      <c r="O477" s="85"/>
      <c r="P477" s="82"/>
    </row>
    <row r="478" ht="132" hidden="1" spans="1:16">
      <c r="A478" s="83">
        <v>477</v>
      </c>
      <c r="B478" s="98">
        <v>46105</v>
      </c>
      <c r="C478" s="85" t="s">
        <v>179</v>
      </c>
      <c r="D478" s="85" t="s">
        <v>40</v>
      </c>
      <c r="E478" s="85" t="s">
        <v>41</v>
      </c>
      <c r="F478" s="88" t="s">
        <v>28</v>
      </c>
      <c r="G478" s="88" t="s">
        <v>1590</v>
      </c>
      <c r="H478" s="88" t="s">
        <v>1591</v>
      </c>
      <c r="I478" s="85"/>
      <c r="J478" s="88" t="s">
        <v>1589</v>
      </c>
      <c r="K478" s="92" t="s">
        <v>92</v>
      </c>
      <c r="L478" s="85"/>
      <c r="M478" s="88" t="s">
        <v>1587</v>
      </c>
      <c r="N478" s="90" t="s">
        <v>34</v>
      </c>
      <c r="O478" s="85"/>
      <c r="P478" s="82"/>
    </row>
    <row r="479" ht="132" hidden="1" spans="1:16">
      <c r="A479" s="83">
        <v>478</v>
      </c>
      <c r="B479" s="98">
        <v>46105</v>
      </c>
      <c r="C479" s="85" t="s">
        <v>179</v>
      </c>
      <c r="D479" s="85" t="s">
        <v>40</v>
      </c>
      <c r="E479" s="88" t="s">
        <v>41</v>
      </c>
      <c r="F479" s="88" t="s">
        <v>28</v>
      </c>
      <c r="G479" s="88" t="s">
        <v>1592</v>
      </c>
      <c r="H479" s="88" t="s">
        <v>1593</v>
      </c>
      <c r="I479" s="85"/>
      <c r="J479" s="88" t="s">
        <v>1589</v>
      </c>
      <c r="K479" s="92" t="s">
        <v>92</v>
      </c>
      <c r="L479" s="85"/>
      <c r="M479" s="88" t="s">
        <v>1587</v>
      </c>
      <c r="N479" s="90" t="s">
        <v>34</v>
      </c>
      <c r="O479" s="85"/>
      <c r="P479" s="82"/>
    </row>
    <row r="480" ht="363" hidden="1" spans="1:16">
      <c r="A480" s="83">
        <v>479</v>
      </c>
      <c r="B480" s="98">
        <v>46104</v>
      </c>
      <c r="C480" s="85" t="s">
        <v>49</v>
      </c>
      <c r="D480" s="85" t="s">
        <v>40</v>
      </c>
      <c r="E480" s="88" t="s">
        <v>41</v>
      </c>
      <c r="F480" s="88" t="s">
        <v>28</v>
      </c>
      <c r="G480" s="88" t="s">
        <v>1594</v>
      </c>
      <c r="H480" s="88" t="s">
        <v>1595</v>
      </c>
      <c r="I480" s="85"/>
      <c r="J480" s="88" t="s">
        <v>1596</v>
      </c>
      <c r="K480" s="92" t="s">
        <v>49</v>
      </c>
      <c r="L480" s="85"/>
      <c r="M480" s="88" t="s">
        <v>1597</v>
      </c>
      <c r="N480" s="90" t="s">
        <v>34</v>
      </c>
      <c r="O480" s="85"/>
      <c r="P480" s="82"/>
    </row>
    <row r="481" ht="33" hidden="1" spans="1:16">
      <c r="A481" s="83">
        <v>480</v>
      </c>
      <c r="B481" s="98">
        <v>46106</v>
      </c>
      <c r="C481" s="85" t="s">
        <v>68</v>
      </c>
      <c r="D481" s="85" t="s">
        <v>40</v>
      </c>
      <c r="E481" s="88" t="s">
        <v>41</v>
      </c>
      <c r="F481" s="88" t="s">
        <v>28</v>
      </c>
      <c r="G481" s="88" t="s">
        <v>1598</v>
      </c>
      <c r="H481" s="88" t="s">
        <v>1599</v>
      </c>
      <c r="I481" s="85"/>
      <c r="J481" s="88" t="s">
        <v>1600</v>
      </c>
      <c r="K481" s="92" t="s">
        <v>24</v>
      </c>
      <c r="L481" s="85"/>
      <c r="M481" s="88" t="s">
        <v>1601</v>
      </c>
      <c r="N481" s="90" t="s">
        <v>34</v>
      </c>
      <c r="O481" s="85"/>
      <c r="P481" s="82"/>
    </row>
    <row r="482" ht="33" hidden="1" spans="1:16">
      <c r="A482" s="83">
        <v>481</v>
      </c>
      <c r="B482" s="98">
        <v>46106</v>
      </c>
      <c r="C482" s="85" t="s">
        <v>68</v>
      </c>
      <c r="D482" s="85" t="s">
        <v>153</v>
      </c>
      <c r="E482" s="88" t="s">
        <v>154</v>
      </c>
      <c r="F482" s="88" t="s">
        <v>28</v>
      </c>
      <c r="G482" s="88" t="s">
        <v>1602</v>
      </c>
      <c r="H482" s="88" t="s">
        <v>1603</v>
      </c>
      <c r="I482" s="85"/>
      <c r="J482" s="88" t="s">
        <v>1604</v>
      </c>
      <c r="K482" s="93" t="s">
        <v>32</v>
      </c>
      <c r="L482" s="85"/>
      <c r="M482" s="88" t="s">
        <v>1605</v>
      </c>
      <c r="N482" s="90" t="s">
        <v>34</v>
      </c>
      <c r="O482" s="85"/>
      <c r="P482" s="82"/>
    </row>
    <row r="483" hidden="1" spans="1:16">
      <c r="A483" s="83">
        <v>482</v>
      </c>
      <c r="B483" s="98">
        <v>46106</v>
      </c>
      <c r="C483" s="85" t="s">
        <v>49</v>
      </c>
      <c r="D483" s="85" t="s">
        <v>107</v>
      </c>
      <c r="E483" s="85" t="s">
        <v>108</v>
      </c>
      <c r="F483" s="88" t="s">
        <v>28</v>
      </c>
      <c r="G483" s="85" t="s">
        <v>1606</v>
      </c>
      <c r="H483" s="88" t="s">
        <v>1607</v>
      </c>
      <c r="I483" s="85"/>
      <c r="J483" s="88" t="s">
        <v>1564</v>
      </c>
      <c r="K483" s="92" t="s">
        <v>49</v>
      </c>
      <c r="L483" s="85"/>
      <c r="M483" s="88" t="s">
        <v>1608</v>
      </c>
      <c r="N483" s="90" t="s">
        <v>34</v>
      </c>
      <c r="O483" s="85"/>
      <c r="P483" s="82"/>
    </row>
    <row r="484" ht="33" hidden="1" spans="1:16">
      <c r="A484" s="83">
        <v>483</v>
      </c>
      <c r="B484" s="98">
        <v>46107</v>
      </c>
      <c r="C484" s="85" t="s">
        <v>68</v>
      </c>
      <c r="D484" s="85" t="s">
        <v>26</v>
      </c>
      <c r="E484" s="85" t="s">
        <v>35</v>
      </c>
      <c r="F484" s="88" t="s">
        <v>28</v>
      </c>
      <c r="G484" s="85" t="s">
        <v>1609</v>
      </c>
      <c r="H484" s="88" t="s">
        <v>1610</v>
      </c>
      <c r="I484" s="85"/>
      <c r="J484" s="88" t="s">
        <v>1611</v>
      </c>
      <c r="K484" s="92" t="s">
        <v>355</v>
      </c>
      <c r="L484" s="85"/>
      <c r="M484" s="88" t="s">
        <v>1612</v>
      </c>
      <c r="N484" s="90" t="s">
        <v>34</v>
      </c>
      <c r="O484" s="85"/>
      <c r="P484" s="82"/>
    </row>
    <row r="485" hidden="1" spans="1:16">
      <c r="A485" s="83">
        <v>484</v>
      </c>
      <c r="B485" s="98">
        <v>46107</v>
      </c>
      <c r="C485" s="85" t="s">
        <v>49</v>
      </c>
      <c r="D485" s="85" t="s">
        <v>153</v>
      </c>
      <c r="E485" s="85" t="s">
        <v>411</v>
      </c>
      <c r="F485" s="88" t="s">
        <v>28</v>
      </c>
      <c r="G485" s="85" t="s">
        <v>1613</v>
      </c>
      <c r="H485" s="88" t="s">
        <v>1614</v>
      </c>
      <c r="I485" s="85"/>
      <c r="J485" s="88" t="s">
        <v>1615</v>
      </c>
      <c r="K485" s="92" t="s">
        <v>49</v>
      </c>
      <c r="L485" s="85"/>
      <c r="M485" s="88" t="s">
        <v>1616</v>
      </c>
      <c r="N485" s="90" t="s">
        <v>34</v>
      </c>
      <c r="O485" s="85"/>
      <c r="P485" s="82"/>
    </row>
    <row r="486" ht="66" hidden="1" spans="1:16">
      <c r="A486" s="83">
        <v>485</v>
      </c>
      <c r="B486" s="98">
        <v>46106</v>
      </c>
      <c r="C486" s="85" t="s">
        <v>49</v>
      </c>
      <c r="D486" s="85" t="s">
        <v>26</v>
      </c>
      <c r="E486" s="85" t="s">
        <v>35</v>
      </c>
      <c r="F486" s="88" t="s">
        <v>28</v>
      </c>
      <c r="G486" s="85" t="s">
        <v>1617</v>
      </c>
      <c r="H486" s="88" t="s">
        <v>1618</v>
      </c>
      <c r="I486" s="85"/>
      <c r="J486" s="88" t="s">
        <v>1619</v>
      </c>
      <c r="K486" s="92" t="s">
        <v>49</v>
      </c>
      <c r="L486" s="85"/>
      <c r="M486" s="88" t="s">
        <v>1620</v>
      </c>
      <c r="N486" s="90" t="s">
        <v>34</v>
      </c>
      <c r="O486" s="85"/>
      <c r="P486" s="82"/>
    </row>
    <row r="487" ht="33" hidden="1" spans="1:16">
      <c r="A487" s="83">
        <v>486</v>
      </c>
      <c r="B487" s="98">
        <v>46106</v>
      </c>
      <c r="C487" s="85" t="s">
        <v>49</v>
      </c>
      <c r="D487" s="85" t="s">
        <v>26</v>
      </c>
      <c r="E487" s="85" t="s">
        <v>27</v>
      </c>
      <c r="F487" s="88" t="s">
        <v>28</v>
      </c>
      <c r="G487" s="85" t="s">
        <v>1621</v>
      </c>
      <c r="H487" s="88" t="s">
        <v>1622</v>
      </c>
      <c r="I487" s="85"/>
      <c r="J487" s="88" t="s">
        <v>1619</v>
      </c>
      <c r="K487" s="92" t="s">
        <v>49</v>
      </c>
      <c r="L487" s="85"/>
      <c r="M487" s="88" t="s">
        <v>1623</v>
      </c>
      <c r="N487" s="90" t="s">
        <v>34</v>
      </c>
      <c r="O487" s="85"/>
      <c r="P487" s="82"/>
    </row>
    <row r="488" ht="82.5" hidden="1" spans="1:16">
      <c r="A488" s="83">
        <v>487</v>
      </c>
      <c r="B488" s="98">
        <v>46107</v>
      </c>
      <c r="C488" s="85" t="s">
        <v>68</v>
      </c>
      <c r="D488" s="85" t="s">
        <v>40</v>
      </c>
      <c r="E488" s="85" t="s">
        <v>41</v>
      </c>
      <c r="F488" s="88" t="s">
        <v>28</v>
      </c>
      <c r="G488" s="85" t="s">
        <v>1624</v>
      </c>
      <c r="H488" s="97" t="s">
        <v>1625</v>
      </c>
      <c r="I488" s="85"/>
      <c r="J488" s="88" t="s">
        <v>1626</v>
      </c>
      <c r="K488" s="92" t="s">
        <v>92</v>
      </c>
      <c r="L488" s="85"/>
      <c r="M488" s="88" t="s">
        <v>1627</v>
      </c>
      <c r="N488" s="90" t="s">
        <v>34</v>
      </c>
      <c r="O488" s="85"/>
      <c r="P488" s="82"/>
    </row>
    <row r="489" hidden="1" spans="1:16">
      <c r="A489" s="83">
        <v>488</v>
      </c>
      <c r="B489" s="98">
        <v>46107</v>
      </c>
      <c r="C489" s="85" t="s">
        <v>68</v>
      </c>
      <c r="D489" s="85" t="s">
        <v>40</v>
      </c>
      <c r="E489" s="85" t="s">
        <v>148</v>
      </c>
      <c r="F489" s="88" t="s">
        <v>28</v>
      </c>
      <c r="G489" s="85" t="s">
        <v>1628</v>
      </c>
      <c r="H489" s="88" t="s">
        <v>1629</v>
      </c>
      <c r="I489" s="85"/>
      <c r="J489" s="88" t="s">
        <v>1630</v>
      </c>
      <c r="K489" s="93" t="s">
        <v>32</v>
      </c>
      <c r="L489" s="85"/>
      <c r="M489" s="88" t="s">
        <v>1631</v>
      </c>
      <c r="N489" s="90" t="s">
        <v>34</v>
      </c>
      <c r="O489" s="85"/>
      <c r="P489" s="82"/>
    </row>
    <row r="490" ht="33" hidden="1" spans="1:16">
      <c r="A490" s="83">
        <v>489</v>
      </c>
      <c r="B490" s="98">
        <v>46107</v>
      </c>
      <c r="C490" s="85" t="s">
        <v>49</v>
      </c>
      <c r="D490" s="85" t="s">
        <v>40</v>
      </c>
      <c r="E490" s="88" t="s">
        <v>41</v>
      </c>
      <c r="F490" s="88" t="s">
        <v>28</v>
      </c>
      <c r="G490" s="88" t="s">
        <v>1632</v>
      </c>
      <c r="H490" s="88" t="s">
        <v>1633</v>
      </c>
      <c r="I490" s="85"/>
      <c r="J490" s="88" t="s">
        <v>1615</v>
      </c>
      <c r="K490" s="92" t="s">
        <v>49</v>
      </c>
      <c r="L490" s="85"/>
      <c r="M490" s="88" t="s">
        <v>1634</v>
      </c>
      <c r="N490" s="90" t="s">
        <v>34</v>
      </c>
      <c r="O490" s="85"/>
      <c r="P490" s="82"/>
    </row>
    <row r="491" ht="33" hidden="1" spans="1:16">
      <c r="A491" s="83">
        <v>490</v>
      </c>
      <c r="B491" s="98">
        <v>46107</v>
      </c>
      <c r="C491" s="85" t="s">
        <v>49</v>
      </c>
      <c r="D491" s="85" t="s">
        <v>40</v>
      </c>
      <c r="E491" s="88" t="s">
        <v>41</v>
      </c>
      <c r="F491" s="88" t="s">
        <v>28</v>
      </c>
      <c r="G491" s="88" t="s">
        <v>1635</v>
      </c>
      <c r="H491" s="88" t="s">
        <v>1636</v>
      </c>
      <c r="I491" s="85"/>
      <c r="J491" s="88" t="s">
        <v>1615</v>
      </c>
      <c r="K491" s="92" t="s">
        <v>49</v>
      </c>
      <c r="L491" s="85"/>
      <c r="M491" s="88" t="s">
        <v>1637</v>
      </c>
      <c r="N491" s="90" t="s">
        <v>34</v>
      </c>
      <c r="O491" s="85"/>
      <c r="P491" s="82"/>
    </row>
    <row r="492" hidden="1" spans="1:16">
      <c r="A492" s="83">
        <v>491</v>
      </c>
      <c r="B492" s="98">
        <v>46107</v>
      </c>
      <c r="C492" s="85" t="s">
        <v>68</v>
      </c>
      <c r="D492" s="85" t="s">
        <v>26</v>
      </c>
      <c r="E492" s="88" t="s">
        <v>660</v>
      </c>
      <c r="F492" s="88" t="s">
        <v>28</v>
      </c>
      <c r="G492" s="85" t="s">
        <v>1638</v>
      </c>
      <c r="H492" s="88" t="s">
        <v>1639</v>
      </c>
      <c r="I492" s="85"/>
      <c r="J492" s="88" t="s">
        <v>1630</v>
      </c>
      <c r="K492" s="93" t="s">
        <v>32</v>
      </c>
      <c r="L492" s="85"/>
      <c r="M492" s="88" t="s">
        <v>1631</v>
      </c>
      <c r="N492" s="90" t="s">
        <v>34</v>
      </c>
      <c r="O492" s="85"/>
      <c r="P492" s="82"/>
    </row>
    <row r="493" hidden="1" spans="1:16">
      <c r="A493" s="83">
        <v>492</v>
      </c>
      <c r="B493" s="98">
        <v>46107</v>
      </c>
      <c r="C493" s="85" t="s">
        <v>68</v>
      </c>
      <c r="D493" s="85" t="s">
        <v>26</v>
      </c>
      <c r="E493" s="88" t="s">
        <v>27</v>
      </c>
      <c r="F493" s="88" t="s">
        <v>28</v>
      </c>
      <c r="G493" s="88" t="s">
        <v>1640</v>
      </c>
      <c r="H493" s="88" t="s">
        <v>1641</v>
      </c>
      <c r="I493" s="85"/>
      <c r="J493" s="88" t="s">
        <v>1642</v>
      </c>
      <c r="K493" s="93" t="s">
        <v>32</v>
      </c>
      <c r="L493" s="85"/>
      <c r="M493" s="88" t="s">
        <v>1631</v>
      </c>
      <c r="N493" s="90" t="s">
        <v>34</v>
      </c>
      <c r="O493" s="85"/>
      <c r="P493" s="82"/>
    </row>
    <row r="494" hidden="1" spans="1:16">
      <c r="A494" s="83">
        <v>493</v>
      </c>
      <c r="B494" s="98">
        <v>46107</v>
      </c>
      <c r="C494" s="85" t="s">
        <v>68</v>
      </c>
      <c r="D494" s="85" t="s">
        <v>26</v>
      </c>
      <c r="E494" s="88" t="s">
        <v>27</v>
      </c>
      <c r="F494" s="88" t="s">
        <v>28</v>
      </c>
      <c r="G494" s="88" t="s">
        <v>1643</v>
      </c>
      <c r="H494" s="88" t="s">
        <v>1644</v>
      </c>
      <c r="I494" s="85"/>
      <c r="J494" s="88" t="s">
        <v>1642</v>
      </c>
      <c r="K494" s="93" t="s">
        <v>32</v>
      </c>
      <c r="L494" s="85"/>
      <c r="M494" s="88" t="s">
        <v>1631</v>
      </c>
      <c r="N494" s="90" t="s">
        <v>34</v>
      </c>
      <c r="O494" s="85"/>
      <c r="P494" s="82"/>
    </row>
    <row r="495" hidden="1" spans="1:16">
      <c r="A495" s="83">
        <v>494</v>
      </c>
      <c r="B495" s="98">
        <v>46107</v>
      </c>
      <c r="C495" s="85" t="s">
        <v>68</v>
      </c>
      <c r="D495" s="85" t="s">
        <v>26</v>
      </c>
      <c r="E495" s="88" t="s">
        <v>27</v>
      </c>
      <c r="F495" s="88" t="s">
        <v>28</v>
      </c>
      <c r="G495" s="88" t="s">
        <v>1645</v>
      </c>
      <c r="H495" s="88" t="s">
        <v>1646</v>
      </c>
      <c r="I495" s="85"/>
      <c r="J495" s="88" t="s">
        <v>1642</v>
      </c>
      <c r="K495" s="93" t="s">
        <v>32</v>
      </c>
      <c r="L495" s="85"/>
      <c r="M495" s="88" t="s">
        <v>1631</v>
      </c>
      <c r="N495" s="90" t="s">
        <v>34</v>
      </c>
      <c r="O495" s="85"/>
      <c r="P495" s="82"/>
    </row>
    <row r="496" hidden="1" spans="1:16">
      <c r="A496" s="83">
        <v>495</v>
      </c>
      <c r="B496" s="98">
        <v>46107</v>
      </c>
      <c r="C496" s="85" t="s">
        <v>68</v>
      </c>
      <c r="D496" s="85" t="s">
        <v>26</v>
      </c>
      <c r="E496" s="88" t="s">
        <v>660</v>
      </c>
      <c r="F496" s="88" t="s">
        <v>28</v>
      </c>
      <c r="G496" s="88" t="s">
        <v>1647</v>
      </c>
      <c r="H496" s="88" t="s">
        <v>1648</v>
      </c>
      <c r="I496" s="85"/>
      <c r="J496" s="88" t="s">
        <v>1630</v>
      </c>
      <c r="K496" s="93" t="s">
        <v>32</v>
      </c>
      <c r="L496" s="85"/>
      <c r="M496" s="88" t="s">
        <v>1631</v>
      </c>
      <c r="N496" s="90" t="s">
        <v>34</v>
      </c>
      <c r="O496" s="85"/>
      <c r="P496" s="82"/>
    </row>
    <row r="497" hidden="1" spans="1:16">
      <c r="A497" s="83">
        <v>496</v>
      </c>
      <c r="B497" s="98">
        <v>46107</v>
      </c>
      <c r="C497" s="85" t="s">
        <v>68</v>
      </c>
      <c r="D497" s="85" t="s">
        <v>317</v>
      </c>
      <c r="E497" s="88" t="s">
        <v>318</v>
      </c>
      <c r="F497" s="88" t="s">
        <v>28</v>
      </c>
      <c r="G497" s="88" t="s">
        <v>1649</v>
      </c>
      <c r="H497" s="88" t="s">
        <v>1650</v>
      </c>
      <c r="I497" s="85"/>
      <c r="J497" s="88" t="s">
        <v>1630</v>
      </c>
      <c r="K497" s="93" t="s">
        <v>32</v>
      </c>
      <c r="L497" s="85"/>
      <c r="M497" s="88" t="s">
        <v>1631</v>
      </c>
      <c r="N497" s="90" t="s">
        <v>34</v>
      </c>
      <c r="O497" s="85"/>
      <c r="P497" s="82"/>
    </row>
    <row r="498" hidden="1" spans="1:16">
      <c r="A498" s="83">
        <v>497</v>
      </c>
      <c r="B498" s="98">
        <v>46108</v>
      </c>
      <c r="C498" s="85" t="s">
        <v>68</v>
      </c>
      <c r="D498" s="85" t="s">
        <v>26</v>
      </c>
      <c r="E498" s="88" t="s">
        <v>27</v>
      </c>
      <c r="F498" s="88" t="s">
        <v>28</v>
      </c>
      <c r="G498" s="85" t="s">
        <v>1651</v>
      </c>
      <c r="H498" s="88" t="s">
        <v>1652</v>
      </c>
      <c r="I498" s="85"/>
      <c r="J498" s="88" t="s">
        <v>1630</v>
      </c>
      <c r="K498" s="93" t="s">
        <v>32</v>
      </c>
      <c r="L498" s="85"/>
      <c r="M498" s="88" t="s">
        <v>1653</v>
      </c>
      <c r="N498" s="90" t="s">
        <v>34</v>
      </c>
      <c r="O498" s="85"/>
      <c r="P498" s="82"/>
    </row>
    <row r="499" hidden="1" spans="1:16">
      <c r="A499" s="83">
        <v>498</v>
      </c>
      <c r="B499" s="98">
        <v>46108</v>
      </c>
      <c r="C499" s="85" t="s">
        <v>68</v>
      </c>
      <c r="D499" s="85" t="s">
        <v>40</v>
      </c>
      <c r="E499" s="85" t="s">
        <v>41</v>
      </c>
      <c r="F499" s="88" t="s">
        <v>28</v>
      </c>
      <c r="G499" s="85" t="s">
        <v>1654</v>
      </c>
      <c r="H499" s="88" t="s">
        <v>1655</v>
      </c>
      <c r="I499" s="85"/>
      <c r="J499" s="88" t="s">
        <v>1630</v>
      </c>
      <c r="K499" s="93" t="s">
        <v>32</v>
      </c>
      <c r="L499" s="85"/>
      <c r="M499" s="88" t="s">
        <v>1653</v>
      </c>
      <c r="N499" s="90" t="s">
        <v>34</v>
      </c>
      <c r="O499" s="85"/>
      <c r="P499" s="82"/>
    </row>
    <row r="500" ht="33" hidden="1" spans="1:16">
      <c r="A500" s="83">
        <v>499</v>
      </c>
      <c r="B500" s="98">
        <v>46108</v>
      </c>
      <c r="C500" s="85" t="s">
        <v>49</v>
      </c>
      <c r="D500" s="85" t="s">
        <v>40</v>
      </c>
      <c r="E500" s="85" t="s">
        <v>41</v>
      </c>
      <c r="F500" s="88" t="s">
        <v>28</v>
      </c>
      <c r="G500" s="85" t="s">
        <v>1656</v>
      </c>
      <c r="H500" s="88">
        <v>267280011</v>
      </c>
      <c r="I500" s="85"/>
      <c r="J500" s="88" t="s">
        <v>1657</v>
      </c>
      <c r="K500" s="92" t="s">
        <v>49</v>
      </c>
      <c r="L500" s="85"/>
      <c r="M500" s="88" t="s">
        <v>1658</v>
      </c>
      <c r="N500" s="90" t="s">
        <v>34</v>
      </c>
      <c r="O500" s="85"/>
      <c r="P500" s="82"/>
    </row>
    <row r="501" ht="33" hidden="1" spans="1:16">
      <c r="A501" s="83">
        <v>500</v>
      </c>
      <c r="B501" s="98">
        <v>46108</v>
      </c>
      <c r="C501" s="85" t="s">
        <v>49</v>
      </c>
      <c r="D501" s="85" t="s">
        <v>40</v>
      </c>
      <c r="E501" s="85" t="s">
        <v>41</v>
      </c>
      <c r="F501" s="88" t="s">
        <v>28</v>
      </c>
      <c r="G501" s="85" t="s">
        <v>1659</v>
      </c>
      <c r="H501" s="88" t="s">
        <v>1660</v>
      </c>
      <c r="I501" s="85"/>
      <c r="J501" s="88" t="s">
        <v>1657</v>
      </c>
      <c r="K501" s="92" t="s">
        <v>49</v>
      </c>
      <c r="L501" s="85"/>
      <c r="M501" s="88" t="s">
        <v>1661</v>
      </c>
      <c r="N501" s="90" t="s">
        <v>34</v>
      </c>
      <c r="O501" s="85"/>
      <c r="P501" s="82"/>
    </row>
    <row r="502" hidden="1" spans="1:16">
      <c r="A502" s="83">
        <v>501</v>
      </c>
      <c r="B502" s="98">
        <v>46108</v>
      </c>
      <c r="C502" s="85" t="s">
        <v>25</v>
      </c>
      <c r="D502" s="85" t="s">
        <v>26</v>
      </c>
      <c r="E502" s="85" t="s">
        <v>35</v>
      </c>
      <c r="F502" s="88" t="s">
        <v>28</v>
      </c>
      <c r="G502" s="85" t="s">
        <v>1662</v>
      </c>
      <c r="H502" s="88" t="s">
        <v>1663</v>
      </c>
      <c r="I502" s="85"/>
      <c r="J502" s="88" t="s">
        <v>1664</v>
      </c>
      <c r="K502" s="92" t="s">
        <v>92</v>
      </c>
      <c r="L502" s="85"/>
      <c r="M502" s="88" t="s">
        <v>1665</v>
      </c>
      <c r="N502" s="90" t="s">
        <v>34</v>
      </c>
      <c r="O502" s="85"/>
      <c r="P502" s="82"/>
    </row>
    <row r="503" ht="33" hidden="1" spans="1:16">
      <c r="A503" s="83">
        <v>502</v>
      </c>
      <c r="B503" s="98">
        <v>46108</v>
      </c>
      <c r="C503" s="85" t="s">
        <v>403</v>
      </c>
      <c r="D503" s="85" t="s">
        <v>40</v>
      </c>
      <c r="E503" s="85" t="s">
        <v>41</v>
      </c>
      <c r="F503" s="88" t="s">
        <v>28</v>
      </c>
      <c r="G503" s="85" t="s">
        <v>1666</v>
      </c>
      <c r="H503" s="88" t="s">
        <v>1667</v>
      </c>
      <c r="I503" s="85"/>
      <c r="J503" s="88" t="s">
        <v>1668</v>
      </c>
      <c r="K503" s="92" t="s">
        <v>92</v>
      </c>
      <c r="L503" s="85"/>
      <c r="M503" s="88" t="s">
        <v>1669</v>
      </c>
      <c r="N503" s="90" t="s">
        <v>34</v>
      </c>
      <c r="O503" s="85"/>
      <c r="P503" s="82"/>
    </row>
    <row r="504" ht="33" hidden="1" spans="1:16">
      <c r="A504" s="83">
        <v>503</v>
      </c>
      <c r="B504" s="98">
        <v>46108</v>
      </c>
      <c r="C504" s="85" t="s">
        <v>403</v>
      </c>
      <c r="D504" s="85" t="s">
        <v>40</v>
      </c>
      <c r="E504" s="85" t="s">
        <v>41</v>
      </c>
      <c r="F504" s="85" t="s">
        <v>28</v>
      </c>
      <c r="G504" s="85" t="s">
        <v>1670</v>
      </c>
      <c r="H504" s="85" t="s">
        <v>1671</v>
      </c>
      <c r="I504" s="85"/>
      <c r="J504" s="88" t="s">
        <v>1672</v>
      </c>
      <c r="K504" s="92" t="s">
        <v>92</v>
      </c>
      <c r="L504" s="85"/>
      <c r="M504" s="88" t="s">
        <v>1669</v>
      </c>
      <c r="N504" s="90" t="s">
        <v>34</v>
      </c>
      <c r="O504" s="85"/>
      <c r="P504" s="82"/>
    </row>
    <row r="505" hidden="1" spans="1:16">
      <c r="A505" s="83">
        <v>504</v>
      </c>
      <c r="B505" s="98">
        <v>46108</v>
      </c>
      <c r="C505" s="85" t="s">
        <v>49</v>
      </c>
      <c r="D505" s="85" t="s">
        <v>40</v>
      </c>
      <c r="E505" s="85" t="s">
        <v>41</v>
      </c>
      <c r="F505" s="85" t="s">
        <v>28</v>
      </c>
      <c r="G505" s="85" t="s">
        <v>1673</v>
      </c>
      <c r="H505" s="85" t="s">
        <v>1674</v>
      </c>
      <c r="I505" s="93"/>
      <c r="J505" s="88" t="s">
        <v>1657</v>
      </c>
      <c r="K505" s="93" t="s">
        <v>49</v>
      </c>
      <c r="L505" s="93"/>
      <c r="M505" s="88" t="s">
        <v>1675</v>
      </c>
      <c r="N505" s="90" t="s">
        <v>34</v>
      </c>
      <c r="O505" s="85"/>
      <c r="P505" s="82"/>
    </row>
    <row r="506" ht="33" hidden="1" spans="1:16">
      <c r="A506" s="83">
        <v>505</v>
      </c>
      <c r="B506" s="98">
        <v>46111</v>
      </c>
      <c r="C506" s="85" t="s">
        <v>25</v>
      </c>
      <c r="D506" s="85" t="s">
        <v>26</v>
      </c>
      <c r="E506" s="85" t="s">
        <v>27</v>
      </c>
      <c r="F506" s="85" t="s">
        <v>28</v>
      </c>
      <c r="G506" s="85" t="s">
        <v>1676</v>
      </c>
      <c r="H506" s="88" t="s">
        <v>1677</v>
      </c>
      <c r="I506" s="85"/>
      <c r="J506" s="88" t="s">
        <v>1678</v>
      </c>
      <c r="K506" s="92" t="s">
        <v>92</v>
      </c>
      <c r="L506" s="85"/>
      <c r="M506" s="88" t="s">
        <v>1679</v>
      </c>
      <c r="N506" s="90" t="s">
        <v>34</v>
      </c>
      <c r="O506" s="85"/>
      <c r="P506" s="82"/>
    </row>
    <row r="507" ht="33" hidden="1" spans="1:16">
      <c r="A507" s="83">
        <v>506</v>
      </c>
      <c r="B507" s="98">
        <v>46111</v>
      </c>
      <c r="C507" s="85" t="s">
        <v>25</v>
      </c>
      <c r="D507" s="85" t="s">
        <v>26</v>
      </c>
      <c r="E507" s="85" t="s">
        <v>27</v>
      </c>
      <c r="F507" s="85" t="s">
        <v>28</v>
      </c>
      <c r="G507" s="88" t="s">
        <v>1680</v>
      </c>
      <c r="H507" s="88" t="s">
        <v>1681</v>
      </c>
      <c r="I507" s="85"/>
      <c r="J507" s="88" t="s">
        <v>1682</v>
      </c>
      <c r="K507" s="92" t="s">
        <v>92</v>
      </c>
      <c r="L507" s="85"/>
      <c r="M507" s="88" t="s">
        <v>1683</v>
      </c>
      <c r="N507" s="90" t="s">
        <v>34</v>
      </c>
      <c r="O507" s="85"/>
      <c r="P507" s="82"/>
    </row>
    <row r="508" ht="33" hidden="1" spans="1:16">
      <c r="A508" s="83">
        <v>507</v>
      </c>
      <c r="B508" s="98">
        <v>46111</v>
      </c>
      <c r="C508" s="85" t="s">
        <v>25</v>
      </c>
      <c r="D508" s="85" t="s">
        <v>26</v>
      </c>
      <c r="E508" s="85" t="s">
        <v>27</v>
      </c>
      <c r="F508" s="85" t="s">
        <v>28</v>
      </c>
      <c r="G508" s="85" t="s">
        <v>1684</v>
      </c>
      <c r="H508" s="88" t="s">
        <v>1685</v>
      </c>
      <c r="I508" s="85"/>
      <c r="J508" s="88" t="s">
        <v>1686</v>
      </c>
      <c r="K508" s="92" t="s">
        <v>92</v>
      </c>
      <c r="L508" s="85"/>
      <c r="M508" s="88" t="s">
        <v>1679</v>
      </c>
      <c r="N508" s="90" t="s">
        <v>34</v>
      </c>
      <c r="O508" s="85"/>
      <c r="P508" s="82"/>
    </row>
    <row r="509" ht="33" hidden="1" spans="1:16">
      <c r="A509" s="83">
        <v>508</v>
      </c>
      <c r="B509" s="98">
        <v>46111</v>
      </c>
      <c r="C509" s="85" t="s">
        <v>49</v>
      </c>
      <c r="D509" s="85" t="s">
        <v>153</v>
      </c>
      <c r="E509" s="85" t="s">
        <v>411</v>
      </c>
      <c r="F509" s="85" t="s">
        <v>28</v>
      </c>
      <c r="G509" s="85" t="s">
        <v>1687</v>
      </c>
      <c r="H509" s="88" t="s">
        <v>1688</v>
      </c>
      <c r="I509" s="85"/>
      <c r="J509" s="88" t="s">
        <v>1689</v>
      </c>
      <c r="K509" s="93" t="s">
        <v>49</v>
      </c>
      <c r="L509" s="85"/>
      <c r="M509" s="88" t="s">
        <v>1690</v>
      </c>
      <c r="N509" s="90" t="s">
        <v>34</v>
      </c>
      <c r="O509" s="85"/>
      <c r="P509" s="82"/>
    </row>
    <row r="510" ht="49.5" hidden="1" spans="1:16">
      <c r="A510" s="83">
        <v>509</v>
      </c>
      <c r="B510" s="98">
        <v>46111</v>
      </c>
      <c r="C510" s="85" t="s">
        <v>25</v>
      </c>
      <c r="D510" s="85" t="s">
        <v>26</v>
      </c>
      <c r="E510" s="85" t="s">
        <v>35</v>
      </c>
      <c r="F510" s="85" t="s">
        <v>28</v>
      </c>
      <c r="G510" s="85" t="s">
        <v>1691</v>
      </c>
      <c r="H510" s="85" t="s">
        <v>1692</v>
      </c>
      <c r="I510" s="85"/>
      <c r="J510" s="88" t="s">
        <v>1693</v>
      </c>
      <c r="K510" s="92" t="s">
        <v>24</v>
      </c>
      <c r="L510" s="85"/>
      <c r="M510" s="88" t="s">
        <v>1694</v>
      </c>
      <c r="N510" s="90" t="s">
        <v>34</v>
      </c>
      <c r="O510" s="85" t="s">
        <v>1695</v>
      </c>
      <c r="P510" s="82"/>
    </row>
    <row r="511" hidden="1" spans="1:16">
      <c r="A511" s="83">
        <v>510</v>
      </c>
      <c r="B511" s="98">
        <v>46111</v>
      </c>
      <c r="C511" s="85" t="s">
        <v>49</v>
      </c>
      <c r="D511" s="85" t="s">
        <v>40</v>
      </c>
      <c r="E511" s="85" t="s">
        <v>41</v>
      </c>
      <c r="F511" s="85" t="s">
        <v>28</v>
      </c>
      <c r="G511" s="85" t="s">
        <v>1696</v>
      </c>
      <c r="H511" s="85" t="s">
        <v>1697</v>
      </c>
      <c r="I511" s="85"/>
      <c r="J511" s="88" t="s">
        <v>1657</v>
      </c>
      <c r="K511" s="93" t="s">
        <v>49</v>
      </c>
      <c r="L511" s="85"/>
      <c r="M511" s="88" t="s">
        <v>1698</v>
      </c>
      <c r="N511" s="90" t="s">
        <v>34</v>
      </c>
      <c r="O511" s="85"/>
      <c r="P511" s="82"/>
    </row>
    <row r="512" ht="33" hidden="1" spans="1:16">
      <c r="A512" s="83">
        <v>511</v>
      </c>
      <c r="B512" s="98">
        <v>46111</v>
      </c>
      <c r="C512" s="85" t="s">
        <v>49</v>
      </c>
      <c r="D512" s="85" t="s">
        <v>40</v>
      </c>
      <c r="E512" s="85" t="s">
        <v>41</v>
      </c>
      <c r="F512" s="85" t="s">
        <v>28</v>
      </c>
      <c r="G512" s="85" t="s">
        <v>1699</v>
      </c>
      <c r="H512" s="85" t="s">
        <v>1700</v>
      </c>
      <c r="I512" s="85"/>
      <c r="J512" s="88" t="s">
        <v>1689</v>
      </c>
      <c r="K512" s="93" t="s">
        <v>49</v>
      </c>
      <c r="L512" s="93"/>
      <c r="M512" s="88" t="s">
        <v>1701</v>
      </c>
      <c r="N512" s="90" t="s">
        <v>34</v>
      </c>
      <c r="O512" s="85"/>
      <c r="P512" s="82"/>
    </row>
    <row r="513" hidden="1" spans="1:16">
      <c r="A513" s="83">
        <v>512</v>
      </c>
      <c r="B513" s="98">
        <v>46111</v>
      </c>
      <c r="C513" s="85" t="s">
        <v>68</v>
      </c>
      <c r="D513" s="85" t="s">
        <v>26</v>
      </c>
      <c r="E513" s="85" t="s">
        <v>27</v>
      </c>
      <c r="F513" s="85" t="s">
        <v>28</v>
      </c>
      <c r="G513" s="85" t="s">
        <v>1702</v>
      </c>
      <c r="H513" s="85" t="s">
        <v>1703</v>
      </c>
      <c r="I513" s="85"/>
      <c r="J513" s="88" t="s">
        <v>1704</v>
      </c>
      <c r="K513" s="92" t="s">
        <v>32</v>
      </c>
      <c r="L513" s="85"/>
      <c r="M513" s="88" t="s">
        <v>1705</v>
      </c>
      <c r="N513" s="90" t="s">
        <v>34</v>
      </c>
      <c r="O513" s="85"/>
      <c r="P513" s="82"/>
    </row>
    <row r="514" hidden="1" spans="1:16">
      <c r="A514" s="83">
        <v>513</v>
      </c>
      <c r="B514" s="98">
        <v>46111</v>
      </c>
      <c r="C514" s="85" t="s">
        <v>68</v>
      </c>
      <c r="D514" s="85" t="s">
        <v>26</v>
      </c>
      <c r="E514" s="85" t="s">
        <v>27</v>
      </c>
      <c r="F514" s="85" t="s">
        <v>28</v>
      </c>
      <c r="G514" s="85" t="s">
        <v>1706</v>
      </c>
      <c r="H514" s="85" t="s">
        <v>1707</v>
      </c>
      <c r="I514" s="85"/>
      <c r="J514" s="88" t="s">
        <v>1704</v>
      </c>
      <c r="K514" s="92" t="s">
        <v>32</v>
      </c>
      <c r="L514" s="85"/>
      <c r="M514" s="88" t="s">
        <v>1705</v>
      </c>
      <c r="N514" s="90" t="s">
        <v>34</v>
      </c>
      <c r="O514" s="85"/>
      <c r="P514" s="82"/>
    </row>
    <row r="515" ht="33" hidden="1" spans="1:16">
      <c r="A515" s="83">
        <v>514</v>
      </c>
      <c r="B515" s="98">
        <v>46111</v>
      </c>
      <c r="C515" s="85" t="s">
        <v>68</v>
      </c>
      <c r="D515" s="85" t="s">
        <v>26</v>
      </c>
      <c r="E515" s="85" t="s">
        <v>27</v>
      </c>
      <c r="F515" s="85" t="s">
        <v>28</v>
      </c>
      <c r="G515" s="88" t="s">
        <v>1708</v>
      </c>
      <c r="H515" s="85" t="s">
        <v>1709</v>
      </c>
      <c r="I515" s="85"/>
      <c r="J515" s="88" t="s">
        <v>1710</v>
      </c>
      <c r="K515" s="92" t="s">
        <v>32</v>
      </c>
      <c r="L515" s="85"/>
      <c r="M515" s="88" t="s">
        <v>1711</v>
      </c>
      <c r="N515" s="90" t="s">
        <v>34</v>
      </c>
      <c r="O515" s="85"/>
      <c r="P515" s="82"/>
    </row>
    <row r="516" ht="33" hidden="1" spans="1:16">
      <c r="A516" s="83">
        <v>515</v>
      </c>
      <c r="B516" s="98">
        <v>46111</v>
      </c>
      <c r="C516" s="85" t="s">
        <v>68</v>
      </c>
      <c r="D516" s="85" t="s">
        <v>26</v>
      </c>
      <c r="E516" s="85" t="s">
        <v>27</v>
      </c>
      <c r="F516" s="85" t="s">
        <v>28</v>
      </c>
      <c r="G516" s="97" t="s">
        <v>1712</v>
      </c>
      <c r="H516" s="85" t="s">
        <v>1713</v>
      </c>
      <c r="I516" s="85"/>
      <c r="J516" s="88" t="s">
        <v>1704</v>
      </c>
      <c r="K516" s="92" t="s">
        <v>32</v>
      </c>
      <c r="L516" s="85"/>
      <c r="M516" s="88" t="s">
        <v>1711</v>
      </c>
      <c r="N516" s="90" t="s">
        <v>34</v>
      </c>
      <c r="O516" s="85"/>
      <c r="P516" s="82"/>
    </row>
    <row r="517" ht="33" hidden="1" spans="1:16">
      <c r="A517" s="83">
        <v>516</v>
      </c>
      <c r="B517" s="98">
        <v>46111</v>
      </c>
      <c r="C517" s="85" t="s">
        <v>49</v>
      </c>
      <c r="D517" s="85" t="s">
        <v>26</v>
      </c>
      <c r="E517" s="85" t="s">
        <v>27</v>
      </c>
      <c r="F517" s="85" t="s">
        <v>28</v>
      </c>
      <c r="G517" s="97" t="s">
        <v>1714</v>
      </c>
      <c r="H517" s="85" t="s">
        <v>1715</v>
      </c>
      <c r="I517" s="85"/>
      <c r="J517" s="88" t="s">
        <v>1689</v>
      </c>
      <c r="K517" s="93" t="s">
        <v>49</v>
      </c>
      <c r="L517" s="85"/>
      <c r="M517" s="88" t="s">
        <v>1690</v>
      </c>
      <c r="N517" s="90" t="s">
        <v>34</v>
      </c>
      <c r="O517" s="85"/>
      <c r="P517" s="82"/>
    </row>
    <row r="518" hidden="1" spans="1:16">
      <c r="A518" s="83">
        <v>517</v>
      </c>
      <c r="B518" s="98">
        <v>46111</v>
      </c>
      <c r="C518" s="85" t="s">
        <v>68</v>
      </c>
      <c r="D518" s="85" t="s">
        <v>26</v>
      </c>
      <c r="E518" s="85" t="s">
        <v>27</v>
      </c>
      <c r="F518" s="85" t="s">
        <v>28</v>
      </c>
      <c r="G518" s="85" t="s">
        <v>1716</v>
      </c>
      <c r="H518" s="85" t="s">
        <v>1717</v>
      </c>
      <c r="I518" s="85"/>
      <c r="J518" s="88" t="s">
        <v>1718</v>
      </c>
      <c r="K518" s="92" t="s">
        <v>32</v>
      </c>
      <c r="L518" s="85"/>
      <c r="M518" s="88" t="s">
        <v>1719</v>
      </c>
      <c r="N518" s="90" t="s">
        <v>34</v>
      </c>
      <c r="O518" s="85"/>
      <c r="P518" s="82"/>
    </row>
    <row r="519" hidden="1" spans="1:16">
      <c r="A519" s="83">
        <v>518</v>
      </c>
      <c r="B519" s="98">
        <v>46112</v>
      </c>
      <c r="C519" s="85" t="s">
        <v>68</v>
      </c>
      <c r="D519" s="85" t="s">
        <v>153</v>
      </c>
      <c r="E519" s="85" t="s">
        <v>154</v>
      </c>
      <c r="F519" s="85" t="s">
        <v>28</v>
      </c>
      <c r="G519" s="85" t="s">
        <v>1720</v>
      </c>
      <c r="H519" s="85" t="s">
        <v>1721</v>
      </c>
      <c r="I519" s="85"/>
      <c r="J519" s="88" t="s">
        <v>1718</v>
      </c>
      <c r="K519" s="92" t="s">
        <v>32</v>
      </c>
      <c r="L519" s="85"/>
      <c r="M519" s="88" t="s">
        <v>1722</v>
      </c>
      <c r="N519" s="90" t="s">
        <v>34</v>
      </c>
      <c r="O519" s="85"/>
      <c r="P519" s="82"/>
    </row>
    <row r="520" hidden="1" spans="1:16">
      <c r="A520" s="83">
        <v>519</v>
      </c>
      <c r="B520" s="98">
        <v>46112</v>
      </c>
      <c r="C520" s="85" t="s">
        <v>68</v>
      </c>
      <c r="D520" s="85" t="s">
        <v>26</v>
      </c>
      <c r="E520" s="85" t="s">
        <v>27</v>
      </c>
      <c r="F520" s="85" t="s">
        <v>28</v>
      </c>
      <c r="G520" s="85" t="s">
        <v>1723</v>
      </c>
      <c r="H520" s="85" t="s">
        <v>1724</v>
      </c>
      <c r="I520" s="85"/>
      <c r="J520" s="88" t="s">
        <v>1710</v>
      </c>
      <c r="K520" s="92" t="s">
        <v>32</v>
      </c>
      <c r="L520" s="85"/>
      <c r="M520" s="88" t="s">
        <v>1722</v>
      </c>
      <c r="N520" s="90" t="s">
        <v>34</v>
      </c>
      <c r="O520" s="85"/>
      <c r="P520" s="82"/>
    </row>
    <row r="521" hidden="1" spans="1:16">
      <c r="A521" s="83">
        <v>520</v>
      </c>
      <c r="B521" s="98">
        <v>46113</v>
      </c>
      <c r="C521" s="85" t="s">
        <v>68</v>
      </c>
      <c r="D521" s="85" t="s">
        <v>26</v>
      </c>
      <c r="E521" s="85" t="s">
        <v>27</v>
      </c>
      <c r="F521" s="85" t="s">
        <v>28</v>
      </c>
      <c r="G521" s="85" t="s">
        <v>1725</v>
      </c>
      <c r="H521" s="85" t="s">
        <v>1726</v>
      </c>
      <c r="I521" s="85"/>
      <c r="J521" s="88" t="s">
        <v>1710</v>
      </c>
      <c r="K521" s="92" t="s">
        <v>32</v>
      </c>
      <c r="L521" s="85"/>
      <c r="M521" s="88" t="s">
        <v>1722</v>
      </c>
      <c r="N521" s="90" t="s">
        <v>34</v>
      </c>
      <c r="O521" s="85"/>
      <c r="P521" s="82"/>
    </row>
    <row r="522" hidden="1" spans="1:16">
      <c r="A522" s="83">
        <v>521</v>
      </c>
      <c r="B522" s="98">
        <v>46113</v>
      </c>
      <c r="C522" s="85" t="s">
        <v>49</v>
      </c>
      <c r="D522" s="85" t="s">
        <v>40</v>
      </c>
      <c r="E522" s="85" t="s">
        <v>41</v>
      </c>
      <c r="F522" s="85" t="s">
        <v>28</v>
      </c>
      <c r="G522" s="85" t="s">
        <v>1727</v>
      </c>
      <c r="H522" s="85" t="s">
        <v>1728</v>
      </c>
      <c r="I522" s="85"/>
      <c r="J522" s="88" t="s">
        <v>1729</v>
      </c>
      <c r="K522" s="93" t="s">
        <v>49</v>
      </c>
      <c r="L522" s="85"/>
      <c r="M522" s="88" t="s">
        <v>1730</v>
      </c>
      <c r="N522" s="90" t="s">
        <v>34</v>
      </c>
      <c r="O522" s="85"/>
      <c r="P522" s="82"/>
    </row>
    <row r="523" hidden="1" spans="1:16">
      <c r="A523" s="83">
        <v>522</v>
      </c>
      <c r="B523" s="98">
        <v>46113</v>
      </c>
      <c r="C523" s="85" t="s">
        <v>68</v>
      </c>
      <c r="D523" s="85" t="s">
        <v>26</v>
      </c>
      <c r="E523" s="85" t="s">
        <v>35</v>
      </c>
      <c r="F523" s="85" t="s">
        <v>28</v>
      </c>
      <c r="G523" s="85" t="s">
        <v>1731</v>
      </c>
      <c r="H523" s="85" t="s">
        <v>1732</v>
      </c>
      <c r="I523" s="85"/>
      <c r="J523" s="88" t="s">
        <v>1733</v>
      </c>
      <c r="K523" s="92" t="s">
        <v>32</v>
      </c>
      <c r="L523" s="85"/>
      <c r="M523" s="88" t="s">
        <v>1734</v>
      </c>
      <c r="N523" s="90" t="s">
        <v>34</v>
      </c>
      <c r="O523" s="85"/>
      <c r="P523" s="82"/>
    </row>
    <row r="524" hidden="1" spans="1:16">
      <c r="A524" s="83">
        <v>523</v>
      </c>
      <c r="B524" s="98">
        <v>46113</v>
      </c>
      <c r="C524" s="85" t="s">
        <v>68</v>
      </c>
      <c r="D524" s="85" t="s">
        <v>26</v>
      </c>
      <c r="E524" s="85" t="s">
        <v>35</v>
      </c>
      <c r="F524" s="85" t="s">
        <v>28</v>
      </c>
      <c r="G524" s="85" t="s">
        <v>1735</v>
      </c>
      <c r="H524" s="85" t="s">
        <v>1736</v>
      </c>
      <c r="I524" s="85"/>
      <c r="J524" s="88" t="s">
        <v>1737</v>
      </c>
      <c r="K524" s="92" t="s">
        <v>32</v>
      </c>
      <c r="L524" s="85"/>
      <c r="M524" s="88" t="s">
        <v>1734</v>
      </c>
      <c r="N524" s="90" t="s">
        <v>34</v>
      </c>
      <c r="O524" s="85"/>
      <c r="P524" s="82"/>
    </row>
    <row r="525" ht="33" hidden="1" spans="1:16">
      <c r="A525" s="83">
        <v>524</v>
      </c>
      <c r="B525" s="98">
        <v>46113</v>
      </c>
      <c r="C525" s="85" t="s">
        <v>49</v>
      </c>
      <c r="D525" s="85" t="s">
        <v>40</v>
      </c>
      <c r="E525" s="85" t="s">
        <v>148</v>
      </c>
      <c r="F525" s="85" t="s">
        <v>28</v>
      </c>
      <c r="G525" s="85" t="s">
        <v>1738</v>
      </c>
      <c r="H525" s="85" t="s">
        <v>1739</v>
      </c>
      <c r="I525" s="85"/>
      <c r="J525" s="88" t="s">
        <v>1740</v>
      </c>
      <c r="K525" s="92" t="s">
        <v>49</v>
      </c>
      <c r="L525" s="85"/>
      <c r="M525" s="88" t="s">
        <v>1741</v>
      </c>
      <c r="N525" s="90" t="s">
        <v>34</v>
      </c>
      <c r="O525" s="85"/>
      <c r="P525" s="82"/>
    </row>
    <row r="526" ht="33" hidden="1" spans="1:16">
      <c r="A526" s="83">
        <v>525</v>
      </c>
      <c r="B526" s="98">
        <v>46113</v>
      </c>
      <c r="C526" s="85" t="s">
        <v>25</v>
      </c>
      <c r="D526" s="85" t="s">
        <v>26</v>
      </c>
      <c r="E526" s="85" t="s">
        <v>27</v>
      </c>
      <c r="F526" s="85" t="s">
        <v>28</v>
      </c>
      <c r="G526" s="85" t="s">
        <v>1742</v>
      </c>
      <c r="H526" s="85">
        <v>266837509</v>
      </c>
      <c r="I526" s="85"/>
      <c r="J526" s="88" t="s">
        <v>1743</v>
      </c>
      <c r="K526" s="92" t="s">
        <v>92</v>
      </c>
      <c r="L526" s="85"/>
      <c r="M526" s="88" t="s">
        <v>1744</v>
      </c>
      <c r="N526" s="90" t="s">
        <v>34</v>
      </c>
      <c r="O526" s="85"/>
      <c r="P526" s="82"/>
    </row>
    <row r="527" ht="33" hidden="1" spans="1:16">
      <c r="A527" s="83">
        <v>526</v>
      </c>
      <c r="B527" s="98">
        <v>46113</v>
      </c>
      <c r="C527" s="85" t="s">
        <v>49</v>
      </c>
      <c r="D527" s="85" t="s">
        <v>26</v>
      </c>
      <c r="E527" s="85" t="s">
        <v>27</v>
      </c>
      <c r="F527" s="85" t="s">
        <v>28</v>
      </c>
      <c r="G527" s="85" t="s">
        <v>1745</v>
      </c>
      <c r="H527" s="85" t="s">
        <v>1746</v>
      </c>
      <c r="I527" s="85"/>
      <c r="J527" s="88" t="s">
        <v>1740</v>
      </c>
      <c r="K527" s="92" t="s">
        <v>49</v>
      </c>
      <c r="L527" s="85"/>
      <c r="M527" s="88" t="s">
        <v>1741</v>
      </c>
      <c r="N527" s="90" t="s">
        <v>34</v>
      </c>
      <c r="O527" s="85"/>
      <c r="P527" s="82"/>
    </row>
    <row r="528" hidden="1" spans="1:16">
      <c r="A528" s="83">
        <v>527</v>
      </c>
      <c r="B528" s="98">
        <v>46113</v>
      </c>
      <c r="C528" s="85" t="s">
        <v>68</v>
      </c>
      <c r="D528" s="85" t="s">
        <v>26</v>
      </c>
      <c r="E528" s="85" t="s">
        <v>27</v>
      </c>
      <c r="F528" s="85" t="s">
        <v>28</v>
      </c>
      <c r="G528" s="85" t="s">
        <v>1747</v>
      </c>
      <c r="H528" s="85" t="s">
        <v>1748</v>
      </c>
      <c r="I528" s="85"/>
      <c r="J528" s="88" t="s">
        <v>1749</v>
      </c>
      <c r="K528" s="92" t="s">
        <v>32</v>
      </c>
      <c r="L528" s="85"/>
      <c r="M528" s="88" t="s">
        <v>1719</v>
      </c>
      <c r="N528" s="90" t="s">
        <v>34</v>
      </c>
      <c r="O528" s="85"/>
      <c r="P528" s="82"/>
    </row>
    <row r="529" ht="33" hidden="1" spans="1:16">
      <c r="A529" s="83">
        <v>528</v>
      </c>
      <c r="B529" s="98">
        <v>46113</v>
      </c>
      <c r="C529" s="85" t="s">
        <v>25</v>
      </c>
      <c r="D529" s="85" t="s">
        <v>26</v>
      </c>
      <c r="E529" s="85" t="s">
        <v>27</v>
      </c>
      <c r="F529" s="85" t="s">
        <v>28</v>
      </c>
      <c r="G529" s="85" t="s">
        <v>1750</v>
      </c>
      <c r="H529" s="85">
        <v>266789361</v>
      </c>
      <c r="I529" s="85"/>
      <c r="J529" s="88" t="s">
        <v>1743</v>
      </c>
      <c r="K529" s="92" t="s">
        <v>92</v>
      </c>
      <c r="L529" s="85"/>
      <c r="M529" s="88" t="s">
        <v>1744</v>
      </c>
      <c r="N529" s="90" t="s">
        <v>34</v>
      </c>
      <c r="O529" s="85"/>
      <c r="P529" s="82"/>
    </row>
    <row r="530" hidden="1" spans="1:16">
      <c r="A530" s="83">
        <v>529</v>
      </c>
      <c r="B530" s="98">
        <v>46113</v>
      </c>
      <c r="C530" s="85" t="s">
        <v>68</v>
      </c>
      <c r="D530" s="85" t="s">
        <v>26</v>
      </c>
      <c r="E530" s="85" t="s">
        <v>27</v>
      </c>
      <c r="F530" s="85" t="s">
        <v>28</v>
      </c>
      <c r="G530" s="85" t="s">
        <v>1751</v>
      </c>
      <c r="H530" s="85" t="s">
        <v>1752</v>
      </c>
      <c r="I530" s="85"/>
      <c r="J530" s="88" t="s">
        <v>1737</v>
      </c>
      <c r="K530" s="92" t="s">
        <v>32</v>
      </c>
      <c r="L530" s="85"/>
      <c r="M530" s="88" t="s">
        <v>1719</v>
      </c>
      <c r="N530" s="90" t="s">
        <v>34</v>
      </c>
      <c r="O530" s="85"/>
      <c r="P530" s="82"/>
    </row>
    <row r="531" ht="33" hidden="1" spans="1:16">
      <c r="A531" s="83">
        <v>530</v>
      </c>
      <c r="B531" s="98">
        <v>46113</v>
      </c>
      <c r="C531" s="85" t="s">
        <v>68</v>
      </c>
      <c r="D531" s="85" t="s">
        <v>40</v>
      </c>
      <c r="E531" s="85" t="s">
        <v>41</v>
      </c>
      <c r="F531" s="85" t="s">
        <v>28</v>
      </c>
      <c r="G531" s="85" t="s">
        <v>1753</v>
      </c>
      <c r="H531" s="85" t="s">
        <v>1754</v>
      </c>
      <c r="I531" s="85"/>
      <c r="J531" s="88" t="s">
        <v>1733</v>
      </c>
      <c r="K531" s="92" t="s">
        <v>32</v>
      </c>
      <c r="L531" s="85"/>
      <c r="M531" s="88" t="s">
        <v>1755</v>
      </c>
      <c r="N531" s="90" t="s">
        <v>34</v>
      </c>
      <c r="O531" s="85"/>
      <c r="P531" s="82"/>
    </row>
    <row r="532" ht="33" hidden="1" spans="1:16">
      <c r="A532" s="83">
        <v>531</v>
      </c>
      <c r="B532" s="98">
        <v>46113</v>
      </c>
      <c r="C532" s="85" t="s">
        <v>68</v>
      </c>
      <c r="D532" s="85" t="s">
        <v>40</v>
      </c>
      <c r="E532" s="85" t="s">
        <v>41</v>
      </c>
      <c r="F532" s="85" t="s">
        <v>28</v>
      </c>
      <c r="G532" s="85" t="s">
        <v>1756</v>
      </c>
      <c r="H532" s="85" t="s">
        <v>1757</v>
      </c>
      <c r="I532" s="85"/>
      <c r="J532" s="88" t="s">
        <v>1733</v>
      </c>
      <c r="K532" s="92" t="s">
        <v>32</v>
      </c>
      <c r="L532" s="85"/>
      <c r="M532" s="88" t="s">
        <v>1755</v>
      </c>
      <c r="N532" s="90" t="s">
        <v>34</v>
      </c>
      <c r="O532" s="85"/>
      <c r="P532" s="82"/>
    </row>
    <row r="533" hidden="1" spans="1:16">
      <c r="A533" s="83">
        <v>532</v>
      </c>
      <c r="B533" s="98">
        <v>46114</v>
      </c>
      <c r="C533" s="85" t="s">
        <v>49</v>
      </c>
      <c r="D533" s="85" t="s">
        <v>40</v>
      </c>
      <c r="E533" s="85" t="s">
        <v>41</v>
      </c>
      <c r="F533" s="85" t="s">
        <v>28</v>
      </c>
      <c r="G533" s="85" t="s">
        <v>1758</v>
      </c>
      <c r="H533" s="85" t="s">
        <v>1759</v>
      </c>
      <c r="I533" s="85"/>
      <c r="J533" s="88" t="s">
        <v>1760</v>
      </c>
      <c r="K533" s="92" t="s">
        <v>49</v>
      </c>
      <c r="L533" s="85"/>
      <c r="M533" s="88" t="s">
        <v>1761</v>
      </c>
      <c r="N533" s="90" t="s">
        <v>34</v>
      </c>
      <c r="O533" s="85"/>
      <c r="P533" s="82"/>
    </row>
    <row r="534" hidden="1" spans="1:16">
      <c r="A534" s="83">
        <v>533</v>
      </c>
      <c r="B534" s="98">
        <v>46114</v>
      </c>
      <c r="C534" s="85" t="s">
        <v>68</v>
      </c>
      <c r="D534" s="85" t="s">
        <v>40</v>
      </c>
      <c r="E534" s="88" t="s">
        <v>41</v>
      </c>
      <c r="F534" s="88" t="s">
        <v>28</v>
      </c>
      <c r="G534" s="88" t="s">
        <v>1762</v>
      </c>
      <c r="H534" s="88">
        <v>278294473</v>
      </c>
      <c r="I534" s="88"/>
      <c r="J534" s="88" t="s">
        <v>1763</v>
      </c>
      <c r="K534" s="93" t="s">
        <v>32</v>
      </c>
      <c r="L534" s="88"/>
      <c r="M534" s="88" t="s">
        <v>1764</v>
      </c>
      <c r="N534" s="90" t="s">
        <v>34</v>
      </c>
      <c r="O534" s="85"/>
      <c r="P534" s="82"/>
    </row>
    <row r="535" hidden="1" spans="1:16">
      <c r="A535" s="83">
        <v>534</v>
      </c>
      <c r="B535" s="98">
        <v>46114</v>
      </c>
      <c r="C535" s="85" t="s">
        <v>68</v>
      </c>
      <c r="D535" s="85" t="s">
        <v>40</v>
      </c>
      <c r="E535" s="88" t="s">
        <v>41</v>
      </c>
      <c r="F535" s="88" t="s">
        <v>28</v>
      </c>
      <c r="G535" s="88" t="s">
        <v>1765</v>
      </c>
      <c r="H535" s="88" t="s">
        <v>1766</v>
      </c>
      <c r="I535" s="88"/>
      <c r="J535" s="88" t="s">
        <v>1767</v>
      </c>
      <c r="K535" s="93" t="s">
        <v>32</v>
      </c>
      <c r="L535" s="88"/>
      <c r="M535" s="88" t="s">
        <v>1768</v>
      </c>
      <c r="N535" s="90" t="s">
        <v>34</v>
      </c>
      <c r="O535" s="85"/>
      <c r="P535" s="82"/>
    </row>
    <row r="536" hidden="1" spans="1:16">
      <c r="A536" s="83">
        <v>535</v>
      </c>
      <c r="B536" s="98">
        <v>46114</v>
      </c>
      <c r="C536" s="85" t="s">
        <v>49</v>
      </c>
      <c r="D536" s="85" t="s">
        <v>40</v>
      </c>
      <c r="E536" s="88" t="s">
        <v>41</v>
      </c>
      <c r="F536" s="88" t="s">
        <v>28</v>
      </c>
      <c r="G536" s="88" t="s">
        <v>1769</v>
      </c>
      <c r="H536" s="88" t="s">
        <v>1770</v>
      </c>
      <c r="I536" s="88"/>
      <c r="J536" s="88" t="s">
        <v>1760</v>
      </c>
      <c r="K536" s="93" t="s">
        <v>49</v>
      </c>
      <c r="L536" s="88"/>
      <c r="M536" s="88" t="s">
        <v>1771</v>
      </c>
      <c r="N536" s="90" t="s">
        <v>34</v>
      </c>
      <c r="O536" s="85"/>
      <c r="P536" s="82"/>
    </row>
    <row r="537" ht="99" hidden="1" spans="1:16">
      <c r="A537" s="83">
        <v>536</v>
      </c>
      <c r="B537" s="98">
        <v>46114</v>
      </c>
      <c r="C537" s="85" t="s">
        <v>68</v>
      </c>
      <c r="D537" s="85" t="s">
        <v>40</v>
      </c>
      <c r="E537" s="88" t="s">
        <v>41</v>
      </c>
      <c r="F537" s="88" t="s">
        <v>28</v>
      </c>
      <c r="G537" s="88" t="s">
        <v>1772</v>
      </c>
      <c r="H537" s="88" t="s">
        <v>1773</v>
      </c>
      <c r="I537" s="88"/>
      <c r="J537" s="88" t="s">
        <v>1774</v>
      </c>
      <c r="K537" s="93" t="s">
        <v>32</v>
      </c>
      <c r="L537" s="88"/>
      <c r="M537" s="88" t="s">
        <v>1775</v>
      </c>
      <c r="N537" s="90" t="s">
        <v>34</v>
      </c>
      <c r="O537" s="85"/>
      <c r="P537" s="82"/>
    </row>
    <row r="538" hidden="1" spans="1:16">
      <c r="A538" s="83">
        <v>537</v>
      </c>
      <c r="B538" s="98">
        <v>46114</v>
      </c>
      <c r="C538" s="85" t="s">
        <v>49</v>
      </c>
      <c r="D538" s="85" t="s">
        <v>26</v>
      </c>
      <c r="E538" s="88" t="s">
        <v>35</v>
      </c>
      <c r="F538" s="88" t="s">
        <v>28</v>
      </c>
      <c r="G538" s="88" t="s">
        <v>1776</v>
      </c>
      <c r="H538" s="88" t="s">
        <v>1777</v>
      </c>
      <c r="I538" s="88"/>
      <c r="J538" s="88" t="s">
        <v>1760</v>
      </c>
      <c r="K538" s="93" t="s">
        <v>49</v>
      </c>
      <c r="L538" s="88"/>
      <c r="M538" s="88" t="s">
        <v>1771</v>
      </c>
      <c r="N538" s="90" t="s">
        <v>34</v>
      </c>
      <c r="O538" s="85"/>
      <c r="P538" s="82"/>
    </row>
    <row r="539" ht="33" hidden="1" spans="1:16">
      <c r="A539" s="83">
        <v>538</v>
      </c>
      <c r="B539" s="98">
        <v>46114</v>
      </c>
      <c r="C539" s="85" t="s">
        <v>25</v>
      </c>
      <c r="D539" s="85" t="s">
        <v>317</v>
      </c>
      <c r="E539" s="88" t="s">
        <v>318</v>
      </c>
      <c r="F539" s="88" t="s">
        <v>28</v>
      </c>
      <c r="G539" s="88" t="s">
        <v>1778</v>
      </c>
      <c r="H539" s="88" t="s">
        <v>1779</v>
      </c>
      <c r="I539" s="88"/>
      <c r="J539" s="88" t="s">
        <v>1780</v>
      </c>
      <c r="K539" s="93" t="s">
        <v>92</v>
      </c>
      <c r="L539" s="88"/>
      <c r="M539" s="88" t="s">
        <v>1781</v>
      </c>
      <c r="N539" s="90" t="s">
        <v>34</v>
      </c>
      <c r="O539" s="85"/>
      <c r="P539" s="82"/>
    </row>
    <row r="540" ht="33" hidden="1" spans="1:16">
      <c r="A540" s="83">
        <v>539</v>
      </c>
      <c r="B540" s="98">
        <v>46114</v>
      </c>
      <c r="C540" s="85" t="s">
        <v>25</v>
      </c>
      <c r="D540" s="85" t="s">
        <v>317</v>
      </c>
      <c r="E540" s="88" t="s">
        <v>318</v>
      </c>
      <c r="F540" s="88" t="s">
        <v>28</v>
      </c>
      <c r="G540" s="88" t="s">
        <v>1782</v>
      </c>
      <c r="H540" s="88" t="s">
        <v>1783</v>
      </c>
      <c r="I540" s="88"/>
      <c r="J540" s="88" t="s">
        <v>1784</v>
      </c>
      <c r="K540" s="93" t="s">
        <v>92</v>
      </c>
      <c r="L540" s="88"/>
      <c r="M540" s="88" t="s">
        <v>1781</v>
      </c>
      <c r="N540" s="90" t="s">
        <v>34</v>
      </c>
      <c r="O540" s="85"/>
      <c r="P540" s="82"/>
    </row>
    <row r="541" ht="33" hidden="1" spans="1:16">
      <c r="A541" s="83">
        <v>540</v>
      </c>
      <c r="B541" s="98">
        <v>46114</v>
      </c>
      <c r="C541" s="85" t="s">
        <v>68</v>
      </c>
      <c r="D541" s="85" t="s">
        <v>26</v>
      </c>
      <c r="E541" s="88" t="s">
        <v>27</v>
      </c>
      <c r="F541" s="88" t="s">
        <v>28</v>
      </c>
      <c r="G541" s="88" t="s">
        <v>1785</v>
      </c>
      <c r="H541" s="88" t="s">
        <v>1786</v>
      </c>
      <c r="I541" s="88"/>
      <c r="J541" s="88" t="s">
        <v>1763</v>
      </c>
      <c r="K541" s="93" t="s">
        <v>32</v>
      </c>
      <c r="L541" s="88"/>
      <c r="M541" s="88" t="s">
        <v>1787</v>
      </c>
      <c r="N541" s="90" t="s">
        <v>34</v>
      </c>
      <c r="O541" s="85"/>
      <c r="P541" s="82"/>
    </row>
    <row r="542" ht="82.5" hidden="1" spans="1:16">
      <c r="A542" s="83">
        <v>541</v>
      </c>
      <c r="B542" s="98">
        <v>46114</v>
      </c>
      <c r="C542" s="85" t="s">
        <v>25</v>
      </c>
      <c r="D542" s="85" t="s">
        <v>222</v>
      </c>
      <c r="E542" s="88" t="s">
        <v>223</v>
      </c>
      <c r="F542" s="88" t="s">
        <v>28</v>
      </c>
      <c r="G542" s="88" t="s">
        <v>1788</v>
      </c>
      <c r="H542" s="88" t="s">
        <v>1789</v>
      </c>
      <c r="I542" s="88"/>
      <c r="J542" s="88" t="s">
        <v>1790</v>
      </c>
      <c r="K542" s="93" t="s">
        <v>24</v>
      </c>
      <c r="L542" s="88"/>
      <c r="M542" s="88" t="s">
        <v>1791</v>
      </c>
      <c r="N542" s="90" t="s">
        <v>34</v>
      </c>
      <c r="O542" s="92" t="s">
        <v>1246</v>
      </c>
      <c r="P542" s="82"/>
    </row>
    <row r="543" ht="82.5" hidden="1" spans="1:16">
      <c r="A543" s="83">
        <v>542</v>
      </c>
      <c r="B543" s="98">
        <v>46114</v>
      </c>
      <c r="C543" s="85" t="s">
        <v>25</v>
      </c>
      <c r="D543" s="85" t="s">
        <v>222</v>
      </c>
      <c r="E543" s="88" t="s">
        <v>223</v>
      </c>
      <c r="F543" s="88" t="s">
        <v>28</v>
      </c>
      <c r="G543" s="88" t="s">
        <v>1792</v>
      </c>
      <c r="H543" s="88" t="s">
        <v>1793</v>
      </c>
      <c r="I543" s="88"/>
      <c r="J543" s="88" t="s">
        <v>1790</v>
      </c>
      <c r="K543" s="93" t="s">
        <v>24</v>
      </c>
      <c r="L543" s="88"/>
      <c r="M543" s="88" t="s">
        <v>1791</v>
      </c>
      <c r="N543" s="90" t="s">
        <v>34</v>
      </c>
      <c r="O543" s="92" t="s">
        <v>1246</v>
      </c>
      <c r="P543" s="82"/>
    </row>
    <row r="544" ht="82.5" hidden="1" spans="1:16">
      <c r="A544" s="83">
        <v>543</v>
      </c>
      <c r="B544" s="98">
        <v>46114</v>
      </c>
      <c r="C544" s="85" t="s">
        <v>25</v>
      </c>
      <c r="D544" s="85" t="s">
        <v>222</v>
      </c>
      <c r="E544" s="88" t="s">
        <v>223</v>
      </c>
      <c r="F544" s="88" t="s">
        <v>28</v>
      </c>
      <c r="G544" s="88" t="s">
        <v>1794</v>
      </c>
      <c r="H544" s="88" t="s">
        <v>1795</v>
      </c>
      <c r="I544" s="88"/>
      <c r="J544" s="88" t="s">
        <v>1790</v>
      </c>
      <c r="K544" s="93" t="s">
        <v>24</v>
      </c>
      <c r="L544" s="88"/>
      <c r="M544" s="88" t="s">
        <v>1791</v>
      </c>
      <c r="N544" s="90" t="s">
        <v>34</v>
      </c>
      <c r="O544" s="92" t="s">
        <v>1246</v>
      </c>
      <c r="P544" s="82"/>
    </row>
    <row r="545" ht="33" hidden="1" spans="1:16">
      <c r="A545" s="83">
        <v>544</v>
      </c>
      <c r="B545" s="98">
        <v>46114</v>
      </c>
      <c r="C545" s="85" t="s">
        <v>403</v>
      </c>
      <c r="D545" s="85" t="s">
        <v>222</v>
      </c>
      <c r="E545" s="88" t="s">
        <v>223</v>
      </c>
      <c r="F545" s="88" t="s">
        <v>28</v>
      </c>
      <c r="G545" s="88" t="s">
        <v>1796</v>
      </c>
      <c r="H545" s="88" t="s">
        <v>1797</v>
      </c>
      <c r="I545" s="88"/>
      <c r="J545" s="88" t="s">
        <v>1798</v>
      </c>
      <c r="K545" s="93" t="s">
        <v>92</v>
      </c>
      <c r="L545" s="88"/>
      <c r="M545" s="88" t="s">
        <v>1799</v>
      </c>
      <c r="N545" s="90" t="s">
        <v>34</v>
      </c>
      <c r="O545" s="85"/>
      <c r="P545" s="82"/>
    </row>
    <row r="546" ht="49.5" hidden="1" spans="1:16">
      <c r="A546" s="83">
        <v>545</v>
      </c>
      <c r="B546" s="98">
        <v>46114</v>
      </c>
      <c r="C546" s="85" t="s">
        <v>25</v>
      </c>
      <c r="D546" s="85" t="s">
        <v>40</v>
      </c>
      <c r="E546" s="88" t="s">
        <v>41</v>
      </c>
      <c r="F546" s="88" t="s">
        <v>28</v>
      </c>
      <c r="G546" s="88" t="s">
        <v>1800</v>
      </c>
      <c r="H546" s="88" t="s">
        <v>1801</v>
      </c>
      <c r="I546" s="88"/>
      <c r="J546" s="88" t="s">
        <v>1802</v>
      </c>
      <c r="K546" s="93" t="s">
        <v>92</v>
      </c>
      <c r="L546" s="88"/>
      <c r="M546" s="88" t="s">
        <v>1803</v>
      </c>
      <c r="N546" s="90" t="s">
        <v>34</v>
      </c>
      <c r="O546" s="85"/>
      <c r="P546" s="82"/>
    </row>
    <row r="547" hidden="1" spans="1:16">
      <c r="A547" s="83">
        <v>546</v>
      </c>
      <c r="B547" s="98">
        <v>46114</v>
      </c>
      <c r="C547" s="85" t="s">
        <v>25</v>
      </c>
      <c r="D547" s="85" t="s">
        <v>26</v>
      </c>
      <c r="E547" s="88" t="s">
        <v>35</v>
      </c>
      <c r="F547" s="88" t="s">
        <v>28</v>
      </c>
      <c r="G547" s="88" t="s">
        <v>1804</v>
      </c>
      <c r="H547" s="88" t="s">
        <v>1805</v>
      </c>
      <c r="I547" s="88"/>
      <c r="J547" s="88" t="s">
        <v>1806</v>
      </c>
      <c r="K547" s="93" t="s">
        <v>24</v>
      </c>
      <c r="L547" s="88"/>
      <c r="M547" s="88" t="s">
        <v>1807</v>
      </c>
      <c r="N547" s="90" t="s">
        <v>34</v>
      </c>
      <c r="O547" s="85" t="s">
        <v>364</v>
      </c>
      <c r="P547" s="82"/>
    </row>
    <row r="548" ht="33" hidden="1" spans="1:16">
      <c r="A548" s="83">
        <v>547</v>
      </c>
      <c r="B548" s="98">
        <v>46114</v>
      </c>
      <c r="C548" s="85" t="s">
        <v>403</v>
      </c>
      <c r="D548" s="85" t="s">
        <v>222</v>
      </c>
      <c r="E548" s="88" t="s">
        <v>223</v>
      </c>
      <c r="F548" s="88" t="s">
        <v>28</v>
      </c>
      <c r="G548" s="88" t="s">
        <v>1808</v>
      </c>
      <c r="H548" s="88" t="s">
        <v>1809</v>
      </c>
      <c r="I548" s="88"/>
      <c r="J548" s="88" t="s">
        <v>1798</v>
      </c>
      <c r="K548" s="93" t="s">
        <v>92</v>
      </c>
      <c r="L548" s="88"/>
      <c r="M548" s="88" t="s">
        <v>1799</v>
      </c>
      <c r="N548" s="90" t="s">
        <v>34</v>
      </c>
      <c r="O548" s="85"/>
      <c r="P548" s="82"/>
    </row>
    <row r="549" ht="33" hidden="1" spans="1:16">
      <c r="A549" s="83">
        <v>548</v>
      </c>
      <c r="B549" s="98">
        <v>46115</v>
      </c>
      <c r="C549" s="85" t="s">
        <v>68</v>
      </c>
      <c r="D549" s="85" t="s">
        <v>40</v>
      </c>
      <c r="E549" s="88" t="s">
        <v>41</v>
      </c>
      <c r="F549" s="88" t="s">
        <v>28</v>
      </c>
      <c r="G549" s="88" t="s">
        <v>1810</v>
      </c>
      <c r="H549" s="88">
        <v>266418989</v>
      </c>
      <c r="I549" s="88"/>
      <c r="J549" s="88" t="s">
        <v>1811</v>
      </c>
      <c r="K549" s="93" t="s">
        <v>24</v>
      </c>
      <c r="L549" s="85"/>
      <c r="M549" s="88" t="s">
        <v>1812</v>
      </c>
      <c r="N549" s="90" t="s">
        <v>34</v>
      </c>
      <c r="O549" s="85" t="s">
        <v>500</v>
      </c>
      <c r="P549" s="82"/>
    </row>
    <row r="550" ht="33" hidden="1" spans="1:16">
      <c r="A550" s="83">
        <v>549</v>
      </c>
      <c r="B550" s="98">
        <v>46115</v>
      </c>
      <c r="C550" s="85" t="s">
        <v>25</v>
      </c>
      <c r="D550" s="85" t="s">
        <v>26</v>
      </c>
      <c r="E550" s="88" t="s">
        <v>27</v>
      </c>
      <c r="F550" s="88" t="s">
        <v>28</v>
      </c>
      <c r="G550" s="88" t="s">
        <v>1813</v>
      </c>
      <c r="H550" s="88" t="s">
        <v>1814</v>
      </c>
      <c r="I550" s="88"/>
      <c r="J550" s="88" t="s">
        <v>1815</v>
      </c>
      <c r="K550" s="93" t="s">
        <v>92</v>
      </c>
      <c r="L550" s="85"/>
      <c r="M550" s="88" t="s">
        <v>1816</v>
      </c>
      <c r="N550" s="90" t="s">
        <v>34</v>
      </c>
      <c r="O550" s="85"/>
      <c r="P550" s="82"/>
    </row>
    <row r="551" hidden="1" spans="1:16">
      <c r="A551" s="83">
        <v>550</v>
      </c>
      <c r="B551" s="98">
        <v>46115</v>
      </c>
      <c r="C551" s="85" t="s">
        <v>68</v>
      </c>
      <c r="D551" s="85" t="s">
        <v>40</v>
      </c>
      <c r="E551" s="88" t="s">
        <v>41</v>
      </c>
      <c r="F551" s="88" t="s">
        <v>28</v>
      </c>
      <c r="G551" s="88" t="s">
        <v>1817</v>
      </c>
      <c r="H551" s="88" t="s">
        <v>1818</v>
      </c>
      <c r="I551" s="88"/>
      <c r="J551" s="88" t="s">
        <v>1819</v>
      </c>
      <c r="K551" s="93" t="s">
        <v>24</v>
      </c>
      <c r="L551" s="85"/>
      <c r="M551" s="88" t="s">
        <v>1820</v>
      </c>
      <c r="N551" s="90" t="s">
        <v>34</v>
      </c>
      <c r="O551" s="85" t="s">
        <v>500</v>
      </c>
      <c r="P551" s="82"/>
    </row>
    <row r="552" ht="33" hidden="1" spans="1:16">
      <c r="A552" s="83">
        <v>551</v>
      </c>
      <c r="B552" s="98">
        <v>46119</v>
      </c>
      <c r="C552" s="85" t="s">
        <v>68</v>
      </c>
      <c r="D552" s="85" t="s">
        <v>153</v>
      </c>
      <c r="E552" s="88" t="s">
        <v>154</v>
      </c>
      <c r="F552" s="88" t="s">
        <v>28</v>
      </c>
      <c r="G552" s="88" t="s">
        <v>1821</v>
      </c>
      <c r="H552" s="88" t="s">
        <v>1822</v>
      </c>
      <c r="I552" s="88"/>
      <c r="J552" s="88" t="s">
        <v>1823</v>
      </c>
      <c r="K552" s="93" t="s">
        <v>32</v>
      </c>
      <c r="L552" s="88"/>
      <c r="M552" s="88" t="s">
        <v>1824</v>
      </c>
      <c r="N552" s="90" t="s">
        <v>34</v>
      </c>
      <c r="O552" s="85"/>
      <c r="P552" s="82"/>
    </row>
    <row r="553" ht="99" hidden="1" spans="1:16">
      <c r="A553" s="83">
        <v>552</v>
      </c>
      <c r="B553" s="98">
        <v>46119</v>
      </c>
      <c r="C553" s="85" t="s">
        <v>25</v>
      </c>
      <c r="D553" s="85" t="s">
        <v>153</v>
      </c>
      <c r="E553" s="88" t="s">
        <v>154</v>
      </c>
      <c r="F553" s="88" t="s">
        <v>28</v>
      </c>
      <c r="G553" s="88" t="s">
        <v>1825</v>
      </c>
      <c r="H553" s="88" t="s">
        <v>1826</v>
      </c>
      <c r="I553" s="88"/>
      <c r="J553" s="88" t="s">
        <v>1827</v>
      </c>
      <c r="K553" s="93" t="s">
        <v>92</v>
      </c>
      <c r="L553" s="85"/>
      <c r="M553" s="88" t="s">
        <v>1828</v>
      </c>
      <c r="N553" s="90" t="s">
        <v>34</v>
      </c>
      <c r="O553" s="85"/>
      <c r="P553" s="82"/>
    </row>
    <row r="554" ht="99" hidden="1" spans="1:16">
      <c r="A554" s="83">
        <v>553</v>
      </c>
      <c r="B554" s="98">
        <v>46119</v>
      </c>
      <c r="C554" s="85" t="s">
        <v>25</v>
      </c>
      <c r="D554" s="85" t="s">
        <v>153</v>
      </c>
      <c r="E554" s="88" t="s">
        <v>154</v>
      </c>
      <c r="F554" s="88" t="s">
        <v>28</v>
      </c>
      <c r="G554" s="88" t="s">
        <v>1829</v>
      </c>
      <c r="H554" s="88" t="s">
        <v>1830</v>
      </c>
      <c r="I554" s="88"/>
      <c r="J554" s="88" t="s">
        <v>1831</v>
      </c>
      <c r="K554" s="93" t="s">
        <v>92</v>
      </c>
      <c r="L554" s="85"/>
      <c r="M554" s="88" t="s">
        <v>1828</v>
      </c>
      <c r="N554" s="90" t="s">
        <v>34</v>
      </c>
      <c r="O554" s="85"/>
      <c r="P554" s="82"/>
    </row>
    <row r="555" ht="99" hidden="1" spans="1:16">
      <c r="A555" s="83">
        <v>554</v>
      </c>
      <c r="B555" s="98">
        <v>46119</v>
      </c>
      <c r="C555" s="85" t="s">
        <v>25</v>
      </c>
      <c r="D555" s="85" t="s">
        <v>153</v>
      </c>
      <c r="E555" s="88" t="s">
        <v>154</v>
      </c>
      <c r="F555" s="88" t="s">
        <v>28</v>
      </c>
      <c r="G555" s="88" t="s">
        <v>1832</v>
      </c>
      <c r="H555" s="88" t="s">
        <v>1833</v>
      </c>
      <c r="I555" s="88"/>
      <c r="J555" s="88" t="s">
        <v>1831</v>
      </c>
      <c r="K555" s="93" t="s">
        <v>92</v>
      </c>
      <c r="L555" s="85"/>
      <c r="M555" s="88" t="s">
        <v>1828</v>
      </c>
      <c r="N555" s="90" t="s">
        <v>34</v>
      </c>
      <c r="O555" s="85"/>
      <c r="P555" s="82"/>
    </row>
    <row r="556" hidden="1" spans="1:16">
      <c r="A556" s="83">
        <v>555</v>
      </c>
      <c r="B556" s="98">
        <v>46119</v>
      </c>
      <c r="C556" s="85" t="s">
        <v>68</v>
      </c>
      <c r="D556" s="85" t="s">
        <v>26</v>
      </c>
      <c r="E556" s="88" t="s">
        <v>27</v>
      </c>
      <c r="F556" s="88" t="s">
        <v>28</v>
      </c>
      <c r="G556" s="88" t="s">
        <v>1834</v>
      </c>
      <c r="H556" s="88" t="s">
        <v>1835</v>
      </c>
      <c r="I556" s="85"/>
      <c r="J556" s="88" t="s">
        <v>1836</v>
      </c>
      <c r="K556" s="93" t="s">
        <v>32</v>
      </c>
      <c r="L556" s="85"/>
      <c r="M556" s="88" t="s">
        <v>1837</v>
      </c>
      <c r="N556" s="90" t="s">
        <v>34</v>
      </c>
      <c r="O556" s="85"/>
      <c r="P556" s="82"/>
    </row>
    <row r="557" hidden="1" spans="1:16">
      <c r="A557" s="83">
        <v>556</v>
      </c>
      <c r="B557" s="98">
        <v>46119</v>
      </c>
      <c r="C557" s="85" t="s">
        <v>49</v>
      </c>
      <c r="D557" s="85" t="s">
        <v>26</v>
      </c>
      <c r="E557" s="88" t="s">
        <v>27</v>
      </c>
      <c r="F557" s="88" t="s">
        <v>28</v>
      </c>
      <c r="G557" s="88" t="s">
        <v>1838</v>
      </c>
      <c r="H557" s="88" t="s">
        <v>1839</v>
      </c>
      <c r="I557" s="85"/>
      <c r="J557" s="88" t="s">
        <v>1840</v>
      </c>
      <c r="K557" s="92" t="s">
        <v>49</v>
      </c>
      <c r="L557" s="85"/>
      <c r="M557" s="88" t="s">
        <v>1841</v>
      </c>
      <c r="N557" s="90" t="s">
        <v>34</v>
      </c>
      <c r="O557" s="85"/>
      <c r="P557" s="82"/>
    </row>
    <row r="558" hidden="1" spans="1:16">
      <c r="A558" s="83">
        <v>557</v>
      </c>
      <c r="B558" s="98">
        <v>46119</v>
      </c>
      <c r="C558" s="85" t="s">
        <v>49</v>
      </c>
      <c r="D558" s="85" t="s">
        <v>26</v>
      </c>
      <c r="E558" s="88" t="s">
        <v>27</v>
      </c>
      <c r="F558" s="88" t="s">
        <v>28</v>
      </c>
      <c r="G558" s="88" t="s">
        <v>1842</v>
      </c>
      <c r="H558" s="88" t="s">
        <v>1843</v>
      </c>
      <c r="I558" s="85"/>
      <c r="J558" s="88" t="s">
        <v>1844</v>
      </c>
      <c r="K558" s="92" t="s">
        <v>49</v>
      </c>
      <c r="L558" s="85"/>
      <c r="M558" s="88" t="s">
        <v>1841</v>
      </c>
      <c r="N558" s="90" t="s">
        <v>34</v>
      </c>
      <c r="O558" s="85"/>
      <c r="P558" s="82"/>
    </row>
    <row r="559" hidden="1" spans="1:16">
      <c r="A559" s="83">
        <v>558</v>
      </c>
      <c r="B559" s="98">
        <v>46119</v>
      </c>
      <c r="C559" s="85" t="s">
        <v>68</v>
      </c>
      <c r="D559" s="85" t="s">
        <v>40</v>
      </c>
      <c r="E559" s="88" t="s">
        <v>41</v>
      </c>
      <c r="F559" s="88" t="s">
        <v>28</v>
      </c>
      <c r="G559" s="88" t="s">
        <v>1845</v>
      </c>
      <c r="H559" s="88" t="s">
        <v>1846</v>
      </c>
      <c r="I559" s="85"/>
      <c r="J559" s="88" t="s">
        <v>1847</v>
      </c>
      <c r="K559" s="93" t="s">
        <v>32</v>
      </c>
      <c r="L559" s="85"/>
      <c r="M559" s="88" t="s">
        <v>1848</v>
      </c>
      <c r="N559" s="90" t="s">
        <v>34</v>
      </c>
      <c r="O559" s="85"/>
      <c r="P559" s="82"/>
    </row>
    <row r="560" hidden="1" spans="1:16">
      <c r="A560" s="83">
        <v>559</v>
      </c>
      <c r="B560" s="98">
        <v>46119</v>
      </c>
      <c r="C560" s="85" t="s">
        <v>68</v>
      </c>
      <c r="D560" s="85" t="s">
        <v>40</v>
      </c>
      <c r="E560" s="88" t="s">
        <v>41</v>
      </c>
      <c r="F560" s="88" t="s">
        <v>28</v>
      </c>
      <c r="G560" s="88" t="s">
        <v>1849</v>
      </c>
      <c r="H560" s="88" t="s">
        <v>1850</v>
      </c>
      <c r="I560" s="85"/>
      <c r="J560" s="88" t="s">
        <v>1847</v>
      </c>
      <c r="K560" s="93" t="s">
        <v>32</v>
      </c>
      <c r="L560" s="85"/>
      <c r="M560" s="88" t="s">
        <v>1848</v>
      </c>
      <c r="N560" s="90" t="s">
        <v>34</v>
      </c>
      <c r="O560" s="85"/>
      <c r="P560" s="82"/>
    </row>
    <row r="561" hidden="1" spans="1:16">
      <c r="A561" s="83">
        <v>560</v>
      </c>
      <c r="B561" s="98">
        <v>46119</v>
      </c>
      <c r="C561" s="85" t="s">
        <v>68</v>
      </c>
      <c r="D561" s="85" t="s">
        <v>40</v>
      </c>
      <c r="E561" s="88" t="s">
        <v>41</v>
      </c>
      <c r="F561" s="88" t="s">
        <v>28</v>
      </c>
      <c r="G561" s="88" t="s">
        <v>1851</v>
      </c>
      <c r="H561" s="88" t="s">
        <v>1852</v>
      </c>
      <c r="I561" s="85"/>
      <c r="J561" s="88" t="s">
        <v>1847</v>
      </c>
      <c r="K561" s="93" t="s">
        <v>32</v>
      </c>
      <c r="L561" s="85"/>
      <c r="M561" s="88" t="s">
        <v>1848</v>
      </c>
      <c r="N561" s="90" t="s">
        <v>34</v>
      </c>
      <c r="O561" s="85"/>
      <c r="P561" s="82"/>
    </row>
    <row r="562" hidden="1" spans="1:16">
      <c r="A562" s="83">
        <v>561</v>
      </c>
      <c r="B562" s="98">
        <v>46119</v>
      </c>
      <c r="C562" s="85" t="s">
        <v>68</v>
      </c>
      <c r="D562" s="85" t="s">
        <v>40</v>
      </c>
      <c r="E562" s="88" t="s">
        <v>41</v>
      </c>
      <c r="F562" s="88" t="s">
        <v>28</v>
      </c>
      <c r="G562" s="88" t="s">
        <v>1853</v>
      </c>
      <c r="H562" s="88" t="s">
        <v>1854</v>
      </c>
      <c r="I562" s="85"/>
      <c r="J562" s="88" t="s">
        <v>1847</v>
      </c>
      <c r="K562" s="93" t="s">
        <v>32</v>
      </c>
      <c r="L562" s="85"/>
      <c r="M562" s="88" t="s">
        <v>1848</v>
      </c>
      <c r="N562" s="90" t="s">
        <v>34</v>
      </c>
      <c r="O562" s="85"/>
      <c r="P562" s="82"/>
    </row>
    <row r="563" hidden="1" spans="1:16">
      <c r="A563" s="83">
        <v>562</v>
      </c>
      <c r="B563" s="98">
        <v>46119</v>
      </c>
      <c r="C563" s="85" t="s">
        <v>68</v>
      </c>
      <c r="D563" s="85" t="s">
        <v>40</v>
      </c>
      <c r="E563" s="88" t="s">
        <v>41</v>
      </c>
      <c r="F563" s="88" t="s">
        <v>28</v>
      </c>
      <c r="G563" s="88" t="s">
        <v>1855</v>
      </c>
      <c r="H563" s="88" t="s">
        <v>1856</v>
      </c>
      <c r="I563" s="85"/>
      <c r="J563" s="88" t="s">
        <v>1857</v>
      </c>
      <c r="K563" s="93" t="s">
        <v>32</v>
      </c>
      <c r="L563" s="85"/>
      <c r="M563" s="88" t="s">
        <v>1824</v>
      </c>
      <c r="N563" s="90" t="s">
        <v>34</v>
      </c>
      <c r="O563" s="85"/>
      <c r="P563" s="82"/>
    </row>
    <row r="564" ht="33" hidden="1" spans="1:16">
      <c r="A564" s="83">
        <v>563</v>
      </c>
      <c r="B564" s="98">
        <v>46120</v>
      </c>
      <c r="C564" s="85" t="s">
        <v>68</v>
      </c>
      <c r="D564" s="85" t="s">
        <v>40</v>
      </c>
      <c r="E564" s="88" t="s">
        <v>41</v>
      </c>
      <c r="F564" s="88" t="s">
        <v>28</v>
      </c>
      <c r="G564" s="88" t="s">
        <v>1858</v>
      </c>
      <c r="H564" s="88" t="s">
        <v>1859</v>
      </c>
      <c r="I564" s="85"/>
      <c r="J564" s="88" t="s">
        <v>1860</v>
      </c>
      <c r="K564" s="93" t="s">
        <v>32</v>
      </c>
      <c r="L564" s="85"/>
      <c r="M564" s="88" t="s">
        <v>1861</v>
      </c>
      <c r="N564" s="90" t="s">
        <v>34</v>
      </c>
      <c r="O564" s="85"/>
      <c r="P564" s="82"/>
    </row>
    <row r="565" ht="66" hidden="1" spans="1:16">
      <c r="A565" s="83">
        <v>564</v>
      </c>
      <c r="B565" s="98">
        <v>46120</v>
      </c>
      <c r="C565" s="88" t="s">
        <v>49</v>
      </c>
      <c r="D565" s="85" t="s">
        <v>40</v>
      </c>
      <c r="E565" s="88" t="s">
        <v>41</v>
      </c>
      <c r="F565" s="88" t="s">
        <v>28</v>
      </c>
      <c r="G565" s="88" t="s">
        <v>1862</v>
      </c>
      <c r="H565" s="88" t="s">
        <v>1863</v>
      </c>
      <c r="I565" s="88"/>
      <c r="J565" s="88" t="s">
        <v>1864</v>
      </c>
      <c r="K565" s="92" t="s">
        <v>49</v>
      </c>
      <c r="L565" s="85"/>
      <c r="M565" s="88" t="s">
        <v>1865</v>
      </c>
      <c r="N565" s="90" t="s">
        <v>34</v>
      </c>
      <c r="O565" s="85"/>
      <c r="P565" s="82"/>
    </row>
    <row r="566" hidden="1" spans="1:16">
      <c r="A566" s="83">
        <v>565</v>
      </c>
      <c r="B566" s="98">
        <v>46120</v>
      </c>
      <c r="C566" s="88" t="s">
        <v>49</v>
      </c>
      <c r="D566" s="85" t="s">
        <v>40</v>
      </c>
      <c r="E566" s="88" t="s">
        <v>41</v>
      </c>
      <c r="F566" s="88" t="s">
        <v>28</v>
      </c>
      <c r="G566" s="88" t="s">
        <v>1866</v>
      </c>
      <c r="H566" s="88" t="s">
        <v>1867</v>
      </c>
      <c r="I566" s="88"/>
      <c r="J566" s="88" t="s">
        <v>1864</v>
      </c>
      <c r="K566" s="92" t="s">
        <v>49</v>
      </c>
      <c r="L566" s="85"/>
      <c r="M566" s="88" t="s">
        <v>1868</v>
      </c>
      <c r="N566" s="90" t="s">
        <v>34</v>
      </c>
      <c r="O566" s="85"/>
      <c r="P566" s="82"/>
    </row>
    <row r="567" ht="33" hidden="1" spans="1:16">
      <c r="A567" s="83">
        <v>566</v>
      </c>
      <c r="B567" s="98">
        <v>46120</v>
      </c>
      <c r="C567" s="88" t="s">
        <v>49</v>
      </c>
      <c r="D567" s="85" t="s">
        <v>153</v>
      </c>
      <c r="E567" s="88" t="s">
        <v>154</v>
      </c>
      <c r="F567" s="88" t="s">
        <v>28</v>
      </c>
      <c r="G567" s="88" t="s">
        <v>1869</v>
      </c>
      <c r="H567" s="88">
        <v>264928226</v>
      </c>
      <c r="I567" s="88"/>
      <c r="J567" s="88" t="s">
        <v>1864</v>
      </c>
      <c r="K567" s="92" t="s">
        <v>49</v>
      </c>
      <c r="L567" s="85"/>
      <c r="M567" s="88" t="s">
        <v>1870</v>
      </c>
      <c r="N567" s="90" t="s">
        <v>34</v>
      </c>
      <c r="O567" s="85"/>
      <c r="P567" s="82"/>
    </row>
    <row r="568" hidden="1" spans="1:16">
      <c r="A568" s="83">
        <v>567</v>
      </c>
      <c r="B568" s="98">
        <v>46120</v>
      </c>
      <c r="C568" s="88" t="s">
        <v>49</v>
      </c>
      <c r="D568" s="85" t="s">
        <v>40</v>
      </c>
      <c r="E568" s="88" t="s">
        <v>41</v>
      </c>
      <c r="F568" s="88" t="s">
        <v>28</v>
      </c>
      <c r="G568" s="88" t="s">
        <v>1871</v>
      </c>
      <c r="H568" s="88" t="s">
        <v>1872</v>
      </c>
      <c r="I568" s="88"/>
      <c r="J568" s="88" t="s">
        <v>1864</v>
      </c>
      <c r="K568" s="92" t="s">
        <v>49</v>
      </c>
      <c r="L568" s="85"/>
      <c r="M568" s="88" t="s">
        <v>1870</v>
      </c>
      <c r="N568" s="90" t="s">
        <v>34</v>
      </c>
      <c r="O568" s="85"/>
      <c r="P568" s="82"/>
    </row>
    <row r="569" hidden="1" spans="1:16">
      <c r="A569" s="83">
        <v>568</v>
      </c>
      <c r="B569" s="98">
        <v>46121</v>
      </c>
      <c r="C569" s="88" t="s">
        <v>68</v>
      </c>
      <c r="D569" s="85" t="s">
        <v>26</v>
      </c>
      <c r="E569" s="88" t="s">
        <v>27</v>
      </c>
      <c r="F569" s="88" t="s">
        <v>28</v>
      </c>
      <c r="G569" s="88" t="s">
        <v>1873</v>
      </c>
      <c r="H569" s="88" t="s">
        <v>1874</v>
      </c>
      <c r="I569" s="88"/>
      <c r="J569" s="88" t="s">
        <v>1875</v>
      </c>
      <c r="K569" s="93" t="s">
        <v>32</v>
      </c>
      <c r="L569" s="85"/>
      <c r="M569" s="88" t="s">
        <v>1876</v>
      </c>
      <c r="N569" s="90" t="s">
        <v>34</v>
      </c>
      <c r="O569" s="85"/>
      <c r="P569" s="82"/>
    </row>
    <row r="570" hidden="1" spans="1:16">
      <c r="A570" s="83">
        <v>569</v>
      </c>
      <c r="B570" s="98">
        <v>46121</v>
      </c>
      <c r="C570" s="88" t="s">
        <v>68</v>
      </c>
      <c r="D570" s="85" t="s">
        <v>26</v>
      </c>
      <c r="E570" s="88" t="s">
        <v>27</v>
      </c>
      <c r="F570" s="88" t="s">
        <v>28</v>
      </c>
      <c r="G570" s="88" t="s">
        <v>1877</v>
      </c>
      <c r="H570" s="88" t="s">
        <v>1878</v>
      </c>
      <c r="I570" s="88"/>
      <c r="J570" s="88" t="s">
        <v>1875</v>
      </c>
      <c r="K570" s="93" t="s">
        <v>32</v>
      </c>
      <c r="L570" s="85"/>
      <c r="M570" s="88" t="s">
        <v>1876</v>
      </c>
      <c r="N570" s="90" t="s">
        <v>34</v>
      </c>
      <c r="O570" s="85"/>
      <c r="P570" s="82"/>
    </row>
    <row r="571" hidden="1" spans="1:16">
      <c r="A571" s="83">
        <v>570</v>
      </c>
      <c r="B571" s="98">
        <v>46121</v>
      </c>
      <c r="C571" s="88" t="s">
        <v>68</v>
      </c>
      <c r="D571" s="85" t="s">
        <v>26</v>
      </c>
      <c r="E571" s="88" t="s">
        <v>27</v>
      </c>
      <c r="F571" s="88" t="s">
        <v>28</v>
      </c>
      <c r="G571" s="88" t="s">
        <v>1879</v>
      </c>
      <c r="H571" s="88" t="s">
        <v>1880</v>
      </c>
      <c r="I571" s="88"/>
      <c r="J571" s="88" t="s">
        <v>1875</v>
      </c>
      <c r="K571" s="93" t="s">
        <v>32</v>
      </c>
      <c r="L571" s="85"/>
      <c r="M571" s="88" t="s">
        <v>1876</v>
      </c>
      <c r="N571" s="90" t="s">
        <v>34</v>
      </c>
      <c r="O571" s="85"/>
      <c r="P571" s="82"/>
    </row>
    <row r="572" hidden="1" spans="1:16">
      <c r="A572" s="83">
        <v>571</v>
      </c>
      <c r="B572" s="98">
        <v>46121</v>
      </c>
      <c r="C572" s="88" t="s">
        <v>68</v>
      </c>
      <c r="D572" s="85" t="s">
        <v>40</v>
      </c>
      <c r="E572" s="88" t="s">
        <v>41</v>
      </c>
      <c r="F572" s="88" t="s">
        <v>28</v>
      </c>
      <c r="G572" s="88" t="s">
        <v>1881</v>
      </c>
      <c r="H572" s="88" t="s">
        <v>1882</v>
      </c>
      <c r="I572" s="88"/>
      <c r="J572" s="88" t="s">
        <v>1883</v>
      </c>
      <c r="K572" s="93" t="s">
        <v>32</v>
      </c>
      <c r="L572" s="85"/>
      <c r="M572" s="88" t="s">
        <v>1876</v>
      </c>
      <c r="N572" s="90" t="s">
        <v>34</v>
      </c>
      <c r="O572" s="85"/>
      <c r="P572" s="82"/>
    </row>
    <row r="573" hidden="1" spans="1:16">
      <c r="A573" s="83">
        <v>572</v>
      </c>
      <c r="B573" s="98">
        <v>46121</v>
      </c>
      <c r="C573" s="88" t="s">
        <v>68</v>
      </c>
      <c r="D573" s="85" t="s">
        <v>40</v>
      </c>
      <c r="E573" s="88" t="s">
        <v>41</v>
      </c>
      <c r="F573" s="88" t="s">
        <v>28</v>
      </c>
      <c r="G573" s="88" t="s">
        <v>1884</v>
      </c>
      <c r="H573" s="88" t="s">
        <v>1885</v>
      </c>
      <c r="I573" s="88"/>
      <c r="J573" s="88" t="s">
        <v>1883</v>
      </c>
      <c r="K573" s="93" t="s">
        <v>32</v>
      </c>
      <c r="L573" s="85"/>
      <c r="M573" s="88" t="s">
        <v>1876</v>
      </c>
      <c r="N573" s="90" t="s">
        <v>34</v>
      </c>
      <c r="O573" s="85"/>
      <c r="P573" s="82"/>
    </row>
    <row r="574" hidden="1" spans="1:16">
      <c r="A574" s="83">
        <v>573</v>
      </c>
      <c r="B574" s="98">
        <v>46121</v>
      </c>
      <c r="C574" s="88" t="s">
        <v>49</v>
      </c>
      <c r="D574" s="85" t="s">
        <v>26</v>
      </c>
      <c r="E574" s="88" t="s">
        <v>27</v>
      </c>
      <c r="F574" s="88" t="s">
        <v>28</v>
      </c>
      <c r="G574" s="88" t="s">
        <v>1886</v>
      </c>
      <c r="H574" s="85" t="s">
        <v>1887</v>
      </c>
      <c r="I574" s="88"/>
      <c r="J574" s="88" t="s">
        <v>1888</v>
      </c>
      <c r="K574" s="92" t="s">
        <v>49</v>
      </c>
      <c r="L574" s="85"/>
      <c r="M574" s="88" t="s">
        <v>1889</v>
      </c>
      <c r="N574" s="90" t="s">
        <v>34</v>
      </c>
      <c r="O574" s="85"/>
      <c r="P574" s="82"/>
    </row>
    <row r="575" ht="33" hidden="1" spans="1:16">
      <c r="A575" s="83">
        <v>574</v>
      </c>
      <c r="B575" s="98">
        <v>46121</v>
      </c>
      <c r="C575" s="88" t="s">
        <v>25</v>
      </c>
      <c r="D575" s="85" t="s">
        <v>26</v>
      </c>
      <c r="E575" s="88" t="s">
        <v>27</v>
      </c>
      <c r="F575" s="88" t="s">
        <v>28</v>
      </c>
      <c r="G575" s="88" t="s">
        <v>1890</v>
      </c>
      <c r="H575" s="85" t="s">
        <v>1891</v>
      </c>
      <c r="I575" s="88"/>
      <c r="J575" s="88" t="s">
        <v>1384</v>
      </c>
      <c r="K575" s="93" t="s">
        <v>92</v>
      </c>
      <c r="L575" s="85"/>
      <c r="M575" s="88" t="s">
        <v>1892</v>
      </c>
      <c r="N575" s="90" t="s">
        <v>34</v>
      </c>
      <c r="O575" s="85"/>
      <c r="P575" s="82"/>
    </row>
    <row r="576" ht="33" hidden="1" spans="1:16">
      <c r="A576" s="83">
        <v>575</v>
      </c>
      <c r="B576" s="98">
        <v>46121</v>
      </c>
      <c r="C576" s="88" t="s">
        <v>25</v>
      </c>
      <c r="D576" s="85" t="s">
        <v>26</v>
      </c>
      <c r="E576" s="85" t="s">
        <v>27</v>
      </c>
      <c r="F576" s="88" t="s">
        <v>28</v>
      </c>
      <c r="G576" s="85" t="s">
        <v>1893</v>
      </c>
      <c r="H576" s="85" t="s">
        <v>1894</v>
      </c>
      <c r="I576" s="85"/>
      <c r="J576" s="88" t="s">
        <v>1895</v>
      </c>
      <c r="K576" s="93" t="s">
        <v>92</v>
      </c>
      <c r="L576" s="85"/>
      <c r="M576" s="88" t="s">
        <v>1896</v>
      </c>
      <c r="N576" s="90" t="s">
        <v>34</v>
      </c>
      <c r="O576" s="85"/>
      <c r="P576" s="82"/>
    </row>
    <row r="577" ht="33" hidden="1" spans="1:16">
      <c r="A577" s="83">
        <v>576</v>
      </c>
      <c r="B577" s="98">
        <v>46121</v>
      </c>
      <c r="C577" s="88" t="s">
        <v>25</v>
      </c>
      <c r="D577" s="85" t="s">
        <v>26</v>
      </c>
      <c r="E577" s="85" t="s">
        <v>27</v>
      </c>
      <c r="F577" s="88" t="s">
        <v>28</v>
      </c>
      <c r="G577" s="85" t="s">
        <v>1897</v>
      </c>
      <c r="H577" s="85" t="s">
        <v>1898</v>
      </c>
      <c r="I577" s="85"/>
      <c r="J577" s="88" t="s">
        <v>1895</v>
      </c>
      <c r="K577" s="93" t="s">
        <v>92</v>
      </c>
      <c r="L577" s="85"/>
      <c r="M577" s="88" t="s">
        <v>1896</v>
      </c>
      <c r="N577" s="90" t="s">
        <v>34</v>
      </c>
      <c r="O577" s="85"/>
      <c r="P577" s="82"/>
    </row>
    <row r="578" ht="33" hidden="1" spans="1:16">
      <c r="A578" s="83">
        <v>577</v>
      </c>
      <c r="B578" s="98">
        <v>46121</v>
      </c>
      <c r="C578" s="88" t="s">
        <v>25</v>
      </c>
      <c r="D578" s="85" t="s">
        <v>26</v>
      </c>
      <c r="E578" s="85" t="s">
        <v>27</v>
      </c>
      <c r="F578" s="88" t="s">
        <v>28</v>
      </c>
      <c r="G578" s="85" t="s">
        <v>1899</v>
      </c>
      <c r="H578" s="85" t="s">
        <v>1900</v>
      </c>
      <c r="I578" s="85"/>
      <c r="J578" s="88" t="s">
        <v>1895</v>
      </c>
      <c r="K578" s="93" t="s">
        <v>92</v>
      </c>
      <c r="L578" s="85"/>
      <c r="M578" s="88" t="s">
        <v>1896</v>
      </c>
      <c r="N578" s="90" t="s">
        <v>34</v>
      </c>
      <c r="O578" s="85"/>
      <c r="P578" s="82"/>
    </row>
    <row r="579" ht="49.5" hidden="1" spans="1:16">
      <c r="A579" s="83">
        <v>578</v>
      </c>
      <c r="B579" s="98">
        <v>46122</v>
      </c>
      <c r="C579" s="88" t="s">
        <v>25</v>
      </c>
      <c r="D579" s="85" t="s">
        <v>317</v>
      </c>
      <c r="E579" s="88" t="s">
        <v>318</v>
      </c>
      <c r="F579" s="88" t="s">
        <v>28</v>
      </c>
      <c r="G579" s="88" t="s">
        <v>1901</v>
      </c>
      <c r="H579" s="85" t="s">
        <v>1902</v>
      </c>
      <c r="I579" s="85"/>
      <c r="J579" s="88" t="s">
        <v>1903</v>
      </c>
      <c r="K579" s="93" t="s">
        <v>92</v>
      </c>
      <c r="L579" s="85"/>
      <c r="M579" s="88" t="s">
        <v>1904</v>
      </c>
      <c r="N579" s="90" t="s">
        <v>34</v>
      </c>
      <c r="O579" s="85"/>
      <c r="P579" s="82"/>
    </row>
    <row r="580" hidden="1" spans="1:16">
      <c r="A580" s="83">
        <v>579</v>
      </c>
      <c r="B580" s="98">
        <v>46122</v>
      </c>
      <c r="C580" s="88" t="s">
        <v>68</v>
      </c>
      <c r="D580" s="85" t="s">
        <v>26</v>
      </c>
      <c r="E580" s="88" t="s">
        <v>27</v>
      </c>
      <c r="F580" s="88" t="s">
        <v>28</v>
      </c>
      <c r="G580" s="88" t="s">
        <v>1905</v>
      </c>
      <c r="H580" s="85" t="s">
        <v>1906</v>
      </c>
      <c r="I580" s="85"/>
      <c r="J580" s="88" t="s">
        <v>1907</v>
      </c>
      <c r="K580" s="93" t="s">
        <v>32</v>
      </c>
      <c r="L580" s="85"/>
      <c r="M580" s="88" t="s">
        <v>1908</v>
      </c>
      <c r="N580" s="90" t="s">
        <v>34</v>
      </c>
      <c r="O580" s="85"/>
      <c r="P580" s="82"/>
    </row>
    <row r="581" hidden="1" spans="1:16">
      <c r="A581" s="83">
        <v>580</v>
      </c>
      <c r="B581" s="98">
        <v>46122</v>
      </c>
      <c r="C581" s="88" t="s">
        <v>49</v>
      </c>
      <c r="D581" s="85" t="s">
        <v>40</v>
      </c>
      <c r="E581" s="88" t="s">
        <v>148</v>
      </c>
      <c r="F581" s="88" t="s">
        <v>28</v>
      </c>
      <c r="G581" s="88" t="s">
        <v>1909</v>
      </c>
      <c r="H581" s="85" t="s">
        <v>1910</v>
      </c>
      <c r="I581" s="85"/>
      <c r="J581" s="88" t="s">
        <v>1911</v>
      </c>
      <c r="K581" s="92" t="s">
        <v>49</v>
      </c>
      <c r="L581" s="85"/>
      <c r="M581" s="88" t="s">
        <v>1912</v>
      </c>
      <c r="N581" s="90" t="s">
        <v>34</v>
      </c>
      <c r="O581" s="85"/>
      <c r="P581" s="82"/>
    </row>
    <row r="582" ht="33" hidden="1" spans="1:16">
      <c r="A582" s="83">
        <v>581</v>
      </c>
      <c r="B582" s="98">
        <v>46122</v>
      </c>
      <c r="C582" s="88" t="s">
        <v>68</v>
      </c>
      <c r="D582" s="85" t="s">
        <v>317</v>
      </c>
      <c r="E582" s="85" t="s">
        <v>318</v>
      </c>
      <c r="F582" s="88" t="s">
        <v>28</v>
      </c>
      <c r="G582" s="85" t="s">
        <v>1913</v>
      </c>
      <c r="H582" s="85" t="s">
        <v>1914</v>
      </c>
      <c r="I582" s="85"/>
      <c r="J582" s="88" t="s">
        <v>1915</v>
      </c>
      <c r="K582" s="92" t="s">
        <v>97</v>
      </c>
      <c r="L582" s="85"/>
      <c r="M582" s="88" t="s">
        <v>1916</v>
      </c>
      <c r="N582" s="90" t="s">
        <v>34</v>
      </c>
      <c r="O582" s="85"/>
      <c r="P582" s="82"/>
    </row>
    <row r="583" ht="33" hidden="1" spans="1:16">
      <c r="A583" s="83">
        <v>582</v>
      </c>
      <c r="B583" s="98">
        <v>46122</v>
      </c>
      <c r="C583" s="88" t="s">
        <v>68</v>
      </c>
      <c r="D583" s="85" t="s">
        <v>222</v>
      </c>
      <c r="E583" s="85" t="s">
        <v>295</v>
      </c>
      <c r="F583" s="88" t="s">
        <v>28</v>
      </c>
      <c r="G583" s="85" t="s">
        <v>1917</v>
      </c>
      <c r="H583" s="85">
        <v>92161139562</v>
      </c>
      <c r="I583" s="85"/>
      <c r="J583" s="88" t="s">
        <v>1918</v>
      </c>
      <c r="K583" s="92" t="s">
        <v>97</v>
      </c>
      <c r="L583" s="85"/>
      <c r="M583" s="88" t="s">
        <v>1919</v>
      </c>
      <c r="N583" s="90" t="s">
        <v>34</v>
      </c>
      <c r="O583" s="85"/>
      <c r="P583" s="82"/>
    </row>
    <row r="584" hidden="1" spans="1:16">
      <c r="A584" s="83">
        <v>583</v>
      </c>
      <c r="B584" s="98">
        <v>46125</v>
      </c>
      <c r="C584" s="88" t="s">
        <v>49</v>
      </c>
      <c r="D584" s="85" t="s">
        <v>153</v>
      </c>
      <c r="E584" s="85" t="s">
        <v>1920</v>
      </c>
      <c r="F584" s="88" t="s">
        <v>28</v>
      </c>
      <c r="G584" s="85" t="s">
        <v>1921</v>
      </c>
      <c r="H584" s="85" t="s">
        <v>1922</v>
      </c>
      <c r="I584" s="85"/>
      <c r="J584" s="88" t="s">
        <v>1911</v>
      </c>
      <c r="K584" s="92" t="s">
        <v>49</v>
      </c>
      <c r="L584" s="85"/>
      <c r="M584" s="88" t="s">
        <v>1912</v>
      </c>
      <c r="N584" s="90" t="s">
        <v>34</v>
      </c>
      <c r="O584" s="85"/>
      <c r="P584" s="82"/>
    </row>
    <row r="585" hidden="1" spans="1:16">
      <c r="A585" s="83">
        <v>584</v>
      </c>
      <c r="B585" s="98">
        <v>46125</v>
      </c>
      <c r="C585" s="88" t="s">
        <v>49</v>
      </c>
      <c r="D585" s="85" t="s">
        <v>153</v>
      </c>
      <c r="E585" s="85" t="s">
        <v>154</v>
      </c>
      <c r="F585" s="88" t="s">
        <v>28</v>
      </c>
      <c r="G585" s="85" t="s">
        <v>1923</v>
      </c>
      <c r="H585" s="85" t="s">
        <v>1924</v>
      </c>
      <c r="I585" s="85"/>
      <c r="J585" s="88" t="s">
        <v>1925</v>
      </c>
      <c r="K585" s="92" t="s">
        <v>49</v>
      </c>
      <c r="L585" s="85"/>
      <c r="M585" s="88" t="s">
        <v>1912</v>
      </c>
      <c r="N585" s="90" t="s">
        <v>34</v>
      </c>
      <c r="O585" s="85"/>
      <c r="P585" s="82"/>
    </row>
    <row r="586" hidden="1" spans="1:16">
      <c r="A586" s="83">
        <v>585</v>
      </c>
      <c r="B586" s="98">
        <v>46125</v>
      </c>
      <c r="C586" s="88" t="s">
        <v>68</v>
      </c>
      <c r="D586" s="85" t="s">
        <v>40</v>
      </c>
      <c r="E586" s="85" t="s">
        <v>41</v>
      </c>
      <c r="F586" s="88" t="s">
        <v>28</v>
      </c>
      <c r="G586" s="85" t="s">
        <v>1926</v>
      </c>
      <c r="H586" s="85" t="s">
        <v>1927</v>
      </c>
      <c r="I586" s="85"/>
      <c r="J586" s="88" t="s">
        <v>1928</v>
      </c>
      <c r="K586" s="93" t="s">
        <v>32</v>
      </c>
      <c r="L586" s="85"/>
      <c r="M586" s="88" t="s">
        <v>1929</v>
      </c>
      <c r="N586" s="90" t="s">
        <v>34</v>
      </c>
      <c r="O586" s="85"/>
      <c r="P586" s="82"/>
    </row>
    <row r="587" hidden="1" spans="1:16">
      <c r="A587" s="83">
        <v>586</v>
      </c>
      <c r="B587" s="98">
        <v>46125</v>
      </c>
      <c r="C587" s="88" t="s">
        <v>68</v>
      </c>
      <c r="D587" s="85" t="s">
        <v>40</v>
      </c>
      <c r="E587" s="85" t="s">
        <v>41</v>
      </c>
      <c r="F587" s="88" t="s">
        <v>28</v>
      </c>
      <c r="G587" s="85" t="s">
        <v>1930</v>
      </c>
      <c r="H587" s="85" t="s">
        <v>1931</v>
      </c>
      <c r="I587" s="85"/>
      <c r="J587" s="88" t="s">
        <v>1928</v>
      </c>
      <c r="K587" s="93" t="s">
        <v>32</v>
      </c>
      <c r="L587" s="85"/>
      <c r="M587" s="88" t="s">
        <v>1929</v>
      </c>
      <c r="N587" s="90" t="s">
        <v>34</v>
      </c>
      <c r="O587" s="85"/>
      <c r="P587" s="82"/>
    </row>
    <row r="588" ht="33" hidden="1" spans="1:16">
      <c r="A588" s="83">
        <v>587</v>
      </c>
      <c r="B588" s="98">
        <v>46125</v>
      </c>
      <c r="C588" s="88" t="s">
        <v>49</v>
      </c>
      <c r="D588" s="85" t="s">
        <v>40</v>
      </c>
      <c r="E588" s="85" t="s">
        <v>41</v>
      </c>
      <c r="F588" s="88" t="s">
        <v>28</v>
      </c>
      <c r="G588" s="85" t="s">
        <v>1932</v>
      </c>
      <c r="H588" s="85">
        <v>268570262</v>
      </c>
      <c r="I588" s="85"/>
      <c r="J588" s="88" t="s">
        <v>1925</v>
      </c>
      <c r="K588" s="92" t="s">
        <v>49</v>
      </c>
      <c r="L588" s="85"/>
      <c r="M588" s="88" t="s">
        <v>1933</v>
      </c>
      <c r="N588" s="90" t="s">
        <v>34</v>
      </c>
      <c r="O588" s="85"/>
      <c r="P588" s="82"/>
    </row>
    <row r="589" hidden="1" spans="1:16">
      <c r="A589" s="83">
        <v>588</v>
      </c>
      <c r="B589" s="98">
        <v>46125</v>
      </c>
      <c r="C589" s="88" t="s">
        <v>68</v>
      </c>
      <c r="D589" s="85" t="s">
        <v>26</v>
      </c>
      <c r="E589" s="85" t="s">
        <v>27</v>
      </c>
      <c r="F589" s="88" t="s">
        <v>28</v>
      </c>
      <c r="G589" s="85" t="s">
        <v>1934</v>
      </c>
      <c r="H589" s="85" t="s">
        <v>1935</v>
      </c>
      <c r="I589" s="85"/>
      <c r="J589" s="88" t="s">
        <v>1936</v>
      </c>
      <c r="K589" s="93" t="s">
        <v>32</v>
      </c>
      <c r="L589" s="85"/>
      <c r="M589" s="88" t="s">
        <v>1912</v>
      </c>
      <c r="N589" s="90" t="s">
        <v>34</v>
      </c>
      <c r="O589" s="85"/>
      <c r="P589" s="82"/>
    </row>
    <row r="590" hidden="1" spans="1:16">
      <c r="A590" s="83">
        <v>589</v>
      </c>
      <c r="B590" s="98">
        <v>46125</v>
      </c>
      <c r="C590" s="88" t="s">
        <v>68</v>
      </c>
      <c r="D590" s="85" t="s">
        <v>26</v>
      </c>
      <c r="E590" s="85" t="s">
        <v>27</v>
      </c>
      <c r="F590" s="88" t="s">
        <v>28</v>
      </c>
      <c r="G590" s="85" t="s">
        <v>1937</v>
      </c>
      <c r="H590" s="85" t="s">
        <v>1938</v>
      </c>
      <c r="I590" s="85"/>
      <c r="J590" s="88" t="s">
        <v>1928</v>
      </c>
      <c r="K590" s="93" t="s">
        <v>32</v>
      </c>
      <c r="L590" s="85"/>
      <c r="M590" s="88" t="s">
        <v>1912</v>
      </c>
      <c r="N590" s="90" t="s">
        <v>34</v>
      </c>
      <c r="O590" s="85"/>
      <c r="P590" s="82"/>
    </row>
    <row r="591" hidden="1" spans="1:16">
      <c r="A591" s="83">
        <v>590</v>
      </c>
      <c r="B591" s="98">
        <v>46125</v>
      </c>
      <c r="C591" s="88" t="s">
        <v>68</v>
      </c>
      <c r="D591" s="85" t="s">
        <v>26</v>
      </c>
      <c r="E591" s="85" t="s">
        <v>27</v>
      </c>
      <c r="F591" s="88" t="s">
        <v>28</v>
      </c>
      <c r="G591" s="85" t="s">
        <v>1939</v>
      </c>
      <c r="H591" s="85" t="s">
        <v>1940</v>
      </c>
      <c r="I591" s="85"/>
      <c r="J591" s="88" t="s">
        <v>1941</v>
      </c>
      <c r="K591" s="93" t="s">
        <v>32</v>
      </c>
      <c r="L591" s="85"/>
      <c r="M591" s="88" t="s">
        <v>1912</v>
      </c>
      <c r="N591" s="90" t="s">
        <v>34</v>
      </c>
      <c r="O591" s="85"/>
      <c r="P591" s="82"/>
    </row>
    <row r="592" hidden="1" spans="1:16">
      <c r="A592" s="83">
        <v>591</v>
      </c>
      <c r="B592" s="98">
        <v>46126</v>
      </c>
      <c r="C592" s="88" t="s">
        <v>68</v>
      </c>
      <c r="D592" s="85" t="s">
        <v>107</v>
      </c>
      <c r="E592" s="85" t="s">
        <v>630</v>
      </c>
      <c r="F592" s="88" t="s">
        <v>28</v>
      </c>
      <c r="G592" s="85" t="s">
        <v>1942</v>
      </c>
      <c r="H592" s="85" t="s">
        <v>1943</v>
      </c>
      <c r="I592" s="85"/>
      <c r="J592" s="88" t="s">
        <v>1944</v>
      </c>
      <c r="K592" s="93" t="s">
        <v>32</v>
      </c>
      <c r="L592" s="85"/>
      <c r="M592" s="88" t="s">
        <v>1945</v>
      </c>
      <c r="N592" s="90" t="s">
        <v>34</v>
      </c>
      <c r="O592" s="85"/>
      <c r="P592" s="82"/>
    </row>
    <row r="593" ht="33" hidden="1" spans="1:16">
      <c r="A593" s="83">
        <v>592</v>
      </c>
      <c r="B593" s="98">
        <v>46126</v>
      </c>
      <c r="C593" s="88" t="s">
        <v>68</v>
      </c>
      <c r="D593" s="85" t="s">
        <v>26</v>
      </c>
      <c r="E593" s="85" t="s">
        <v>35</v>
      </c>
      <c r="F593" s="88" t="s">
        <v>28</v>
      </c>
      <c r="G593" s="85" t="s">
        <v>1946</v>
      </c>
      <c r="H593" s="88" t="s">
        <v>1947</v>
      </c>
      <c r="I593" s="85"/>
      <c r="J593" s="88" t="s">
        <v>1948</v>
      </c>
      <c r="K593" s="92" t="s">
        <v>355</v>
      </c>
      <c r="L593" s="85"/>
      <c r="M593" s="88" t="s">
        <v>1949</v>
      </c>
      <c r="N593" s="90" t="s">
        <v>34</v>
      </c>
      <c r="O593" s="85"/>
      <c r="P593" s="82"/>
    </row>
    <row r="594" ht="66" hidden="1" spans="1:16">
      <c r="A594" s="83">
        <v>593</v>
      </c>
      <c r="B594" s="98">
        <v>46126</v>
      </c>
      <c r="C594" s="88" t="s">
        <v>68</v>
      </c>
      <c r="D594" s="85" t="s">
        <v>222</v>
      </c>
      <c r="E594" s="85" t="s">
        <v>295</v>
      </c>
      <c r="F594" s="88" t="s">
        <v>28</v>
      </c>
      <c r="G594" s="85" t="s">
        <v>1950</v>
      </c>
      <c r="H594" s="88">
        <v>11204507226</v>
      </c>
      <c r="I594" s="85"/>
      <c r="J594" s="88" t="s">
        <v>1951</v>
      </c>
      <c r="K594" s="93" t="s">
        <v>97</v>
      </c>
      <c r="L594" s="85"/>
      <c r="M594" s="88" t="s">
        <v>1952</v>
      </c>
      <c r="N594" s="90" t="s">
        <v>34</v>
      </c>
      <c r="O594" s="85"/>
      <c r="P594" s="82"/>
    </row>
    <row r="595" hidden="1" spans="1:16">
      <c r="A595" s="83">
        <v>594</v>
      </c>
      <c r="B595" s="98">
        <v>46126</v>
      </c>
      <c r="C595" s="88" t="s">
        <v>68</v>
      </c>
      <c r="D595" s="85" t="s">
        <v>26</v>
      </c>
      <c r="E595" s="85" t="s">
        <v>27</v>
      </c>
      <c r="F595" s="88" t="s">
        <v>28</v>
      </c>
      <c r="G595" s="85" t="s">
        <v>1953</v>
      </c>
      <c r="H595" s="88" t="s">
        <v>1954</v>
      </c>
      <c r="I595" s="85"/>
      <c r="J595" s="88" t="s">
        <v>1955</v>
      </c>
      <c r="K595" s="93" t="s">
        <v>32</v>
      </c>
      <c r="L595" s="85"/>
      <c r="M595" s="88" t="s">
        <v>1956</v>
      </c>
      <c r="N595" s="90" t="s">
        <v>34</v>
      </c>
      <c r="O595" s="85"/>
      <c r="P595" s="82"/>
    </row>
    <row r="596" ht="33" hidden="1" spans="1:16">
      <c r="A596" s="83">
        <v>595</v>
      </c>
      <c r="B596" s="98">
        <v>46126</v>
      </c>
      <c r="C596" s="88" t="s">
        <v>25</v>
      </c>
      <c r="D596" s="85" t="s">
        <v>40</v>
      </c>
      <c r="E596" s="85" t="s">
        <v>41</v>
      </c>
      <c r="F596" s="88" t="s">
        <v>28</v>
      </c>
      <c r="G596" s="85" t="s">
        <v>1957</v>
      </c>
      <c r="H596" s="88" t="s">
        <v>1958</v>
      </c>
      <c r="I596" s="85"/>
      <c r="J596" s="88" t="s">
        <v>1959</v>
      </c>
      <c r="K596" s="92" t="s">
        <v>24</v>
      </c>
      <c r="L596" s="85"/>
      <c r="M596" s="88" t="s">
        <v>1960</v>
      </c>
      <c r="N596" s="90" t="s">
        <v>34</v>
      </c>
      <c r="O596" s="85"/>
      <c r="P596" s="82"/>
    </row>
    <row r="597" hidden="1" spans="1:16">
      <c r="A597" s="83">
        <v>596</v>
      </c>
      <c r="B597" s="98">
        <v>46126</v>
      </c>
      <c r="C597" s="88" t="s">
        <v>49</v>
      </c>
      <c r="D597" s="85" t="s">
        <v>26</v>
      </c>
      <c r="E597" s="85" t="s">
        <v>27</v>
      </c>
      <c r="F597" s="88" t="s">
        <v>28</v>
      </c>
      <c r="G597" s="85" t="s">
        <v>1961</v>
      </c>
      <c r="H597" s="88">
        <v>277983463</v>
      </c>
      <c r="I597" s="85"/>
      <c r="J597" s="88" t="s">
        <v>1962</v>
      </c>
      <c r="K597" s="92" t="s">
        <v>49</v>
      </c>
      <c r="L597" s="85"/>
      <c r="M597" s="88" t="s">
        <v>1963</v>
      </c>
      <c r="N597" s="90" t="s">
        <v>34</v>
      </c>
      <c r="O597" s="85"/>
      <c r="P597" s="82"/>
    </row>
    <row r="598" hidden="1" spans="1:16">
      <c r="A598" s="83">
        <v>597</v>
      </c>
      <c r="B598" s="98">
        <v>46126</v>
      </c>
      <c r="C598" s="88" t="s">
        <v>68</v>
      </c>
      <c r="D598" s="85" t="s">
        <v>26</v>
      </c>
      <c r="E598" s="85" t="s">
        <v>27</v>
      </c>
      <c r="F598" s="88" t="s">
        <v>28</v>
      </c>
      <c r="G598" s="85" t="s">
        <v>1964</v>
      </c>
      <c r="H598" s="88" t="s">
        <v>1965</v>
      </c>
      <c r="I598" s="85"/>
      <c r="J598" s="88" t="s">
        <v>1955</v>
      </c>
      <c r="K598" s="93" t="s">
        <v>32</v>
      </c>
      <c r="L598" s="85"/>
      <c r="M598" s="88" t="s">
        <v>1956</v>
      </c>
      <c r="N598" s="90" t="s">
        <v>34</v>
      </c>
      <c r="O598" s="85"/>
      <c r="P598" s="82"/>
    </row>
    <row r="599" hidden="1" spans="1:16">
      <c r="A599" s="83">
        <v>598</v>
      </c>
      <c r="B599" s="98">
        <v>46126</v>
      </c>
      <c r="C599" s="88" t="s">
        <v>68</v>
      </c>
      <c r="D599" s="85" t="s">
        <v>153</v>
      </c>
      <c r="E599" s="97" t="s">
        <v>154</v>
      </c>
      <c r="F599" s="88" t="s">
        <v>28</v>
      </c>
      <c r="G599" s="85" t="s">
        <v>1966</v>
      </c>
      <c r="H599" s="88" t="s">
        <v>1967</v>
      </c>
      <c r="I599" s="85"/>
      <c r="J599" s="88" t="s">
        <v>1968</v>
      </c>
      <c r="K599" s="93" t="s">
        <v>32</v>
      </c>
      <c r="L599" s="85"/>
      <c r="M599" s="88" t="s">
        <v>1956</v>
      </c>
      <c r="N599" s="90" t="s">
        <v>34</v>
      </c>
      <c r="O599" s="85"/>
      <c r="P599" s="82"/>
    </row>
    <row r="600" ht="33" hidden="1" spans="1:16">
      <c r="A600" s="83">
        <v>599</v>
      </c>
      <c r="B600" s="98">
        <v>46126</v>
      </c>
      <c r="C600" s="88" t="s">
        <v>25</v>
      </c>
      <c r="D600" s="85" t="s">
        <v>317</v>
      </c>
      <c r="E600" s="85" t="s">
        <v>318</v>
      </c>
      <c r="F600" s="88" t="s">
        <v>28</v>
      </c>
      <c r="G600" s="85" t="s">
        <v>1969</v>
      </c>
      <c r="H600" s="88" t="s">
        <v>1970</v>
      </c>
      <c r="I600" s="85"/>
      <c r="J600" s="88" t="s">
        <v>1971</v>
      </c>
      <c r="K600" s="92" t="s">
        <v>24</v>
      </c>
      <c r="L600" s="85"/>
      <c r="M600" s="88" t="s">
        <v>1972</v>
      </c>
      <c r="N600" s="90" t="s">
        <v>34</v>
      </c>
      <c r="O600" s="85"/>
      <c r="P600" s="82"/>
    </row>
    <row r="601" hidden="1" spans="1:16">
      <c r="A601" s="83">
        <v>600</v>
      </c>
      <c r="B601" s="98">
        <v>46126</v>
      </c>
      <c r="C601" s="88" t="s">
        <v>49</v>
      </c>
      <c r="D601" s="85" t="s">
        <v>153</v>
      </c>
      <c r="E601" s="85" t="s">
        <v>411</v>
      </c>
      <c r="F601" s="88" t="s">
        <v>28</v>
      </c>
      <c r="G601" s="85" t="s">
        <v>1973</v>
      </c>
      <c r="H601" s="88" t="s">
        <v>1974</v>
      </c>
      <c r="I601" s="85"/>
      <c r="J601" s="88" t="s">
        <v>1975</v>
      </c>
      <c r="K601" s="92" t="s">
        <v>49</v>
      </c>
      <c r="L601" s="85"/>
      <c r="M601" s="88" t="s">
        <v>1976</v>
      </c>
      <c r="N601" s="90" t="s">
        <v>34</v>
      </c>
      <c r="O601" s="85"/>
      <c r="P601" s="82"/>
    </row>
    <row r="602" ht="33" hidden="1" spans="1:16">
      <c r="A602" s="83">
        <v>601</v>
      </c>
      <c r="B602" s="98">
        <v>46126</v>
      </c>
      <c r="C602" s="88" t="s">
        <v>25</v>
      </c>
      <c r="D602" s="85" t="s">
        <v>26</v>
      </c>
      <c r="E602" s="85" t="s">
        <v>35</v>
      </c>
      <c r="F602" s="88" t="s">
        <v>28</v>
      </c>
      <c r="G602" s="85" t="s">
        <v>1977</v>
      </c>
      <c r="H602" s="88" t="s">
        <v>1978</v>
      </c>
      <c r="I602" s="85"/>
      <c r="J602" s="88" t="s">
        <v>1979</v>
      </c>
      <c r="K602" s="92" t="s">
        <v>24</v>
      </c>
      <c r="L602" s="85"/>
      <c r="M602" s="88" t="s">
        <v>1980</v>
      </c>
      <c r="N602" s="90" t="s">
        <v>34</v>
      </c>
      <c r="O602" s="85"/>
      <c r="P602" s="82"/>
    </row>
    <row r="603" hidden="1" spans="1:16">
      <c r="A603" s="83">
        <v>602</v>
      </c>
      <c r="B603" s="98">
        <v>46126</v>
      </c>
      <c r="C603" s="88" t="s">
        <v>68</v>
      </c>
      <c r="D603" s="85" t="s">
        <v>40</v>
      </c>
      <c r="E603" s="85" t="s">
        <v>41</v>
      </c>
      <c r="F603" s="88" t="s">
        <v>28</v>
      </c>
      <c r="G603" s="85" t="s">
        <v>1981</v>
      </c>
      <c r="H603" s="88">
        <v>802026698</v>
      </c>
      <c r="I603" s="85"/>
      <c r="J603" s="88" t="s">
        <v>1982</v>
      </c>
      <c r="K603" s="92" t="s">
        <v>24</v>
      </c>
      <c r="L603" s="85"/>
      <c r="M603" s="88" t="s">
        <v>1983</v>
      </c>
      <c r="N603" s="90" t="s">
        <v>34</v>
      </c>
      <c r="O603" s="85"/>
      <c r="P603" s="82"/>
    </row>
    <row r="604" hidden="1" spans="1:16">
      <c r="A604" s="83">
        <v>603</v>
      </c>
      <c r="B604" s="98">
        <v>46126</v>
      </c>
      <c r="C604" s="88" t="s">
        <v>49</v>
      </c>
      <c r="D604" s="85" t="s">
        <v>26</v>
      </c>
      <c r="E604" s="85" t="s">
        <v>35</v>
      </c>
      <c r="F604" s="88" t="s">
        <v>28</v>
      </c>
      <c r="G604" s="85" t="s">
        <v>1984</v>
      </c>
      <c r="H604" s="88" t="s">
        <v>1985</v>
      </c>
      <c r="I604" s="85"/>
      <c r="J604" s="88" t="s">
        <v>1975</v>
      </c>
      <c r="K604" s="92" t="s">
        <v>49</v>
      </c>
      <c r="L604" s="85"/>
      <c r="M604" s="88" t="s">
        <v>1976</v>
      </c>
      <c r="N604" s="90" t="s">
        <v>34</v>
      </c>
      <c r="O604" s="85"/>
      <c r="P604" s="82"/>
    </row>
    <row r="605" hidden="1" spans="1:16">
      <c r="A605" s="83">
        <v>604</v>
      </c>
      <c r="B605" s="98">
        <v>46126</v>
      </c>
      <c r="C605" s="88" t="s">
        <v>49</v>
      </c>
      <c r="D605" s="85" t="s">
        <v>40</v>
      </c>
      <c r="E605" s="85" t="s">
        <v>41</v>
      </c>
      <c r="F605" s="88" t="s">
        <v>28</v>
      </c>
      <c r="G605" s="85" t="s">
        <v>1986</v>
      </c>
      <c r="H605" s="88" t="s">
        <v>1987</v>
      </c>
      <c r="I605" s="85"/>
      <c r="J605" s="88" t="s">
        <v>1975</v>
      </c>
      <c r="K605" s="92" t="s">
        <v>49</v>
      </c>
      <c r="L605" s="85"/>
      <c r="M605" s="88" t="s">
        <v>1976</v>
      </c>
      <c r="N605" s="90" t="s">
        <v>34</v>
      </c>
      <c r="O605" s="85"/>
      <c r="P605" s="82"/>
    </row>
    <row r="606" ht="49.5" hidden="1" spans="1:16">
      <c r="A606" s="83">
        <v>605</v>
      </c>
      <c r="B606" s="98">
        <v>46126</v>
      </c>
      <c r="C606" s="88" t="s">
        <v>49</v>
      </c>
      <c r="D606" s="85" t="s">
        <v>26</v>
      </c>
      <c r="E606" s="85" t="s">
        <v>35</v>
      </c>
      <c r="F606" s="88" t="s">
        <v>28</v>
      </c>
      <c r="G606" s="85" t="s">
        <v>1988</v>
      </c>
      <c r="H606" s="88" t="s">
        <v>1989</v>
      </c>
      <c r="I606" s="85"/>
      <c r="J606" s="88" t="s">
        <v>1975</v>
      </c>
      <c r="K606" s="92" t="s">
        <v>49</v>
      </c>
      <c r="L606" s="85"/>
      <c r="M606" s="88" t="s">
        <v>1990</v>
      </c>
      <c r="N606" s="90" t="s">
        <v>34</v>
      </c>
      <c r="O606" s="85"/>
      <c r="P606" s="82"/>
    </row>
    <row r="607" ht="368" customHeight="1" spans="1:16">
      <c r="A607" s="83">
        <v>606</v>
      </c>
      <c r="B607" s="98">
        <v>46127</v>
      </c>
      <c r="C607" s="88" t="s">
        <v>49</v>
      </c>
      <c r="D607" s="85" t="s">
        <v>164</v>
      </c>
      <c r="E607" s="85" t="s">
        <v>416</v>
      </c>
      <c r="F607" s="88" t="s">
        <v>28</v>
      </c>
      <c r="G607" s="88" t="s">
        <v>1991</v>
      </c>
      <c r="H607" s="88" t="s">
        <v>1992</v>
      </c>
      <c r="I607" s="88"/>
      <c r="J607" s="88" t="s">
        <v>1993</v>
      </c>
      <c r="K607" s="93" t="s">
        <v>49</v>
      </c>
      <c r="L607" s="85"/>
      <c r="M607" s="88" t="s">
        <v>1994</v>
      </c>
      <c r="N607" s="90" t="s">
        <v>113</v>
      </c>
      <c r="O607" s="85"/>
      <c r="P607" s="82"/>
    </row>
    <row r="608" hidden="1" spans="1:16">
      <c r="A608" s="83">
        <v>607</v>
      </c>
      <c r="B608" s="98">
        <v>46127</v>
      </c>
      <c r="C608" s="88" t="s">
        <v>68</v>
      </c>
      <c r="D608" s="85" t="s">
        <v>40</v>
      </c>
      <c r="E608" s="85" t="s">
        <v>41</v>
      </c>
      <c r="F608" s="88" t="s">
        <v>28</v>
      </c>
      <c r="G608" s="88" t="s">
        <v>1995</v>
      </c>
      <c r="H608" s="88" t="s">
        <v>1996</v>
      </c>
      <c r="I608" s="88"/>
      <c r="J608" s="88" t="s">
        <v>1997</v>
      </c>
      <c r="K608" s="92" t="s">
        <v>24</v>
      </c>
      <c r="L608" s="85"/>
      <c r="M608" s="88" t="s">
        <v>1983</v>
      </c>
      <c r="N608" s="90" t="s">
        <v>34</v>
      </c>
      <c r="O608" s="85"/>
      <c r="P608" s="82"/>
    </row>
    <row r="609" hidden="1" spans="1:16">
      <c r="A609" s="83">
        <v>608</v>
      </c>
      <c r="B609" s="98">
        <v>46127</v>
      </c>
      <c r="C609" s="88" t="s">
        <v>68</v>
      </c>
      <c r="D609" s="85" t="s">
        <v>40</v>
      </c>
      <c r="E609" s="85" t="s">
        <v>41</v>
      </c>
      <c r="F609" s="88" t="s">
        <v>28</v>
      </c>
      <c r="G609" s="88" t="s">
        <v>1998</v>
      </c>
      <c r="H609" s="88" t="s">
        <v>1999</v>
      </c>
      <c r="I609" s="88"/>
      <c r="J609" s="88" t="s">
        <v>1997</v>
      </c>
      <c r="K609" s="92" t="s">
        <v>24</v>
      </c>
      <c r="L609" s="85"/>
      <c r="M609" s="88" t="s">
        <v>1983</v>
      </c>
      <c r="N609" s="90" t="s">
        <v>34</v>
      </c>
      <c r="O609" s="85"/>
      <c r="P609" s="82"/>
    </row>
    <row r="610" ht="33" hidden="1" spans="1:16">
      <c r="A610" s="83">
        <v>609</v>
      </c>
      <c r="B610" s="98">
        <v>46127</v>
      </c>
      <c r="C610" s="85" t="s">
        <v>25</v>
      </c>
      <c r="D610" s="85" t="s">
        <v>317</v>
      </c>
      <c r="E610" s="85" t="s">
        <v>318</v>
      </c>
      <c r="F610" s="88" t="s">
        <v>28</v>
      </c>
      <c r="G610" s="88" t="s">
        <v>2000</v>
      </c>
      <c r="H610" s="88" t="s">
        <v>2001</v>
      </c>
      <c r="I610" s="88"/>
      <c r="J610" s="88" t="s">
        <v>2002</v>
      </c>
      <c r="K610" s="93" t="s">
        <v>92</v>
      </c>
      <c r="L610" s="85"/>
      <c r="M610" s="88" t="s">
        <v>2003</v>
      </c>
      <c r="N610" s="90" t="s">
        <v>34</v>
      </c>
      <c r="O610" s="85"/>
      <c r="P610" s="82"/>
    </row>
    <row r="611" ht="33" hidden="1" spans="1:16">
      <c r="A611" s="83">
        <v>610</v>
      </c>
      <c r="B611" s="98">
        <v>46127</v>
      </c>
      <c r="C611" s="85" t="s">
        <v>68</v>
      </c>
      <c r="D611" s="85" t="s">
        <v>26</v>
      </c>
      <c r="E611" s="85" t="s">
        <v>27</v>
      </c>
      <c r="F611" s="88" t="s">
        <v>28</v>
      </c>
      <c r="G611" s="88" t="s">
        <v>2004</v>
      </c>
      <c r="H611" s="88" t="s">
        <v>2005</v>
      </c>
      <c r="I611" s="88"/>
      <c r="J611" s="88" t="s">
        <v>2006</v>
      </c>
      <c r="K611" s="93" t="s">
        <v>32</v>
      </c>
      <c r="L611" s="85"/>
      <c r="M611" s="88" t="s">
        <v>2007</v>
      </c>
      <c r="N611" s="90" t="s">
        <v>34</v>
      </c>
      <c r="O611" s="85"/>
      <c r="P611" s="82"/>
    </row>
    <row r="612" hidden="1" spans="1:16">
      <c r="A612" s="83">
        <v>611</v>
      </c>
      <c r="B612" s="98">
        <v>46127</v>
      </c>
      <c r="C612" s="85" t="s">
        <v>68</v>
      </c>
      <c r="D612" s="85" t="s">
        <v>26</v>
      </c>
      <c r="E612" s="85" t="s">
        <v>27</v>
      </c>
      <c r="F612" s="88" t="s">
        <v>28</v>
      </c>
      <c r="G612" s="88" t="s">
        <v>2008</v>
      </c>
      <c r="H612" s="88" t="s">
        <v>2009</v>
      </c>
      <c r="I612" s="88"/>
      <c r="J612" s="88" t="s">
        <v>2006</v>
      </c>
      <c r="K612" s="93" t="s">
        <v>32</v>
      </c>
      <c r="L612" s="85"/>
      <c r="M612" s="88" t="s">
        <v>2010</v>
      </c>
      <c r="N612" s="90" t="s">
        <v>34</v>
      </c>
      <c r="O612" s="85"/>
      <c r="P612" s="82"/>
    </row>
    <row r="613" hidden="1" spans="1:16">
      <c r="A613" s="83">
        <v>612</v>
      </c>
      <c r="B613" s="98">
        <v>46128</v>
      </c>
      <c r="C613" s="88" t="s">
        <v>49</v>
      </c>
      <c r="D613" s="85" t="s">
        <v>26</v>
      </c>
      <c r="E613" s="85" t="s">
        <v>27</v>
      </c>
      <c r="F613" s="88" t="s">
        <v>28</v>
      </c>
      <c r="G613" s="85" t="s">
        <v>2011</v>
      </c>
      <c r="H613" s="88" t="s">
        <v>2012</v>
      </c>
      <c r="I613" s="85"/>
      <c r="J613" s="88" t="s">
        <v>2013</v>
      </c>
      <c r="K613" s="93" t="s">
        <v>49</v>
      </c>
      <c r="L613" s="85"/>
      <c r="M613" s="88" t="s">
        <v>2014</v>
      </c>
      <c r="N613" s="90" t="s">
        <v>34</v>
      </c>
      <c r="O613" s="85"/>
      <c r="P613" s="82"/>
    </row>
    <row r="614" hidden="1" spans="1:16">
      <c r="A614" s="83">
        <v>613</v>
      </c>
      <c r="B614" s="98">
        <v>46128</v>
      </c>
      <c r="C614" s="85" t="s">
        <v>68</v>
      </c>
      <c r="D614" s="85" t="s">
        <v>26</v>
      </c>
      <c r="E614" s="85" t="s">
        <v>27</v>
      </c>
      <c r="F614" s="88" t="s">
        <v>28</v>
      </c>
      <c r="G614" s="85" t="s">
        <v>2015</v>
      </c>
      <c r="H614" s="88" t="s">
        <v>2016</v>
      </c>
      <c r="I614" s="85"/>
      <c r="J614" s="88" t="s">
        <v>2017</v>
      </c>
      <c r="K614" s="93" t="s">
        <v>32</v>
      </c>
      <c r="L614" s="85"/>
      <c r="M614" s="88" t="s">
        <v>2018</v>
      </c>
      <c r="N614" s="90" t="s">
        <v>34</v>
      </c>
      <c r="O614" s="85"/>
      <c r="P614" s="82"/>
    </row>
    <row r="615" hidden="1" spans="1:16">
      <c r="A615" s="83">
        <v>614</v>
      </c>
      <c r="B615" s="98">
        <v>46128</v>
      </c>
      <c r="C615" s="85" t="s">
        <v>68</v>
      </c>
      <c r="D615" s="85" t="s">
        <v>26</v>
      </c>
      <c r="E615" s="85" t="s">
        <v>27</v>
      </c>
      <c r="F615" s="88" t="s">
        <v>28</v>
      </c>
      <c r="G615" s="85" t="s">
        <v>2019</v>
      </c>
      <c r="H615" s="88" t="s">
        <v>2020</v>
      </c>
      <c r="I615" s="85"/>
      <c r="J615" s="88" t="s">
        <v>2017</v>
      </c>
      <c r="K615" s="93" t="s">
        <v>32</v>
      </c>
      <c r="L615" s="85"/>
      <c r="M615" s="88" t="s">
        <v>2018</v>
      </c>
      <c r="N615" s="90" t="s">
        <v>34</v>
      </c>
      <c r="O615" s="85"/>
      <c r="P615" s="82"/>
    </row>
    <row r="616" hidden="1" spans="1:16">
      <c r="A616" s="83">
        <v>615</v>
      </c>
      <c r="B616" s="98">
        <v>46128</v>
      </c>
      <c r="C616" s="85" t="s">
        <v>68</v>
      </c>
      <c r="D616" s="85" t="s">
        <v>26</v>
      </c>
      <c r="E616" s="85" t="s">
        <v>35</v>
      </c>
      <c r="F616" s="88" t="s">
        <v>28</v>
      </c>
      <c r="G616" s="85" t="s">
        <v>2021</v>
      </c>
      <c r="H616" s="88" t="s">
        <v>2022</v>
      </c>
      <c r="I616" s="85"/>
      <c r="J616" s="99" t="s">
        <v>2023</v>
      </c>
      <c r="K616" s="93" t="s">
        <v>32</v>
      </c>
      <c r="L616" s="85"/>
      <c r="M616" s="88" t="s">
        <v>2018</v>
      </c>
      <c r="N616" s="90" t="s">
        <v>34</v>
      </c>
      <c r="O616" s="85"/>
      <c r="P616" s="82"/>
    </row>
    <row r="617" ht="33" hidden="1" spans="1:16">
      <c r="A617" s="83">
        <v>616</v>
      </c>
      <c r="B617" s="98">
        <v>46128</v>
      </c>
      <c r="C617" s="85" t="s">
        <v>25</v>
      </c>
      <c r="D617" s="85" t="s">
        <v>40</v>
      </c>
      <c r="E617" s="85" t="s">
        <v>41</v>
      </c>
      <c r="F617" s="88" t="s">
        <v>28</v>
      </c>
      <c r="G617" s="88" t="s">
        <v>2024</v>
      </c>
      <c r="H617" s="88" t="s">
        <v>2025</v>
      </c>
      <c r="I617" s="85"/>
      <c r="J617" s="88" t="s">
        <v>2026</v>
      </c>
      <c r="K617" s="93" t="s">
        <v>92</v>
      </c>
      <c r="L617" s="85"/>
      <c r="M617" s="88" t="s">
        <v>2027</v>
      </c>
      <c r="N617" s="90" t="s">
        <v>34</v>
      </c>
      <c r="O617" s="85"/>
      <c r="P617" s="82"/>
    </row>
    <row r="618" hidden="1" spans="1:16">
      <c r="A618" s="83">
        <v>617</v>
      </c>
      <c r="B618" s="98">
        <v>46128</v>
      </c>
      <c r="C618" s="88" t="s">
        <v>68</v>
      </c>
      <c r="D618" s="85" t="s">
        <v>40</v>
      </c>
      <c r="E618" s="85" t="s">
        <v>41</v>
      </c>
      <c r="F618" s="88" t="s">
        <v>28</v>
      </c>
      <c r="G618" s="88" t="s">
        <v>2028</v>
      </c>
      <c r="H618" s="88" t="s">
        <v>2029</v>
      </c>
      <c r="I618" s="85"/>
      <c r="J618" s="88" t="s">
        <v>2030</v>
      </c>
      <c r="K618" s="93" t="s">
        <v>49</v>
      </c>
      <c r="L618" s="85"/>
      <c r="M618" s="88" t="s">
        <v>2031</v>
      </c>
      <c r="N618" s="90" t="s">
        <v>34</v>
      </c>
      <c r="O618" s="85"/>
      <c r="P618" s="82"/>
    </row>
    <row r="619" hidden="1" spans="1:16">
      <c r="A619" s="83">
        <v>618</v>
      </c>
      <c r="B619" s="98">
        <v>46128</v>
      </c>
      <c r="C619" s="88" t="s">
        <v>68</v>
      </c>
      <c r="D619" s="85" t="s">
        <v>40</v>
      </c>
      <c r="E619" s="85" t="s">
        <v>41</v>
      </c>
      <c r="F619" s="88" t="s">
        <v>28</v>
      </c>
      <c r="G619" s="85" t="s">
        <v>2032</v>
      </c>
      <c r="H619" s="88" t="s">
        <v>2033</v>
      </c>
      <c r="I619" s="85"/>
      <c r="J619" s="88" t="s">
        <v>2030</v>
      </c>
      <c r="K619" s="93" t="s">
        <v>49</v>
      </c>
      <c r="L619" s="85"/>
      <c r="M619" s="88" t="s">
        <v>2031</v>
      </c>
      <c r="N619" s="90" t="s">
        <v>34</v>
      </c>
      <c r="O619" s="85"/>
      <c r="P619" s="82"/>
    </row>
    <row r="620" hidden="1" spans="1:16">
      <c r="A620" s="83">
        <v>619</v>
      </c>
      <c r="B620" s="98">
        <v>46128</v>
      </c>
      <c r="C620" s="88" t="s">
        <v>68</v>
      </c>
      <c r="D620" s="85" t="s">
        <v>40</v>
      </c>
      <c r="E620" s="85" t="s">
        <v>41</v>
      </c>
      <c r="F620" s="88" t="s">
        <v>28</v>
      </c>
      <c r="G620" s="85" t="s">
        <v>2034</v>
      </c>
      <c r="H620" s="88" t="s">
        <v>2035</v>
      </c>
      <c r="I620" s="85"/>
      <c r="J620" s="88" t="s">
        <v>2030</v>
      </c>
      <c r="K620" s="93" t="s">
        <v>49</v>
      </c>
      <c r="L620" s="85"/>
      <c r="M620" s="88" t="s">
        <v>2031</v>
      </c>
      <c r="N620" s="90" t="s">
        <v>34</v>
      </c>
      <c r="O620" s="85"/>
      <c r="P620" s="82"/>
    </row>
    <row r="621" hidden="1" spans="1:16">
      <c r="A621" s="83">
        <v>620</v>
      </c>
      <c r="B621" s="98">
        <v>46128</v>
      </c>
      <c r="C621" s="85" t="s">
        <v>25</v>
      </c>
      <c r="D621" s="85" t="s">
        <v>40</v>
      </c>
      <c r="E621" s="85" t="s">
        <v>41</v>
      </c>
      <c r="F621" s="88" t="s">
        <v>28</v>
      </c>
      <c r="G621" s="85" t="s">
        <v>2036</v>
      </c>
      <c r="H621" s="88" t="s">
        <v>2037</v>
      </c>
      <c r="I621" s="85"/>
      <c r="J621" s="88" t="s">
        <v>2038</v>
      </c>
      <c r="K621" s="92" t="s">
        <v>24</v>
      </c>
      <c r="L621" s="85"/>
      <c r="M621" s="88" t="s">
        <v>2039</v>
      </c>
      <c r="N621" s="90" t="s">
        <v>34</v>
      </c>
      <c r="O621" s="85"/>
      <c r="P621" s="82"/>
    </row>
    <row r="622" hidden="1" spans="1:16">
      <c r="A622" s="83">
        <v>621</v>
      </c>
      <c r="B622" s="98">
        <v>46128</v>
      </c>
      <c r="C622" s="88" t="s">
        <v>68</v>
      </c>
      <c r="D622" s="85" t="s">
        <v>26</v>
      </c>
      <c r="E622" s="85" t="s">
        <v>27</v>
      </c>
      <c r="F622" s="88" t="s">
        <v>28</v>
      </c>
      <c r="G622" s="85" t="s">
        <v>2040</v>
      </c>
      <c r="H622" s="88" t="s">
        <v>2041</v>
      </c>
      <c r="I622" s="85"/>
      <c r="J622" s="88" t="s">
        <v>2006</v>
      </c>
      <c r="K622" s="93" t="s">
        <v>32</v>
      </c>
      <c r="L622" s="85"/>
      <c r="M622" s="88" t="s">
        <v>2042</v>
      </c>
      <c r="N622" s="90" t="s">
        <v>34</v>
      </c>
      <c r="O622" s="85"/>
      <c r="P622" s="82"/>
    </row>
    <row r="623" hidden="1" spans="1:16">
      <c r="A623" s="83">
        <v>622</v>
      </c>
      <c r="B623" s="98">
        <v>46128</v>
      </c>
      <c r="C623" s="88" t="s">
        <v>68</v>
      </c>
      <c r="D623" s="85" t="s">
        <v>26</v>
      </c>
      <c r="E623" s="85" t="s">
        <v>27</v>
      </c>
      <c r="F623" s="88" t="s">
        <v>28</v>
      </c>
      <c r="G623" s="88" t="s">
        <v>2043</v>
      </c>
      <c r="H623" s="88" t="s">
        <v>2044</v>
      </c>
      <c r="I623" s="88"/>
      <c r="J623" s="88" t="s">
        <v>2006</v>
      </c>
      <c r="K623" s="93" t="s">
        <v>32</v>
      </c>
      <c r="L623" s="85"/>
      <c r="M623" s="88" t="s">
        <v>2042</v>
      </c>
      <c r="N623" s="90" t="s">
        <v>34</v>
      </c>
      <c r="O623" s="85"/>
      <c r="P623" s="82"/>
    </row>
    <row r="624" hidden="1" spans="1:16">
      <c r="A624" s="83">
        <v>623</v>
      </c>
      <c r="B624" s="98">
        <v>46129</v>
      </c>
      <c r="C624" s="88" t="s">
        <v>68</v>
      </c>
      <c r="D624" s="85" t="s">
        <v>26</v>
      </c>
      <c r="E624" s="85" t="s">
        <v>27</v>
      </c>
      <c r="F624" s="88" t="s">
        <v>28</v>
      </c>
      <c r="G624" s="88" t="s">
        <v>2045</v>
      </c>
      <c r="H624" s="88" t="s">
        <v>2046</v>
      </c>
      <c r="I624" s="88"/>
      <c r="J624" s="88" t="s">
        <v>2047</v>
      </c>
      <c r="K624" s="93" t="s">
        <v>32</v>
      </c>
      <c r="L624" s="85"/>
      <c r="M624" s="88" t="s">
        <v>2048</v>
      </c>
      <c r="N624" s="90" t="s">
        <v>34</v>
      </c>
      <c r="O624" s="85"/>
      <c r="P624" s="82"/>
    </row>
    <row r="625" ht="66" hidden="1" spans="1:16">
      <c r="A625" s="83">
        <v>624</v>
      </c>
      <c r="B625" s="98">
        <v>46129</v>
      </c>
      <c r="C625" s="88" t="s">
        <v>49</v>
      </c>
      <c r="D625" s="85" t="s">
        <v>107</v>
      </c>
      <c r="E625" s="85" t="s">
        <v>630</v>
      </c>
      <c r="F625" s="88" t="s">
        <v>28</v>
      </c>
      <c r="G625" s="88" t="s">
        <v>2049</v>
      </c>
      <c r="H625" s="88" t="s">
        <v>2050</v>
      </c>
      <c r="I625" s="88"/>
      <c r="J625" s="88" t="s">
        <v>2051</v>
      </c>
      <c r="K625" s="93" t="s">
        <v>49</v>
      </c>
      <c r="L625" s="85"/>
      <c r="M625" s="88" t="s">
        <v>2052</v>
      </c>
      <c r="N625" s="90" t="s">
        <v>34</v>
      </c>
      <c r="O625" s="85"/>
      <c r="P625" s="82"/>
    </row>
    <row r="626" ht="82.5" hidden="1" spans="1:16">
      <c r="A626" s="83">
        <v>625</v>
      </c>
      <c r="B626" s="98">
        <v>46129</v>
      </c>
      <c r="C626" s="88" t="s">
        <v>49</v>
      </c>
      <c r="D626" s="85" t="s">
        <v>26</v>
      </c>
      <c r="E626" s="85" t="s">
        <v>27</v>
      </c>
      <c r="F626" s="88" t="s">
        <v>28</v>
      </c>
      <c r="G626" s="88" t="s">
        <v>2053</v>
      </c>
      <c r="H626" s="88" t="s">
        <v>2054</v>
      </c>
      <c r="I626" s="88"/>
      <c r="J626" s="88" t="s">
        <v>2055</v>
      </c>
      <c r="K626" s="93" t="s">
        <v>49</v>
      </c>
      <c r="L626" s="85"/>
      <c r="M626" s="88" t="s">
        <v>2056</v>
      </c>
      <c r="N626" s="90" t="s">
        <v>34</v>
      </c>
      <c r="O626" s="85"/>
      <c r="P626" s="82"/>
    </row>
    <row r="627" hidden="1" spans="1:16">
      <c r="A627" s="83">
        <v>626</v>
      </c>
      <c r="B627" s="98">
        <v>46129</v>
      </c>
      <c r="C627" s="88" t="s">
        <v>68</v>
      </c>
      <c r="D627" s="85" t="s">
        <v>40</v>
      </c>
      <c r="E627" s="85" t="s">
        <v>41</v>
      </c>
      <c r="F627" s="88" t="s">
        <v>28</v>
      </c>
      <c r="G627" s="88" t="s">
        <v>2057</v>
      </c>
      <c r="H627" s="88" t="s">
        <v>2058</v>
      </c>
      <c r="I627" s="88"/>
      <c r="J627" s="88" t="s">
        <v>2059</v>
      </c>
      <c r="K627" s="92" t="s">
        <v>24</v>
      </c>
      <c r="L627" s="85"/>
      <c r="M627" s="88" t="s">
        <v>2060</v>
      </c>
      <c r="N627" s="90" t="s">
        <v>34</v>
      </c>
      <c r="O627" s="85"/>
      <c r="P627" s="82"/>
    </row>
    <row r="628" ht="33" hidden="1" spans="1:16">
      <c r="A628" s="83">
        <v>627</v>
      </c>
      <c r="B628" s="98">
        <v>46129</v>
      </c>
      <c r="C628" s="88" t="s">
        <v>49</v>
      </c>
      <c r="D628" s="85" t="s">
        <v>40</v>
      </c>
      <c r="E628" s="85" t="s">
        <v>41</v>
      </c>
      <c r="F628" s="88" t="s">
        <v>28</v>
      </c>
      <c r="G628" s="88" t="s">
        <v>2061</v>
      </c>
      <c r="H628" s="88" t="s">
        <v>2062</v>
      </c>
      <c r="I628" s="88"/>
      <c r="J628" s="88" t="s">
        <v>2051</v>
      </c>
      <c r="K628" s="93" t="s">
        <v>49</v>
      </c>
      <c r="L628" s="85"/>
      <c r="M628" s="88" t="s">
        <v>2063</v>
      </c>
      <c r="N628" s="90" t="s">
        <v>34</v>
      </c>
      <c r="O628" s="85"/>
      <c r="P628" s="82"/>
    </row>
    <row r="629" ht="33" hidden="1" spans="1:16">
      <c r="A629" s="83">
        <v>628</v>
      </c>
      <c r="B629" s="98">
        <v>46132</v>
      </c>
      <c r="C629" s="88" t="s">
        <v>68</v>
      </c>
      <c r="D629" s="85" t="s">
        <v>40</v>
      </c>
      <c r="E629" s="97" t="s">
        <v>41</v>
      </c>
      <c r="F629" s="88" t="s">
        <v>28</v>
      </c>
      <c r="G629" s="85" t="s">
        <v>2064</v>
      </c>
      <c r="H629" s="97">
        <v>802018759</v>
      </c>
      <c r="I629" s="85"/>
      <c r="J629" s="88" t="s">
        <v>2065</v>
      </c>
      <c r="K629" s="92" t="s">
        <v>24</v>
      </c>
      <c r="L629" s="85"/>
      <c r="M629" s="88" t="s">
        <v>2066</v>
      </c>
      <c r="N629" s="90" t="s">
        <v>34</v>
      </c>
      <c r="O629" s="85" t="s">
        <v>2067</v>
      </c>
      <c r="P629" s="82"/>
    </row>
    <row r="630" ht="49.5" hidden="1" spans="1:16">
      <c r="A630" s="83">
        <v>629</v>
      </c>
      <c r="B630" s="98">
        <v>46132</v>
      </c>
      <c r="C630" s="85" t="s">
        <v>25</v>
      </c>
      <c r="D630" s="85" t="s">
        <v>26</v>
      </c>
      <c r="E630" s="85" t="s">
        <v>27</v>
      </c>
      <c r="F630" s="88" t="s">
        <v>28</v>
      </c>
      <c r="G630" s="88" t="s">
        <v>2068</v>
      </c>
      <c r="H630" s="88" t="s">
        <v>2069</v>
      </c>
      <c r="I630" s="88"/>
      <c r="J630" s="99" t="s">
        <v>2070</v>
      </c>
      <c r="K630" s="93" t="s">
        <v>24</v>
      </c>
      <c r="L630" s="85"/>
      <c r="M630" s="88" t="s">
        <v>2071</v>
      </c>
      <c r="N630" s="90" t="s">
        <v>34</v>
      </c>
      <c r="O630" s="85" t="s">
        <v>2072</v>
      </c>
      <c r="P630" s="82"/>
    </row>
    <row r="631" ht="33" hidden="1" spans="1:16">
      <c r="A631" s="83">
        <v>630</v>
      </c>
      <c r="B631" s="98">
        <v>46132</v>
      </c>
      <c r="C631" s="88" t="s">
        <v>49</v>
      </c>
      <c r="D631" s="85" t="s">
        <v>26</v>
      </c>
      <c r="E631" s="85" t="s">
        <v>27</v>
      </c>
      <c r="F631" s="88" t="s">
        <v>28</v>
      </c>
      <c r="G631" s="88" t="s">
        <v>2073</v>
      </c>
      <c r="H631" s="88" t="s">
        <v>2074</v>
      </c>
      <c r="I631" s="88"/>
      <c r="J631" s="88" t="s">
        <v>2075</v>
      </c>
      <c r="K631" s="93" t="s">
        <v>49</v>
      </c>
      <c r="L631" s="85"/>
      <c r="M631" s="88" t="s">
        <v>2076</v>
      </c>
      <c r="N631" s="90" t="s">
        <v>34</v>
      </c>
      <c r="O631" s="85"/>
      <c r="P631" s="82"/>
    </row>
    <row r="632" ht="33" hidden="1" spans="1:16">
      <c r="A632" s="83">
        <v>631</v>
      </c>
      <c r="B632" s="98">
        <v>46132</v>
      </c>
      <c r="C632" s="88" t="s">
        <v>49</v>
      </c>
      <c r="D632" s="85" t="s">
        <v>26</v>
      </c>
      <c r="E632" s="85" t="s">
        <v>35</v>
      </c>
      <c r="F632" s="88" t="s">
        <v>28</v>
      </c>
      <c r="G632" s="88" t="s">
        <v>2077</v>
      </c>
      <c r="H632" s="88" t="s">
        <v>2078</v>
      </c>
      <c r="I632" s="88"/>
      <c r="J632" s="88" t="s">
        <v>2075</v>
      </c>
      <c r="K632" s="93" t="s">
        <v>49</v>
      </c>
      <c r="L632" s="85"/>
      <c r="M632" s="88" t="s">
        <v>2079</v>
      </c>
      <c r="N632" s="90" t="s">
        <v>34</v>
      </c>
      <c r="O632" s="85"/>
      <c r="P632" s="82"/>
    </row>
    <row r="633" ht="33" hidden="1" spans="1:16">
      <c r="A633" s="83">
        <v>632</v>
      </c>
      <c r="B633" s="98">
        <v>46132</v>
      </c>
      <c r="C633" s="88" t="s">
        <v>49</v>
      </c>
      <c r="D633" s="85" t="s">
        <v>40</v>
      </c>
      <c r="E633" s="85" t="s">
        <v>41</v>
      </c>
      <c r="F633" s="88" t="s">
        <v>28</v>
      </c>
      <c r="G633" s="88" t="s">
        <v>2080</v>
      </c>
      <c r="H633" s="88" t="s">
        <v>2081</v>
      </c>
      <c r="I633" s="88"/>
      <c r="J633" s="88" t="s">
        <v>2082</v>
      </c>
      <c r="K633" s="93" t="s">
        <v>49</v>
      </c>
      <c r="L633" s="85"/>
      <c r="M633" s="88" t="s">
        <v>2083</v>
      </c>
      <c r="N633" s="90" t="s">
        <v>34</v>
      </c>
      <c r="O633" s="85"/>
      <c r="P633" s="82"/>
    </row>
    <row r="634" hidden="1" spans="1:16">
      <c r="A634" s="83">
        <v>633</v>
      </c>
      <c r="B634" s="98">
        <v>46132</v>
      </c>
      <c r="C634" s="88" t="s">
        <v>68</v>
      </c>
      <c r="D634" s="85" t="s">
        <v>317</v>
      </c>
      <c r="E634" s="85" t="s">
        <v>318</v>
      </c>
      <c r="F634" s="88" t="s">
        <v>28</v>
      </c>
      <c r="G634" s="88" t="s">
        <v>2084</v>
      </c>
      <c r="H634" s="88" t="s">
        <v>2085</v>
      </c>
      <c r="I634" s="88"/>
      <c r="J634" s="88" t="s">
        <v>2086</v>
      </c>
      <c r="K634" s="92" t="s">
        <v>97</v>
      </c>
      <c r="L634" s="85"/>
      <c r="M634" s="88" t="s">
        <v>2087</v>
      </c>
      <c r="N634" s="90" t="s">
        <v>34</v>
      </c>
      <c r="O634" s="85"/>
      <c r="P634" s="82"/>
    </row>
    <row r="635" ht="33" hidden="1" spans="1:16">
      <c r="A635" s="83">
        <v>634</v>
      </c>
      <c r="B635" s="98">
        <v>46132</v>
      </c>
      <c r="C635" s="88" t="s">
        <v>49</v>
      </c>
      <c r="D635" s="85" t="s">
        <v>40</v>
      </c>
      <c r="E635" s="85" t="s">
        <v>41</v>
      </c>
      <c r="F635" s="88" t="s">
        <v>28</v>
      </c>
      <c r="G635" s="88" t="s">
        <v>2088</v>
      </c>
      <c r="H635" s="88" t="s">
        <v>2089</v>
      </c>
      <c r="I635" s="88"/>
      <c r="J635" s="88" t="s">
        <v>2090</v>
      </c>
      <c r="K635" s="93" t="s">
        <v>49</v>
      </c>
      <c r="L635" s="85"/>
      <c r="M635" s="88" t="s">
        <v>2083</v>
      </c>
      <c r="N635" s="90" t="s">
        <v>34</v>
      </c>
      <c r="O635" s="85"/>
      <c r="P635" s="82"/>
    </row>
    <row r="636" ht="49.5" hidden="1" spans="1:16">
      <c r="A636" s="83">
        <v>635</v>
      </c>
      <c r="B636" s="98">
        <v>46132</v>
      </c>
      <c r="C636" s="88" t="s">
        <v>49</v>
      </c>
      <c r="D636" s="85" t="s">
        <v>40</v>
      </c>
      <c r="E636" s="85" t="s">
        <v>41</v>
      </c>
      <c r="F636" s="88" t="s">
        <v>28</v>
      </c>
      <c r="G636" s="88" t="s">
        <v>2091</v>
      </c>
      <c r="H636" s="88" t="s">
        <v>2092</v>
      </c>
      <c r="I636" s="88"/>
      <c r="J636" s="88" t="s">
        <v>2090</v>
      </c>
      <c r="K636" s="93" t="s">
        <v>49</v>
      </c>
      <c r="L636" s="85"/>
      <c r="M636" s="88" t="s">
        <v>2093</v>
      </c>
      <c r="N636" s="90" t="s">
        <v>34</v>
      </c>
      <c r="O636" s="85"/>
      <c r="P636" s="82"/>
    </row>
    <row r="637" hidden="1" spans="1:16">
      <c r="A637" s="83">
        <v>636</v>
      </c>
      <c r="B637" s="98">
        <v>46132</v>
      </c>
      <c r="C637" s="85" t="s">
        <v>25</v>
      </c>
      <c r="D637" s="85" t="s">
        <v>164</v>
      </c>
      <c r="E637" s="85" t="s">
        <v>416</v>
      </c>
      <c r="F637" s="88" t="s">
        <v>28</v>
      </c>
      <c r="G637" s="88" t="s">
        <v>2094</v>
      </c>
      <c r="H637" s="88" t="s">
        <v>2095</v>
      </c>
      <c r="I637" s="88"/>
      <c r="J637" s="88" t="s">
        <v>2096</v>
      </c>
      <c r="K637" s="92" t="s">
        <v>92</v>
      </c>
      <c r="L637" s="85"/>
      <c r="M637" s="88" t="s">
        <v>2097</v>
      </c>
      <c r="N637" s="90" t="s">
        <v>34</v>
      </c>
      <c r="O637" s="85"/>
      <c r="P637" s="82"/>
    </row>
    <row r="638" hidden="1" spans="1:16">
      <c r="A638" s="83">
        <v>637</v>
      </c>
      <c r="B638" s="98">
        <v>46133</v>
      </c>
      <c r="C638" s="88" t="s">
        <v>68</v>
      </c>
      <c r="D638" s="85" t="s">
        <v>26</v>
      </c>
      <c r="E638" s="85" t="s">
        <v>27</v>
      </c>
      <c r="F638" s="88" t="s">
        <v>28</v>
      </c>
      <c r="G638" s="88" t="s">
        <v>2098</v>
      </c>
      <c r="H638" s="88" t="s">
        <v>2099</v>
      </c>
      <c r="I638" s="88"/>
      <c r="J638" s="88" t="s">
        <v>2100</v>
      </c>
      <c r="K638" s="93" t="s">
        <v>32</v>
      </c>
      <c r="L638" s="85"/>
      <c r="M638" s="88" t="s">
        <v>2101</v>
      </c>
      <c r="N638" s="90" t="s">
        <v>34</v>
      </c>
      <c r="O638" s="85"/>
      <c r="P638" s="82"/>
    </row>
    <row r="639" hidden="1" spans="1:16">
      <c r="A639" s="83">
        <v>638</v>
      </c>
      <c r="B639" s="98">
        <v>46133</v>
      </c>
      <c r="C639" s="88" t="s">
        <v>68</v>
      </c>
      <c r="D639" s="85" t="s">
        <v>26</v>
      </c>
      <c r="E639" s="85" t="s">
        <v>27</v>
      </c>
      <c r="F639" s="88" t="s">
        <v>28</v>
      </c>
      <c r="G639" s="88" t="s">
        <v>2102</v>
      </c>
      <c r="H639" s="88" t="s">
        <v>2103</v>
      </c>
      <c r="I639" s="88"/>
      <c r="J639" s="88" t="s">
        <v>2100</v>
      </c>
      <c r="K639" s="93" t="s">
        <v>32</v>
      </c>
      <c r="L639" s="85"/>
      <c r="M639" s="88" t="s">
        <v>2101</v>
      </c>
      <c r="N639" s="90" t="s">
        <v>34</v>
      </c>
      <c r="O639" s="85"/>
      <c r="P639" s="82"/>
    </row>
    <row r="640" hidden="1" spans="1:16">
      <c r="A640" s="83">
        <v>639</v>
      </c>
      <c r="B640" s="98">
        <v>46133</v>
      </c>
      <c r="C640" s="88" t="s">
        <v>68</v>
      </c>
      <c r="D640" s="85" t="s">
        <v>26</v>
      </c>
      <c r="E640" s="85" t="s">
        <v>27</v>
      </c>
      <c r="F640" s="88" t="s">
        <v>28</v>
      </c>
      <c r="G640" s="85" t="s">
        <v>2104</v>
      </c>
      <c r="H640" s="88" t="s">
        <v>2105</v>
      </c>
      <c r="I640" s="85"/>
      <c r="J640" s="88" t="s">
        <v>2100</v>
      </c>
      <c r="K640" s="93" t="s">
        <v>32</v>
      </c>
      <c r="L640" s="85"/>
      <c r="M640" s="88" t="s">
        <v>2101</v>
      </c>
      <c r="N640" s="90" t="s">
        <v>34</v>
      </c>
      <c r="O640" s="85"/>
      <c r="P640" s="82"/>
    </row>
    <row r="641" hidden="1" spans="1:16">
      <c r="A641" s="83">
        <v>640</v>
      </c>
      <c r="B641" s="98">
        <v>46133</v>
      </c>
      <c r="C641" s="88" t="s">
        <v>68</v>
      </c>
      <c r="D641" s="85" t="s">
        <v>26</v>
      </c>
      <c r="E641" s="85" t="s">
        <v>27</v>
      </c>
      <c r="F641" s="88" t="s">
        <v>28</v>
      </c>
      <c r="G641" s="85" t="s">
        <v>2106</v>
      </c>
      <c r="H641" s="88" t="s">
        <v>2107</v>
      </c>
      <c r="I641" s="85"/>
      <c r="J641" s="88" t="s">
        <v>2108</v>
      </c>
      <c r="K641" s="93" t="s">
        <v>32</v>
      </c>
      <c r="L641" s="85"/>
      <c r="M641" s="88" t="s">
        <v>2101</v>
      </c>
      <c r="N641" s="90" t="s">
        <v>34</v>
      </c>
      <c r="O641" s="85"/>
      <c r="P641" s="82"/>
    </row>
    <row r="642" hidden="1" spans="1:16">
      <c r="A642" s="83">
        <v>641</v>
      </c>
      <c r="B642" s="98">
        <v>46133</v>
      </c>
      <c r="C642" s="88" t="s">
        <v>68</v>
      </c>
      <c r="D642" s="85" t="s">
        <v>26</v>
      </c>
      <c r="E642" s="85" t="s">
        <v>27</v>
      </c>
      <c r="F642" s="88" t="s">
        <v>28</v>
      </c>
      <c r="G642" s="85" t="s">
        <v>2109</v>
      </c>
      <c r="H642" s="88" t="s">
        <v>2110</v>
      </c>
      <c r="I642" s="85"/>
      <c r="J642" s="88" t="s">
        <v>2108</v>
      </c>
      <c r="K642" s="93" t="s">
        <v>32</v>
      </c>
      <c r="L642" s="85"/>
      <c r="M642" s="88" t="s">
        <v>2101</v>
      </c>
      <c r="N642" s="90" t="s">
        <v>34</v>
      </c>
      <c r="O642" s="85"/>
      <c r="P642" s="82"/>
    </row>
    <row r="643" hidden="1" spans="1:16">
      <c r="A643" s="83">
        <v>642</v>
      </c>
      <c r="B643" s="98">
        <v>46133</v>
      </c>
      <c r="C643" s="88" t="s">
        <v>68</v>
      </c>
      <c r="D643" s="85" t="s">
        <v>40</v>
      </c>
      <c r="E643" s="85" t="s">
        <v>41</v>
      </c>
      <c r="F643" s="88" t="s">
        <v>28</v>
      </c>
      <c r="G643" s="85" t="s">
        <v>2111</v>
      </c>
      <c r="H643" s="88" t="s">
        <v>2112</v>
      </c>
      <c r="I643" s="85"/>
      <c r="J643" s="88" t="s">
        <v>2113</v>
      </c>
      <c r="K643" s="92" t="s">
        <v>24</v>
      </c>
      <c r="L643" s="85"/>
      <c r="M643" s="88" t="s">
        <v>2114</v>
      </c>
      <c r="N643" s="90" t="s">
        <v>34</v>
      </c>
      <c r="O643" s="85" t="s">
        <v>500</v>
      </c>
      <c r="P643" s="82"/>
    </row>
    <row r="644" hidden="1" spans="1:16">
      <c r="A644" s="83">
        <v>643</v>
      </c>
      <c r="B644" s="98">
        <v>46133</v>
      </c>
      <c r="C644" s="88" t="s">
        <v>68</v>
      </c>
      <c r="D644" s="85" t="s">
        <v>40</v>
      </c>
      <c r="E644" s="85" t="s">
        <v>41</v>
      </c>
      <c r="F644" s="88" t="s">
        <v>28</v>
      </c>
      <c r="G644" s="85" t="s">
        <v>2115</v>
      </c>
      <c r="H644" s="88" t="s">
        <v>2116</v>
      </c>
      <c r="I644" s="85"/>
      <c r="J644" s="88" t="s">
        <v>2113</v>
      </c>
      <c r="K644" s="92" t="s">
        <v>24</v>
      </c>
      <c r="L644" s="85"/>
      <c r="M644" s="88" t="s">
        <v>2114</v>
      </c>
      <c r="N644" s="90" t="s">
        <v>34</v>
      </c>
      <c r="O644" s="85" t="s">
        <v>500</v>
      </c>
      <c r="P644" s="82"/>
    </row>
    <row r="645" hidden="1" spans="1:16">
      <c r="A645" s="83">
        <v>644</v>
      </c>
      <c r="B645" s="98">
        <v>46133</v>
      </c>
      <c r="C645" s="88" t="s">
        <v>68</v>
      </c>
      <c r="D645" s="85" t="s">
        <v>40</v>
      </c>
      <c r="E645" s="85" t="s">
        <v>41</v>
      </c>
      <c r="F645" s="88" t="s">
        <v>28</v>
      </c>
      <c r="G645" s="85" t="s">
        <v>2117</v>
      </c>
      <c r="H645" s="88" t="s">
        <v>2118</v>
      </c>
      <c r="I645" s="85"/>
      <c r="J645" s="88" t="s">
        <v>2113</v>
      </c>
      <c r="K645" s="92" t="s">
        <v>24</v>
      </c>
      <c r="L645" s="85"/>
      <c r="M645" s="88" t="s">
        <v>2114</v>
      </c>
      <c r="N645" s="90" t="s">
        <v>34</v>
      </c>
      <c r="O645" s="85" t="s">
        <v>500</v>
      </c>
      <c r="P645" s="82"/>
    </row>
    <row r="646" hidden="1" spans="1:16">
      <c r="A646" s="83">
        <v>645</v>
      </c>
      <c r="B646" s="98">
        <v>46133</v>
      </c>
      <c r="C646" s="88" t="s">
        <v>68</v>
      </c>
      <c r="D646" s="85" t="s">
        <v>40</v>
      </c>
      <c r="E646" s="85" t="s">
        <v>41</v>
      </c>
      <c r="F646" s="88" t="s">
        <v>28</v>
      </c>
      <c r="G646" s="85" t="s">
        <v>2119</v>
      </c>
      <c r="H646" s="88" t="s">
        <v>2120</v>
      </c>
      <c r="I646" s="85"/>
      <c r="J646" s="88" t="s">
        <v>2113</v>
      </c>
      <c r="K646" s="92" t="s">
        <v>24</v>
      </c>
      <c r="L646" s="85"/>
      <c r="M646" s="88" t="s">
        <v>2114</v>
      </c>
      <c r="N646" s="90" t="s">
        <v>34</v>
      </c>
      <c r="O646" s="85" t="s">
        <v>500</v>
      </c>
      <c r="P646" s="82"/>
    </row>
    <row r="647" hidden="1" spans="1:16">
      <c r="A647" s="83">
        <v>646</v>
      </c>
      <c r="B647" s="98">
        <v>46133</v>
      </c>
      <c r="C647" s="88" t="s">
        <v>68</v>
      </c>
      <c r="D647" s="85" t="s">
        <v>40</v>
      </c>
      <c r="E647" s="85" t="s">
        <v>41</v>
      </c>
      <c r="F647" s="88" t="s">
        <v>28</v>
      </c>
      <c r="G647" s="85" t="s">
        <v>2121</v>
      </c>
      <c r="H647" s="88" t="s">
        <v>2122</v>
      </c>
      <c r="I647" s="85"/>
      <c r="J647" s="88" t="s">
        <v>2113</v>
      </c>
      <c r="K647" s="92" t="s">
        <v>24</v>
      </c>
      <c r="L647" s="85"/>
      <c r="M647" s="88" t="s">
        <v>2114</v>
      </c>
      <c r="N647" s="90" t="s">
        <v>34</v>
      </c>
      <c r="O647" s="85" t="s">
        <v>500</v>
      </c>
      <c r="P647" s="82"/>
    </row>
    <row r="648" ht="49.5" hidden="1" spans="1:16">
      <c r="A648" s="83">
        <v>647</v>
      </c>
      <c r="B648" s="98">
        <v>46133</v>
      </c>
      <c r="C648" s="85" t="s">
        <v>25</v>
      </c>
      <c r="D648" s="85" t="s">
        <v>26</v>
      </c>
      <c r="E648" s="85" t="s">
        <v>27</v>
      </c>
      <c r="F648" s="88" t="s">
        <v>28</v>
      </c>
      <c r="G648" s="88" t="s">
        <v>2123</v>
      </c>
      <c r="H648" s="88" t="s">
        <v>2124</v>
      </c>
      <c r="I648" s="85"/>
      <c r="J648" s="99" t="s">
        <v>2125</v>
      </c>
      <c r="K648" s="93" t="s">
        <v>24</v>
      </c>
      <c r="L648" s="85"/>
      <c r="M648" s="88" t="s">
        <v>2126</v>
      </c>
      <c r="N648" s="90" t="s">
        <v>34</v>
      </c>
      <c r="O648" s="85" t="s">
        <v>2072</v>
      </c>
      <c r="P648" s="82"/>
    </row>
    <row r="649" hidden="1" spans="1:16">
      <c r="A649" s="83">
        <v>648</v>
      </c>
      <c r="B649" s="98">
        <v>46134</v>
      </c>
      <c r="C649" s="88" t="s">
        <v>68</v>
      </c>
      <c r="D649" s="85" t="s">
        <v>26</v>
      </c>
      <c r="E649" s="85" t="s">
        <v>27</v>
      </c>
      <c r="F649" s="85" t="s">
        <v>28</v>
      </c>
      <c r="G649" s="85" t="s">
        <v>2127</v>
      </c>
      <c r="H649" s="85">
        <v>268786320</v>
      </c>
      <c r="I649" s="85"/>
      <c r="J649" s="88" t="s">
        <v>2128</v>
      </c>
      <c r="K649" s="93" t="s">
        <v>32</v>
      </c>
      <c r="L649" s="85"/>
      <c r="M649" s="88" t="s">
        <v>2129</v>
      </c>
      <c r="N649" s="90" t="s">
        <v>34</v>
      </c>
      <c r="O649" s="85"/>
      <c r="P649" s="82"/>
    </row>
    <row r="650" hidden="1" spans="1:16">
      <c r="A650" s="83">
        <v>649</v>
      </c>
      <c r="B650" s="98">
        <v>46134</v>
      </c>
      <c r="C650" s="88" t="s">
        <v>68</v>
      </c>
      <c r="D650" s="85" t="s">
        <v>26</v>
      </c>
      <c r="E650" s="85" t="s">
        <v>35</v>
      </c>
      <c r="F650" s="85" t="s">
        <v>28</v>
      </c>
      <c r="G650" s="85" t="s">
        <v>2130</v>
      </c>
      <c r="H650" s="85" t="s">
        <v>2131</v>
      </c>
      <c r="I650" s="85"/>
      <c r="J650" s="88" t="s">
        <v>2132</v>
      </c>
      <c r="K650" s="93" t="s">
        <v>32</v>
      </c>
      <c r="L650" s="85"/>
      <c r="M650" s="88" t="s">
        <v>2129</v>
      </c>
      <c r="N650" s="90" t="s">
        <v>34</v>
      </c>
      <c r="O650" s="85"/>
      <c r="P650" s="82"/>
    </row>
    <row r="651" ht="33" hidden="1" spans="1:16">
      <c r="A651" s="83">
        <v>650</v>
      </c>
      <c r="B651" s="98">
        <v>46134</v>
      </c>
      <c r="C651" s="88" t="s">
        <v>49</v>
      </c>
      <c r="D651" s="85" t="s">
        <v>40</v>
      </c>
      <c r="E651" s="85" t="s">
        <v>148</v>
      </c>
      <c r="F651" s="85" t="s">
        <v>28</v>
      </c>
      <c r="G651" s="85" t="s">
        <v>2133</v>
      </c>
      <c r="H651" s="85" t="s">
        <v>2134</v>
      </c>
      <c r="I651" s="85"/>
      <c r="J651" s="88" t="s">
        <v>2135</v>
      </c>
      <c r="K651" s="93" t="s">
        <v>49</v>
      </c>
      <c r="L651" s="85"/>
      <c r="M651" s="88" t="s">
        <v>2136</v>
      </c>
      <c r="N651" s="90" t="s">
        <v>34</v>
      </c>
      <c r="O651" s="85"/>
      <c r="P651" s="82"/>
    </row>
    <row r="652" ht="49.5" hidden="1" spans="1:16">
      <c r="A652" s="83">
        <v>651</v>
      </c>
      <c r="B652" s="98">
        <v>46134</v>
      </c>
      <c r="C652" s="85" t="s">
        <v>25</v>
      </c>
      <c r="D652" s="85" t="s">
        <v>153</v>
      </c>
      <c r="E652" s="85" t="s">
        <v>411</v>
      </c>
      <c r="F652" s="85" t="s">
        <v>28</v>
      </c>
      <c r="G652" s="85" t="s">
        <v>2137</v>
      </c>
      <c r="H652" s="85" t="s">
        <v>2138</v>
      </c>
      <c r="I652" s="97"/>
      <c r="J652" s="88" t="s">
        <v>2139</v>
      </c>
      <c r="K652" s="93" t="s">
        <v>92</v>
      </c>
      <c r="L652" s="85"/>
      <c r="M652" s="88" t="s">
        <v>2140</v>
      </c>
      <c r="N652" s="90" t="s">
        <v>34</v>
      </c>
      <c r="O652" s="85"/>
      <c r="P652" s="82"/>
    </row>
    <row r="653" ht="33" hidden="1" spans="1:16">
      <c r="A653" s="83">
        <v>652</v>
      </c>
      <c r="B653" s="98">
        <v>46135</v>
      </c>
      <c r="C653" s="85" t="s">
        <v>25</v>
      </c>
      <c r="D653" s="85" t="s">
        <v>26</v>
      </c>
      <c r="E653" s="85" t="s">
        <v>27</v>
      </c>
      <c r="F653" s="85" t="s">
        <v>28</v>
      </c>
      <c r="G653" s="85" t="s">
        <v>2141</v>
      </c>
      <c r="H653" s="85" t="s">
        <v>2142</v>
      </c>
      <c r="I653" s="85"/>
      <c r="J653" s="88" t="s">
        <v>2143</v>
      </c>
      <c r="K653" s="93" t="s">
        <v>92</v>
      </c>
      <c r="L653" s="85"/>
      <c r="M653" s="88" t="s">
        <v>2144</v>
      </c>
      <c r="N653" s="90" t="s">
        <v>34</v>
      </c>
      <c r="O653" s="85"/>
      <c r="P653" s="82"/>
    </row>
    <row r="654" ht="33" hidden="1" spans="1:16">
      <c r="A654" s="83">
        <v>653</v>
      </c>
      <c r="B654" s="98">
        <v>46135</v>
      </c>
      <c r="C654" s="85" t="s">
        <v>25</v>
      </c>
      <c r="D654" s="85" t="s">
        <v>26</v>
      </c>
      <c r="E654" s="85" t="s">
        <v>27</v>
      </c>
      <c r="F654" s="85" t="s">
        <v>28</v>
      </c>
      <c r="G654" s="85" t="s">
        <v>2145</v>
      </c>
      <c r="H654" s="85" t="s">
        <v>2146</v>
      </c>
      <c r="I654" s="85"/>
      <c r="J654" s="88" t="s">
        <v>2143</v>
      </c>
      <c r="K654" s="93" t="s">
        <v>92</v>
      </c>
      <c r="L654" s="85"/>
      <c r="M654" s="88" t="s">
        <v>2144</v>
      </c>
      <c r="N654" s="90" t="s">
        <v>34</v>
      </c>
      <c r="O654" s="85"/>
      <c r="P654" s="82"/>
    </row>
    <row r="655" hidden="1" spans="1:16">
      <c r="A655" s="83">
        <v>654</v>
      </c>
      <c r="B655" s="98">
        <v>46135</v>
      </c>
      <c r="C655" s="85" t="s">
        <v>49</v>
      </c>
      <c r="D655" s="85" t="s">
        <v>107</v>
      </c>
      <c r="E655" s="85" t="s">
        <v>630</v>
      </c>
      <c r="F655" s="85" t="s">
        <v>28</v>
      </c>
      <c r="G655" s="85" t="s">
        <v>2147</v>
      </c>
      <c r="H655" s="85" t="s">
        <v>2148</v>
      </c>
      <c r="I655" s="85"/>
      <c r="J655" s="88" t="s">
        <v>2149</v>
      </c>
      <c r="K655" s="93" t="s">
        <v>49</v>
      </c>
      <c r="L655" s="85"/>
      <c r="M655" s="88" t="s">
        <v>2150</v>
      </c>
      <c r="N655" s="90" t="s">
        <v>34</v>
      </c>
      <c r="O655" s="85"/>
      <c r="P655" s="82"/>
    </row>
    <row r="656" ht="66" hidden="1" spans="1:16">
      <c r="A656" s="83">
        <v>655</v>
      </c>
      <c r="B656" s="98">
        <v>46135</v>
      </c>
      <c r="C656" s="85" t="s">
        <v>25</v>
      </c>
      <c r="D656" s="85" t="s">
        <v>26</v>
      </c>
      <c r="E656" s="85" t="s">
        <v>27</v>
      </c>
      <c r="F656" s="85" t="s">
        <v>28</v>
      </c>
      <c r="G656" s="85" t="s">
        <v>2151</v>
      </c>
      <c r="H656" s="85" t="s">
        <v>2152</v>
      </c>
      <c r="I656" s="85"/>
      <c r="J656" s="88" t="s">
        <v>2143</v>
      </c>
      <c r="K656" s="93" t="s">
        <v>92</v>
      </c>
      <c r="L656" s="85"/>
      <c r="M656" s="88" t="s">
        <v>2153</v>
      </c>
      <c r="N656" s="90" t="s">
        <v>34</v>
      </c>
      <c r="O656" s="85"/>
      <c r="P656" s="82"/>
    </row>
    <row r="657" ht="33" hidden="1" spans="1:16">
      <c r="A657" s="83">
        <v>656</v>
      </c>
      <c r="B657" s="98">
        <v>46135</v>
      </c>
      <c r="C657" s="85" t="s">
        <v>25</v>
      </c>
      <c r="D657" s="85" t="s">
        <v>26</v>
      </c>
      <c r="E657" s="85" t="s">
        <v>27</v>
      </c>
      <c r="F657" s="85" t="s">
        <v>28</v>
      </c>
      <c r="G657" s="85" t="s">
        <v>2154</v>
      </c>
      <c r="H657" s="85" t="s">
        <v>2155</v>
      </c>
      <c r="I657" s="85"/>
      <c r="J657" s="88" t="s">
        <v>2143</v>
      </c>
      <c r="K657" s="93" t="s">
        <v>92</v>
      </c>
      <c r="L657" s="85"/>
      <c r="M657" s="88" t="s">
        <v>2144</v>
      </c>
      <c r="N657" s="90" t="s">
        <v>34</v>
      </c>
      <c r="O657" s="85"/>
      <c r="P657" s="82"/>
    </row>
    <row r="658" ht="66" hidden="1" spans="1:16">
      <c r="A658" s="83">
        <v>657</v>
      </c>
      <c r="B658" s="98">
        <v>46135</v>
      </c>
      <c r="C658" s="85" t="s">
        <v>25</v>
      </c>
      <c r="D658" s="85" t="s">
        <v>26</v>
      </c>
      <c r="E658" s="85" t="s">
        <v>27</v>
      </c>
      <c r="F658" s="85" t="s">
        <v>28</v>
      </c>
      <c r="G658" s="97" t="s">
        <v>2156</v>
      </c>
      <c r="H658" s="85" t="s">
        <v>2157</v>
      </c>
      <c r="I658" s="85"/>
      <c r="J658" s="88" t="s">
        <v>2158</v>
      </c>
      <c r="K658" s="93" t="s">
        <v>92</v>
      </c>
      <c r="L658" s="85"/>
      <c r="M658" s="88" t="s">
        <v>2153</v>
      </c>
      <c r="N658" s="90" t="s">
        <v>34</v>
      </c>
      <c r="O658" s="85"/>
      <c r="P658" s="82"/>
    </row>
    <row r="659" ht="66" hidden="1" spans="1:16">
      <c r="A659" s="83">
        <v>658</v>
      </c>
      <c r="B659" s="98">
        <v>46135</v>
      </c>
      <c r="C659" s="85" t="s">
        <v>25</v>
      </c>
      <c r="D659" s="85" t="s">
        <v>26</v>
      </c>
      <c r="E659" s="85" t="s">
        <v>27</v>
      </c>
      <c r="F659" s="85" t="s">
        <v>28</v>
      </c>
      <c r="G659" s="88" t="s">
        <v>2159</v>
      </c>
      <c r="H659" s="85" t="s">
        <v>2160</v>
      </c>
      <c r="I659" s="85"/>
      <c r="J659" s="88" t="s">
        <v>2158</v>
      </c>
      <c r="K659" s="93" t="s">
        <v>92</v>
      </c>
      <c r="L659" s="85"/>
      <c r="M659" s="88" t="s">
        <v>2153</v>
      </c>
      <c r="N659" s="90" t="s">
        <v>34</v>
      </c>
      <c r="O659" s="85"/>
      <c r="P659" s="82"/>
    </row>
    <row r="660" ht="33" hidden="1" spans="1:16">
      <c r="A660" s="83">
        <v>659</v>
      </c>
      <c r="B660" s="98">
        <v>46135</v>
      </c>
      <c r="C660" s="85" t="s">
        <v>25</v>
      </c>
      <c r="D660" s="85" t="s">
        <v>26</v>
      </c>
      <c r="E660" s="85" t="s">
        <v>27</v>
      </c>
      <c r="F660" s="85" t="s">
        <v>28</v>
      </c>
      <c r="G660" s="85" t="s">
        <v>2161</v>
      </c>
      <c r="H660" s="85" t="s">
        <v>2162</v>
      </c>
      <c r="I660" s="85"/>
      <c r="J660" s="88" t="s">
        <v>2158</v>
      </c>
      <c r="K660" s="93" t="s">
        <v>92</v>
      </c>
      <c r="L660" s="85"/>
      <c r="M660" s="88" t="s">
        <v>2144</v>
      </c>
      <c r="N660" s="90" t="s">
        <v>34</v>
      </c>
      <c r="O660" s="85"/>
      <c r="P660" s="82"/>
    </row>
    <row r="661" ht="66" hidden="1" spans="1:16">
      <c r="A661" s="83">
        <v>660</v>
      </c>
      <c r="B661" s="98">
        <v>46135</v>
      </c>
      <c r="C661" s="85" t="s">
        <v>25</v>
      </c>
      <c r="D661" s="85" t="s">
        <v>26</v>
      </c>
      <c r="E661" s="85" t="s">
        <v>27</v>
      </c>
      <c r="F661" s="85" t="s">
        <v>28</v>
      </c>
      <c r="G661" s="85" t="s">
        <v>2163</v>
      </c>
      <c r="H661" s="85" t="s">
        <v>2164</v>
      </c>
      <c r="I661" s="85"/>
      <c r="J661" s="88" t="s">
        <v>2158</v>
      </c>
      <c r="K661" s="93" t="s">
        <v>92</v>
      </c>
      <c r="L661" s="85"/>
      <c r="M661" s="88" t="s">
        <v>2153</v>
      </c>
      <c r="N661" s="90" t="s">
        <v>34</v>
      </c>
      <c r="O661" s="85"/>
      <c r="P661" s="82"/>
    </row>
    <row r="662" ht="66" hidden="1" spans="1:16">
      <c r="A662" s="83">
        <v>661</v>
      </c>
      <c r="B662" s="98">
        <v>46135</v>
      </c>
      <c r="C662" s="85" t="s">
        <v>25</v>
      </c>
      <c r="D662" s="85" t="s">
        <v>26</v>
      </c>
      <c r="E662" s="85" t="s">
        <v>27</v>
      </c>
      <c r="F662" s="85" t="s">
        <v>28</v>
      </c>
      <c r="G662" s="85" t="s">
        <v>2165</v>
      </c>
      <c r="H662" s="85" t="s">
        <v>2166</v>
      </c>
      <c r="I662" s="85"/>
      <c r="J662" s="88" t="s">
        <v>2158</v>
      </c>
      <c r="K662" s="93" t="s">
        <v>92</v>
      </c>
      <c r="L662" s="85"/>
      <c r="M662" s="88" t="s">
        <v>2153</v>
      </c>
      <c r="N662" s="90" t="s">
        <v>34</v>
      </c>
      <c r="O662" s="85"/>
      <c r="P662" s="82"/>
    </row>
    <row r="663" ht="66" hidden="1" spans="1:16">
      <c r="A663" s="83">
        <v>662</v>
      </c>
      <c r="B663" s="98">
        <v>46135</v>
      </c>
      <c r="C663" s="85" t="s">
        <v>25</v>
      </c>
      <c r="D663" s="85" t="s">
        <v>26</v>
      </c>
      <c r="E663" s="85" t="s">
        <v>27</v>
      </c>
      <c r="F663" s="85" t="s">
        <v>28</v>
      </c>
      <c r="G663" s="85" t="s">
        <v>2167</v>
      </c>
      <c r="H663" s="85" t="s">
        <v>2168</v>
      </c>
      <c r="I663" s="85"/>
      <c r="J663" s="88" t="s">
        <v>2158</v>
      </c>
      <c r="K663" s="93" t="s">
        <v>92</v>
      </c>
      <c r="L663" s="85"/>
      <c r="M663" s="88" t="s">
        <v>2153</v>
      </c>
      <c r="N663" s="90" t="s">
        <v>34</v>
      </c>
      <c r="O663" s="85"/>
      <c r="P663" s="82"/>
    </row>
    <row r="664" ht="66" hidden="1" spans="1:16">
      <c r="A664" s="83">
        <v>663</v>
      </c>
      <c r="B664" s="98">
        <v>46135</v>
      </c>
      <c r="C664" s="85" t="s">
        <v>25</v>
      </c>
      <c r="D664" s="85" t="s">
        <v>26</v>
      </c>
      <c r="E664" s="85" t="s">
        <v>27</v>
      </c>
      <c r="F664" s="85" t="s">
        <v>28</v>
      </c>
      <c r="G664" s="85" t="s">
        <v>2169</v>
      </c>
      <c r="H664" s="85" t="s">
        <v>2170</v>
      </c>
      <c r="I664" s="85"/>
      <c r="J664" s="88" t="s">
        <v>2158</v>
      </c>
      <c r="K664" s="93" t="s">
        <v>92</v>
      </c>
      <c r="L664" s="85"/>
      <c r="M664" s="88" t="s">
        <v>2153</v>
      </c>
      <c r="N664" s="90" t="s">
        <v>34</v>
      </c>
      <c r="O664" s="85"/>
      <c r="P664" s="82"/>
    </row>
    <row r="665" ht="66" hidden="1" spans="1:16">
      <c r="A665" s="83">
        <v>664</v>
      </c>
      <c r="B665" s="98">
        <v>46135</v>
      </c>
      <c r="C665" s="85" t="s">
        <v>25</v>
      </c>
      <c r="D665" s="85" t="s">
        <v>26</v>
      </c>
      <c r="E665" s="85" t="s">
        <v>27</v>
      </c>
      <c r="F665" s="85" t="s">
        <v>28</v>
      </c>
      <c r="G665" s="85" t="s">
        <v>2171</v>
      </c>
      <c r="H665" s="85" t="s">
        <v>2172</v>
      </c>
      <c r="I665" s="85"/>
      <c r="J665" s="88" t="s">
        <v>2158</v>
      </c>
      <c r="K665" s="93" t="s">
        <v>92</v>
      </c>
      <c r="L665" s="85"/>
      <c r="M665" s="88" t="s">
        <v>2153</v>
      </c>
      <c r="N665" s="90" t="s">
        <v>34</v>
      </c>
      <c r="O665" s="85"/>
      <c r="P665" s="82"/>
    </row>
    <row r="666" ht="33" hidden="1" spans="1:16">
      <c r="A666" s="83">
        <v>665</v>
      </c>
      <c r="B666" s="98">
        <v>46135</v>
      </c>
      <c r="C666" s="85" t="s">
        <v>68</v>
      </c>
      <c r="D666" s="85" t="s">
        <v>26</v>
      </c>
      <c r="E666" s="85" t="s">
        <v>27</v>
      </c>
      <c r="F666" s="85" t="s">
        <v>28</v>
      </c>
      <c r="G666" s="85" t="s">
        <v>2173</v>
      </c>
      <c r="H666" s="85">
        <v>264479000</v>
      </c>
      <c r="I666" s="85"/>
      <c r="J666" s="88" t="s">
        <v>2174</v>
      </c>
      <c r="K666" s="92" t="s">
        <v>32</v>
      </c>
      <c r="L666" s="85"/>
      <c r="M666" s="88" t="s">
        <v>2175</v>
      </c>
      <c r="N666" s="90" t="s">
        <v>34</v>
      </c>
      <c r="O666" s="85"/>
      <c r="P666" s="82"/>
    </row>
    <row r="667" ht="33" hidden="1" spans="1:16">
      <c r="A667" s="83">
        <v>666</v>
      </c>
      <c r="B667" s="98">
        <v>46135</v>
      </c>
      <c r="C667" s="85" t="s">
        <v>68</v>
      </c>
      <c r="D667" s="85" t="s">
        <v>153</v>
      </c>
      <c r="E667" s="85" t="s">
        <v>411</v>
      </c>
      <c r="F667" s="85" t="s">
        <v>28</v>
      </c>
      <c r="G667" s="85" t="s">
        <v>2176</v>
      </c>
      <c r="H667" s="85" t="s">
        <v>2177</v>
      </c>
      <c r="I667" s="85"/>
      <c r="J667" s="88" t="s">
        <v>2178</v>
      </c>
      <c r="K667" s="92" t="s">
        <v>32</v>
      </c>
      <c r="L667" s="85"/>
      <c r="M667" s="88" t="s">
        <v>2175</v>
      </c>
      <c r="N667" s="90" t="s">
        <v>34</v>
      </c>
      <c r="O667" s="85"/>
      <c r="P667" s="82"/>
    </row>
    <row r="668" ht="33" hidden="1" spans="1:16">
      <c r="A668" s="83">
        <v>667</v>
      </c>
      <c r="B668" s="98">
        <v>46136</v>
      </c>
      <c r="C668" s="85" t="s">
        <v>49</v>
      </c>
      <c r="D668" s="85" t="s">
        <v>40</v>
      </c>
      <c r="E668" s="85" t="s">
        <v>41</v>
      </c>
      <c r="F668" s="85" t="s">
        <v>28</v>
      </c>
      <c r="G668" s="85" t="s">
        <v>2179</v>
      </c>
      <c r="H668" s="85" t="s">
        <v>2180</v>
      </c>
      <c r="I668" s="85"/>
      <c r="J668" s="88" t="s">
        <v>2181</v>
      </c>
      <c r="K668" s="93" t="s">
        <v>49</v>
      </c>
      <c r="L668" s="85"/>
      <c r="M668" s="88" t="s">
        <v>2182</v>
      </c>
      <c r="N668" s="90" t="s">
        <v>34</v>
      </c>
      <c r="O668" s="85"/>
      <c r="P668" s="82"/>
    </row>
    <row r="669" hidden="1" spans="1:16">
      <c r="A669" s="83">
        <v>668</v>
      </c>
      <c r="B669" s="98">
        <v>46136</v>
      </c>
      <c r="C669" s="85" t="s">
        <v>25</v>
      </c>
      <c r="D669" s="85" t="s">
        <v>26</v>
      </c>
      <c r="E669" s="85" t="s">
        <v>35</v>
      </c>
      <c r="F669" s="85" t="s">
        <v>28</v>
      </c>
      <c r="G669" s="85" t="s">
        <v>2183</v>
      </c>
      <c r="H669" s="85" t="s">
        <v>2184</v>
      </c>
      <c r="I669" s="88"/>
      <c r="J669" s="88" t="s">
        <v>2185</v>
      </c>
      <c r="K669" s="93" t="s">
        <v>24</v>
      </c>
      <c r="L669" s="85"/>
      <c r="M669" s="88" t="s">
        <v>2186</v>
      </c>
      <c r="N669" s="90" t="s">
        <v>34</v>
      </c>
      <c r="O669" s="85"/>
      <c r="P669" s="82"/>
    </row>
    <row r="670" hidden="1" spans="1:16">
      <c r="A670" s="83">
        <v>669</v>
      </c>
      <c r="B670" s="98">
        <v>46136</v>
      </c>
      <c r="C670" s="85" t="s">
        <v>68</v>
      </c>
      <c r="D670" s="85" t="s">
        <v>40</v>
      </c>
      <c r="E670" s="85" t="s">
        <v>41</v>
      </c>
      <c r="F670" s="85" t="s">
        <v>28</v>
      </c>
      <c r="G670" s="85" t="s">
        <v>2187</v>
      </c>
      <c r="H670" s="85" t="s">
        <v>2188</v>
      </c>
      <c r="I670" s="85"/>
      <c r="J670" s="88" t="s">
        <v>2189</v>
      </c>
      <c r="K670" s="93" t="s">
        <v>24</v>
      </c>
      <c r="L670" s="85"/>
      <c r="M670" s="88" t="s">
        <v>2190</v>
      </c>
      <c r="N670" s="90" t="s">
        <v>34</v>
      </c>
      <c r="O670" s="85"/>
      <c r="P670" s="82"/>
    </row>
    <row r="671" ht="33" hidden="1" spans="1:16">
      <c r="A671" s="83">
        <v>670</v>
      </c>
      <c r="B671" s="98">
        <v>46136</v>
      </c>
      <c r="C671" s="85" t="s">
        <v>49</v>
      </c>
      <c r="D671" s="85" t="s">
        <v>26</v>
      </c>
      <c r="E671" s="85" t="s">
        <v>27</v>
      </c>
      <c r="F671" s="85" t="s">
        <v>28</v>
      </c>
      <c r="G671" s="85" t="s">
        <v>2191</v>
      </c>
      <c r="H671" s="85" t="s">
        <v>2192</v>
      </c>
      <c r="I671" s="85"/>
      <c r="J671" s="88" t="s">
        <v>2181</v>
      </c>
      <c r="K671" s="93" t="s">
        <v>49</v>
      </c>
      <c r="L671" s="85"/>
      <c r="M671" s="88" t="s">
        <v>2193</v>
      </c>
      <c r="N671" s="90" t="s">
        <v>34</v>
      </c>
      <c r="O671" s="85"/>
      <c r="P671" s="82"/>
    </row>
    <row r="672" ht="33" hidden="1" spans="1:16">
      <c r="A672" s="83">
        <v>671</v>
      </c>
      <c r="B672" s="98">
        <v>46136</v>
      </c>
      <c r="C672" s="85" t="s">
        <v>25</v>
      </c>
      <c r="D672" s="85" t="s">
        <v>26</v>
      </c>
      <c r="E672" s="85" t="s">
        <v>27</v>
      </c>
      <c r="F672" s="85" t="s">
        <v>28</v>
      </c>
      <c r="G672" s="85" t="s">
        <v>2194</v>
      </c>
      <c r="H672" s="85" t="s">
        <v>2195</v>
      </c>
      <c r="I672" s="85"/>
      <c r="J672" s="88" t="s">
        <v>2196</v>
      </c>
      <c r="K672" s="93" t="s">
        <v>92</v>
      </c>
      <c r="L672" s="85"/>
      <c r="M672" s="88" t="s">
        <v>2197</v>
      </c>
      <c r="N672" s="90" t="s">
        <v>34</v>
      </c>
      <c r="O672" s="85"/>
      <c r="P672" s="82"/>
    </row>
    <row r="673" ht="33" hidden="1" spans="1:16">
      <c r="A673" s="83">
        <v>672</v>
      </c>
      <c r="B673" s="98">
        <v>46136</v>
      </c>
      <c r="C673" s="85" t="s">
        <v>49</v>
      </c>
      <c r="D673" s="85" t="s">
        <v>26</v>
      </c>
      <c r="E673" s="85" t="s">
        <v>27</v>
      </c>
      <c r="F673" s="85" t="s">
        <v>28</v>
      </c>
      <c r="G673" s="85" t="s">
        <v>2198</v>
      </c>
      <c r="H673" s="85">
        <v>269079185</v>
      </c>
      <c r="I673" s="85"/>
      <c r="J673" s="88" t="s">
        <v>2181</v>
      </c>
      <c r="K673" s="93" t="s">
        <v>49</v>
      </c>
      <c r="L673" s="85"/>
      <c r="M673" s="88" t="s">
        <v>2199</v>
      </c>
      <c r="N673" s="90" t="s">
        <v>34</v>
      </c>
      <c r="O673" s="85"/>
      <c r="P673" s="82"/>
    </row>
    <row r="674" hidden="1" spans="1:16">
      <c r="A674" s="83">
        <v>673</v>
      </c>
      <c r="B674" s="98">
        <v>46136</v>
      </c>
      <c r="C674" s="85" t="s">
        <v>49</v>
      </c>
      <c r="D674" s="85" t="s">
        <v>40</v>
      </c>
      <c r="E674" s="85" t="s">
        <v>148</v>
      </c>
      <c r="F674" s="85" t="s">
        <v>28</v>
      </c>
      <c r="G674" s="88" t="s">
        <v>2200</v>
      </c>
      <c r="H674" s="88" t="s">
        <v>2201</v>
      </c>
      <c r="I674" s="88"/>
      <c r="J674" s="88" t="s">
        <v>2181</v>
      </c>
      <c r="K674" s="93" t="s">
        <v>49</v>
      </c>
      <c r="L674" s="88"/>
      <c r="M674" s="88" t="s">
        <v>2202</v>
      </c>
      <c r="N674" s="90" t="s">
        <v>34</v>
      </c>
      <c r="O674" s="85"/>
      <c r="P674" s="82"/>
    </row>
    <row r="675" hidden="1" spans="1:16">
      <c r="A675" s="83">
        <v>674</v>
      </c>
      <c r="B675" s="98">
        <v>46139</v>
      </c>
      <c r="C675" s="85" t="s">
        <v>68</v>
      </c>
      <c r="D675" s="85" t="s">
        <v>153</v>
      </c>
      <c r="E675" s="85" t="s">
        <v>154</v>
      </c>
      <c r="F675" s="85" t="s">
        <v>28</v>
      </c>
      <c r="G675" s="88" t="s">
        <v>2203</v>
      </c>
      <c r="H675" s="88" t="s">
        <v>2204</v>
      </c>
      <c r="I675" s="88"/>
      <c r="J675" s="88" t="s">
        <v>2205</v>
      </c>
      <c r="K675" s="93" t="s">
        <v>32</v>
      </c>
      <c r="L675" s="88"/>
      <c r="M675" s="88" t="s">
        <v>2206</v>
      </c>
      <c r="N675" s="90" t="s">
        <v>34</v>
      </c>
      <c r="O675" s="85"/>
      <c r="P675" s="82"/>
    </row>
    <row r="676" hidden="1" spans="1:16">
      <c r="A676" s="83">
        <v>675</v>
      </c>
      <c r="B676" s="98">
        <v>46139</v>
      </c>
      <c r="C676" s="85" t="s">
        <v>68</v>
      </c>
      <c r="D676" s="85" t="s">
        <v>26</v>
      </c>
      <c r="E676" s="85" t="s">
        <v>27</v>
      </c>
      <c r="F676" s="85" t="s">
        <v>28</v>
      </c>
      <c r="G676" s="88" t="s">
        <v>2207</v>
      </c>
      <c r="H676" s="88" t="s">
        <v>2208</v>
      </c>
      <c r="I676" s="88"/>
      <c r="J676" s="88" t="s">
        <v>2209</v>
      </c>
      <c r="K676" s="93" t="s">
        <v>32</v>
      </c>
      <c r="L676" s="88"/>
      <c r="M676" s="88" t="s">
        <v>2206</v>
      </c>
      <c r="N676" s="90" t="s">
        <v>34</v>
      </c>
      <c r="O676" s="85"/>
      <c r="P676" s="82"/>
    </row>
    <row r="677" hidden="1" spans="1:16">
      <c r="A677" s="83">
        <v>676</v>
      </c>
      <c r="B677" s="98">
        <v>46139</v>
      </c>
      <c r="C677" s="85" t="s">
        <v>68</v>
      </c>
      <c r="D677" s="85" t="s">
        <v>26</v>
      </c>
      <c r="E677" s="85" t="s">
        <v>27</v>
      </c>
      <c r="F677" s="85" t="s">
        <v>28</v>
      </c>
      <c r="G677" s="88" t="s">
        <v>2210</v>
      </c>
      <c r="H677" s="88" t="s">
        <v>2211</v>
      </c>
      <c r="I677" s="88"/>
      <c r="J677" s="88" t="s">
        <v>2209</v>
      </c>
      <c r="K677" s="93" t="s">
        <v>32</v>
      </c>
      <c r="L677" s="88"/>
      <c r="M677" s="88" t="s">
        <v>2206</v>
      </c>
      <c r="N677" s="90" t="s">
        <v>34</v>
      </c>
      <c r="O677" s="85"/>
      <c r="P677" s="82"/>
    </row>
    <row r="678" ht="33" hidden="1" spans="1:16">
      <c r="A678" s="83">
        <v>677</v>
      </c>
      <c r="B678" s="98">
        <v>46139</v>
      </c>
      <c r="C678" s="85" t="s">
        <v>49</v>
      </c>
      <c r="D678" s="85" t="s">
        <v>26</v>
      </c>
      <c r="E678" s="85" t="s">
        <v>27</v>
      </c>
      <c r="F678" s="85" t="s">
        <v>28</v>
      </c>
      <c r="G678" s="88" t="s">
        <v>2212</v>
      </c>
      <c r="H678" s="88" t="s">
        <v>2213</v>
      </c>
      <c r="I678" s="88"/>
      <c r="J678" s="88" t="s">
        <v>2214</v>
      </c>
      <c r="K678" s="93" t="s">
        <v>49</v>
      </c>
      <c r="L678" s="88"/>
      <c r="M678" s="88" t="s">
        <v>2199</v>
      </c>
      <c r="N678" s="90" t="s">
        <v>34</v>
      </c>
      <c r="O678" s="85"/>
      <c r="P678" s="82"/>
    </row>
    <row r="679" hidden="1" spans="1:16">
      <c r="A679" s="83">
        <v>678</v>
      </c>
      <c r="B679" s="98">
        <v>46139</v>
      </c>
      <c r="C679" s="85" t="s">
        <v>49</v>
      </c>
      <c r="D679" s="85" t="s">
        <v>40</v>
      </c>
      <c r="E679" s="85" t="s">
        <v>41</v>
      </c>
      <c r="F679" s="85" t="s">
        <v>28</v>
      </c>
      <c r="G679" s="88" t="s">
        <v>2215</v>
      </c>
      <c r="H679" s="88" t="s">
        <v>2216</v>
      </c>
      <c r="I679" s="88"/>
      <c r="J679" s="88" t="s">
        <v>2181</v>
      </c>
      <c r="K679" s="93" t="s">
        <v>49</v>
      </c>
      <c r="L679" s="88"/>
      <c r="M679" s="88" t="s">
        <v>2217</v>
      </c>
      <c r="N679" s="90" t="s">
        <v>34</v>
      </c>
      <c r="O679" s="85"/>
      <c r="P679" s="82"/>
    </row>
    <row r="680" ht="33" hidden="1" spans="1:16">
      <c r="A680" s="83">
        <v>679</v>
      </c>
      <c r="B680" s="98">
        <v>46139</v>
      </c>
      <c r="C680" s="85" t="s">
        <v>49</v>
      </c>
      <c r="D680" s="85" t="s">
        <v>40</v>
      </c>
      <c r="E680" s="85" t="s">
        <v>41</v>
      </c>
      <c r="F680" s="85" t="s">
        <v>28</v>
      </c>
      <c r="G680" s="88" t="s">
        <v>2218</v>
      </c>
      <c r="H680" s="85" t="s">
        <v>2219</v>
      </c>
      <c r="I680" s="88"/>
      <c r="J680" s="88" t="s">
        <v>2214</v>
      </c>
      <c r="K680" s="93" t="s">
        <v>49</v>
      </c>
      <c r="L680" s="88"/>
      <c r="M680" s="88" t="s">
        <v>2199</v>
      </c>
      <c r="N680" s="90" t="s">
        <v>34</v>
      </c>
      <c r="O680" s="85"/>
      <c r="P680" s="82"/>
    </row>
    <row r="681" ht="33" hidden="1" spans="1:16">
      <c r="A681" s="83">
        <v>680</v>
      </c>
      <c r="B681" s="98">
        <v>46139</v>
      </c>
      <c r="C681" s="85" t="s">
        <v>49</v>
      </c>
      <c r="D681" s="85" t="s">
        <v>40</v>
      </c>
      <c r="E681" s="85" t="s">
        <v>41</v>
      </c>
      <c r="F681" s="85" t="s">
        <v>28</v>
      </c>
      <c r="G681" s="88" t="s">
        <v>2220</v>
      </c>
      <c r="H681" s="85" t="s">
        <v>2221</v>
      </c>
      <c r="I681" s="88"/>
      <c r="J681" s="88" t="s">
        <v>2214</v>
      </c>
      <c r="K681" s="93" t="s">
        <v>49</v>
      </c>
      <c r="L681" s="88"/>
      <c r="M681" s="88" t="s">
        <v>2199</v>
      </c>
      <c r="N681" s="90" t="s">
        <v>34</v>
      </c>
      <c r="O681" s="85"/>
      <c r="P681" s="82"/>
    </row>
    <row r="682" ht="33" hidden="1" spans="1:16">
      <c r="A682" s="83">
        <v>681</v>
      </c>
      <c r="B682" s="98">
        <v>46139</v>
      </c>
      <c r="C682" s="85" t="s">
        <v>49</v>
      </c>
      <c r="D682" s="85" t="s">
        <v>26</v>
      </c>
      <c r="E682" s="85" t="s">
        <v>27</v>
      </c>
      <c r="F682" s="85" t="s">
        <v>28</v>
      </c>
      <c r="G682" s="88" t="s">
        <v>2222</v>
      </c>
      <c r="H682" s="85">
        <v>269539537</v>
      </c>
      <c r="I682" s="88"/>
      <c r="J682" s="88" t="s">
        <v>2214</v>
      </c>
      <c r="K682" s="93" t="s">
        <v>49</v>
      </c>
      <c r="L682" s="88"/>
      <c r="M682" s="88" t="s">
        <v>2199</v>
      </c>
      <c r="N682" s="90" t="s">
        <v>34</v>
      </c>
      <c r="O682" s="85"/>
      <c r="P682" s="82"/>
    </row>
    <row r="683" ht="49.5" hidden="1" spans="1:16">
      <c r="A683" s="83">
        <v>682</v>
      </c>
      <c r="B683" s="98">
        <v>46139</v>
      </c>
      <c r="C683" s="85" t="s">
        <v>68</v>
      </c>
      <c r="D683" s="85" t="s">
        <v>317</v>
      </c>
      <c r="E683" s="88" t="s">
        <v>2223</v>
      </c>
      <c r="F683" s="88" t="s">
        <v>28</v>
      </c>
      <c r="G683" s="88" t="s">
        <v>2224</v>
      </c>
      <c r="H683" s="85" t="s">
        <v>2225</v>
      </c>
      <c r="I683" s="85"/>
      <c r="J683" s="88" t="s">
        <v>2226</v>
      </c>
      <c r="K683" s="93" t="s">
        <v>716</v>
      </c>
      <c r="L683" s="85"/>
      <c r="M683" s="88" t="s">
        <v>2227</v>
      </c>
      <c r="N683" s="90" t="s">
        <v>34</v>
      </c>
      <c r="O683" s="85"/>
      <c r="P683" s="82"/>
    </row>
    <row r="684" hidden="1" spans="1:16">
      <c r="A684" s="83">
        <v>683</v>
      </c>
      <c r="B684" s="98">
        <v>46140</v>
      </c>
      <c r="C684" s="85" t="s">
        <v>68</v>
      </c>
      <c r="D684" s="85" t="s">
        <v>26</v>
      </c>
      <c r="E684" s="85" t="s">
        <v>35</v>
      </c>
      <c r="F684" s="88" t="s">
        <v>28</v>
      </c>
      <c r="G684" s="88" t="s">
        <v>2228</v>
      </c>
      <c r="H684" s="88" t="s">
        <v>2229</v>
      </c>
      <c r="I684" s="88"/>
      <c r="J684" s="88" t="s">
        <v>2230</v>
      </c>
      <c r="K684" s="93" t="s">
        <v>32</v>
      </c>
      <c r="L684" s="85"/>
      <c r="M684" s="88" t="s">
        <v>2231</v>
      </c>
      <c r="N684" s="90" t="s">
        <v>34</v>
      </c>
      <c r="O684" s="85"/>
      <c r="P684" s="82"/>
    </row>
    <row r="685" hidden="1" spans="1:16">
      <c r="A685" s="83">
        <v>684</v>
      </c>
      <c r="B685" s="98">
        <v>46140</v>
      </c>
      <c r="C685" s="85" t="s">
        <v>68</v>
      </c>
      <c r="D685" s="85" t="s">
        <v>153</v>
      </c>
      <c r="E685" s="85" t="s">
        <v>154</v>
      </c>
      <c r="F685" s="88" t="s">
        <v>28</v>
      </c>
      <c r="G685" s="88" t="s">
        <v>2232</v>
      </c>
      <c r="H685" s="88" t="s">
        <v>2233</v>
      </c>
      <c r="I685" s="88"/>
      <c r="J685" s="88" t="s">
        <v>2234</v>
      </c>
      <c r="K685" s="93" t="s">
        <v>32</v>
      </c>
      <c r="L685" s="85"/>
      <c r="M685" s="88" t="s">
        <v>2231</v>
      </c>
      <c r="N685" s="90" t="s">
        <v>34</v>
      </c>
      <c r="O685" s="85"/>
      <c r="P685" s="82"/>
    </row>
    <row r="686" ht="33" hidden="1" spans="1:16">
      <c r="A686" s="83">
        <v>685</v>
      </c>
      <c r="B686" s="98">
        <v>46140</v>
      </c>
      <c r="C686" s="85" t="s">
        <v>68</v>
      </c>
      <c r="D686" s="85" t="s">
        <v>26</v>
      </c>
      <c r="E686" s="85" t="s">
        <v>27</v>
      </c>
      <c r="F686" s="88" t="s">
        <v>28</v>
      </c>
      <c r="G686" s="88" t="s">
        <v>2235</v>
      </c>
      <c r="H686" s="88" t="s">
        <v>2236</v>
      </c>
      <c r="I686" s="88"/>
      <c r="J686" s="88" t="s">
        <v>2234</v>
      </c>
      <c r="K686" s="93" t="s">
        <v>32</v>
      </c>
      <c r="L686" s="85"/>
      <c r="M686" s="88" t="s">
        <v>2237</v>
      </c>
      <c r="N686" s="90" t="s">
        <v>34</v>
      </c>
      <c r="O686" s="85"/>
      <c r="P686" s="82"/>
    </row>
    <row r="687" hidden="1" spans="1:16">
      <c r="A687" s="83">
        <v>686</v>
      </c>
      <c r="B687" s="98">
        <v>46140</v>
      </c>
      <c r="C687" s="85" t="s">
        <v>49</v>
      </c>
      <c r="D687" s="85" t="s">
        <v>26</v>
      </c>
      <c r="E687" s="85" t="s">
        <v>27</v>
      </c>
      <c r="F687" s="88" t="s">
        <v>28</v>
      </c>
      <c r="G687" s="88" t="s">
        <v>2238</v>
      </c>
      <c r="H687" s="88" t="s">
        <v>2239</v>
      </c>
      <c r="I687" s="88"/>
      <c r="J687" s="88" t="s">
        <v>2240</v>
      </c>
      <c r="K687" s="93" t="s">
        <v>49</v>
      </c>
      <c r="L687" s="85"/>
      <c r="M687" s="88" t="s">
        <v>2241</v>
      </c>
      <c r="N687" s="90" t="s">
        <v>34</v>
      </c>
      <c r="O687" s="85"/>
      <c r="P687" s="82"/>
    </row>
    <row r="688" ht="33" hidden="1" spans="1:16">
      <c r="A688" s="83">
        <v>687</v>
      </c>
      <c r="B688" s="98">
        <v>46140</v>
      </c>
      <c r="C688" s="85" t="s">
        <v>68</v>
      </c>
      <c r="D688" s="85" t="s">
        <v>26</v>
      </c>
      <c r="E688" s="85" t="s">
        <v>27</v>
      </c>
      <c r="F688" s="88" t="s">
        <v>28</v>
      </c>
      <c r="G688" s="88" t="s">
        <v>2242</v>
      </c>
      <c r="H688" s="85" t="s">
        <v>2243</v>
      </c>
      <c r="I688" s="88"/>
      <c r="J688" s="88" t="s">
        <v>2244</v>
      </c>
      <c r="K688" s="93" t="s">
        <v>32</v>
      </c>
      <c r="L688" s="85"/>
      <c r="M688" s="88" t="s">
        <v>2237</v>
      </c>
      <c r="N688" s="90" t="s">
        <v>34</v>
      </c>
      <c r="O688" s="85"/>
      <c r="P688" s="82"/>
    </row>
    <row r="689" hidden="1" spans="1:16">
      <c r="A689" s="83">
        <v>688</v>
      </c>
      <c r="B689" s="98">
        <v>46140</v>
      </c>
      <c r="C689" s="85" t="s">
        <v>49</v>
      </c>
      <c r="D689" s="85" t="s">
        <v>26</v>
      </c>
      <c r="E689" s="85" t="s">
        <v>27</v>
      </c>
      <c r="F689" s="88" t="s">
        <v>28</v>
      </c>
      <c r="G689" s="88" t="s">
        <v>2245</v>
      </c>
      <c r="H689" s="85" t="s">
        <v>2246</v>
      </c>
      <c r="I689" s="88"/>
      <c r="J689" s="88" t="s">
        <v>2240</v>
      </c>
      <c r="K689" s="93" t="s">
        <v>49</v>
      </c>
      <c r="L689" s="85"/>
      <c r="M689" s="88" t="s">
        <v>2247</v>
      </c>
      <c r="N689" s="90" t="s">
        <v>34</v>
      </c>
      <c r="O689" s="85"/>
      <c r="P689" s="82"/>
    </row>
    <row r="690" ht="33" hidden="1" spans="1:16">
      <c r="A690" s="83">
        <v>689</v>
      </c>
      <c r="B690" s="98">
        <v>46140</v>
      </c>
      <c r="C690" s="85" t="s">
        <v>25</v>
      </c>
      <c r="D690" s="85" t="s">
        <v>26</v>
      </c>
      <c r="E690" s="85" t="s">
        <v>35</v>
      </c>
      <c r="F690" s="88" t="s">
        <v>28</v>
      </c>
      <c r="G690" s="88" t="s">
        <v>2248</v>
      </c>
      <c r="H690" s="85" t="s">
        <v>2249</v>
      </c>
      <c r="I690" s="88"/>
      <c r="J690" s="88" t="s">
        <v>2250</v>
      </c>
      <c r="K690" s="93" t="s">
        <v>92</v>
      </c>
      <c r="L690" s="85"/>
      <c r="M690" s="88" t="s">
        <v>2251</v>
      </c>
      <c r="N690" s="90" t="s">
        <v>34</v>
      </c>
      <c r="O690" s="85"/>
      <c r="P690" s="82"/>
    </row>
    <row r="691" ht="33" hidden="1" spans="1:16">
      <c r="A691" s="83">
        <v>690</v>
      </c>
      <c r="B691" s="98">
        <v>46140</v>
      </c>
      <c r="C691" s="85" t="s">
        <v>25</v>
      </c>
      <c r="D691" s="85" t="s">
        <v>26</v>
      </c>
      <c r="E691" s="85" t="s">
        <v>27</v>
      </c>
      <c r="F691" s="88" t="s">
        <v>28</v>
      </c>
      <c r="G691" s="85" t="s">
        <v>2252</v>
      </c>
      <c r="H691" s="85" t="s">
        <v>2253</v>
      </c>
      <c r="I691" s="85"/>
      <c r="J691" s="88" t="s">
        <v>2254</v>
      </c>
      <c r="K691" s="93" t="s">
        <v>92</v>
      </c>
      <c r="L691" s="85"/>
      <c r="M691" s="88" t="s">
        <v>2255</v>
      </c>
      <c r="N691" s="90" t="s">
        <v>34</v>
      </c>
      <c r="O691" s="85"/>
      <c r="P691" s="82"/>
    </row>
    <row r="692" ht="49.5" hidden="1" spans="1:16">
      <c r="A692" s="83">
        <v>691</v>
      </c>
      <c r="B692" s="98">
        <v>46140</v>
      </c>
      <c r="C692" s="85" t="s">
        <v>25</v>
      </c>
      <c r="D692" s="85" t="s">
        <v>26</v>
      </c>
      <c r="E692" s="85" t="s">
        <v>27</v>
      </c>
      <c r="F692" s="88" t="s">
        <v>28</v>
      </c>
      <c r="G692" s="85" t="s">
        <v>2256</v>
      </c>
      <c r="H692" s="85" t="s">
        <v>2257</v>
      </c>
      <c r="I692" s="85"/>
      <c r="J692" s="88" t="s">
        <v>2254</v>
      </c>
      <c r="K692" s="93" t="s">
        <v>92</v>
      </c>
      <c r="L692" s="85"/>
      <c r="M692" s="88" t="s">
        <v>2258</v>
      </c>
      <c r="N692" s="90" t="s">
        <v>34</v>
      </c>
      <c r="O692" s="85"/>
      <c r="P692" s="82"/>
    </row>
    <row r="693" ht="49.5" hidden="1" spans="1:16">
      <c r="A693" s="83">
        <v>692</v>
      </c>
      <c r="B693" s="98">
        <v>46140</v>
      </c>
      <c r="C693" s="85" t="s">
        <v>25</v>
      </c>
      <c r="D693" s="85" t="s">
        <v>26</v>
      </c>
      <c r="E693" s="85" t="s">
        <v>27</v>
      </c>
      <c r="F693" s="88" t="s">
        <v>28</v>
      </c>
      <c r="G693" s="85" t="s">
        <v>2259</v>
      </c>
      <c r="H693" s="85" t="s">
        <v>2260</v>
      </c>
      <c r="I693" s="85"/>
      <c r="J693" s="88" t="s">
        <v>2254</v>
      </c>
      <c r="K693" s="93" t="s">
        <v>92</v>
      </c>
      <c r="L693" s="85"/>
      <c r="M693" s="88" t="s">
        <v>2261</v>
      </c>
      <c r="N693" s="90" t="s">
        <v>34</v>
      </c>
      <c r="O693" s="85"/>
      <c r="P693" s="82"/>
    </row>
    <row r="694" ht="346.5" hidden="1" spans="1:16">
      <c r="A694" s="83">
        <v>693</v>
      </c>
      <c r="B694" s="98">
        <v>46141</v>
      </c>
      <c r="C694" s="85" t="s">
        <v>25</v>
      </c>
      <c r="D694" s="85" t="s">
        <v>107</v>
      </c>
      <c r="E694" s="85" t="s">
        <v>630</v>
      </c>
      <c r="F694" s="85" t="s">
        <v>28</v>
      </c>
      <c r="G694" s="88" t="s">
        <v>2262</v>
      </c>
      <c r="H694" s="85" t="s">
        <v>2263</v>
      </c>
      <c r="I694" s="85"/>
      <c r="J694" s="88" t="s">
        <v>2264</v>
      </c>
      <c r="K694" s="93" t="s">
        <v>2265</v>
      </c>
      <c r="L694" s="85"/>
      <c r="M694" s="88" t="s">
        <v>2266</v>
      </c>
      <c r="N694" s="90" t="s">
        <v>34</v>
      </c>
      <c r="O694" s="85"/>
      <c r="P694" s="82"/>
    </row>
    <row r="695" ht="33" hidden="1" spans="1:16">
      <c r="A695" s="83">
        <v>694</v>
      </c>
      <c r="B695" s="98">
        <v>46141</v>
      </c>
      <c r="C695" s="85" t="s">
        <v>25</v>
      </c>
      <c r="D695" s="85" t="s">
        <v>26</v>
      </c>
      <c r="E695" s="85" t="s">
        <v>27</v>
      </c>
      <c r="F695" s="88" t="s">
        <v>28</v>
      </c>
      <c r="G695" s="85" t="s">
        <v>2267</v>
      </c>
      <c r="H695" s="85" t="s">
        <v>2268</v>
      </c>
      <c r="I695" s="85"/>
      <c r="J695" s="88" t="s">
        <v>2269</v>
      </c>
      <c r="K695" s="93" t="s">
        <v>92</v>
      </c>
      <c r="L695" s="85"/>
      <c r="M695" s="88" t="s">
        <v>2270</v>
      </c>
      <c r="N695" s="90" t="s">
        <v>34</v>
      </c>
      <c r="O695" s="85"/>
      <c r="P695" s="82"/>
    </row>
    <row r="696" ht="33" hidden="1" spans="1:16">
      <c r="A696" s="83">
        <v>695</v>
      </c>
      <c r="B696" s="98">
        <v>46141</v>
      </c>
      <c r="C696" s="85" t="s">
        <v>25</v>
      </c>
      <c r="D696" s="85" t="s">
        <v>26</v>
      </c>
      <c r="E696" s="85" t="s">
        <v>27</v>
      </c>
      <c r="F696" s="88" t="s">
        <v>28</v>
      </c>
      <c r="G696" s="85" t="s">
        <v>2271</v>
      </c>
      <c r="H696" s="85" t="s">
        <v>2272</v>
      </c>
      <c r="I696" s="85"/>
      <c r="J696" s="88" t="s">
        <v>2269</v>
      </c>
      <c r="K696" s="93" t="s">
        <v>92</v>
      </c>
      <c r="L696" s="85"/>
      <c r="M696" s="88" t="s">
        <v>2270</v>
      </c>
      <c r="N696" s="90" t="s">
        <v>34</v>
      </c>
      <c r="O696" s="85"/>
      <c r="P696" s="82"/>
    </row>
    <row r="697" hidden="1" spans="1:16">
      <c r="A697" s="83">
        <v>696</v>
      </c>
      <c r="B697" s="98">
        <v>46141</v>
      </c>
      <c r="C697" s="85" t="s">
        <v>68</v>
      </c>
      <c r="D697" s="85" t="s">
        <v>26</v>
      </c>
      <c r="E697" s="85" t="s">
        <v>27</v>
      </c>
      <c r="F697" s="85"/>
      <c r="G697" s="97" t="s">
        <v>2273</v>
      </c>
      <c r="H697" s="85" t="s">
        <v>2274</v>
      </c>
      <c r="I697" s="85"/>
      <c r="J697" s="88" t="s">
        <v>2275</v>
      </c>
      <c r="K697" s="93" t="s">
        <v>32</v>
      </c>
      <c r="L697" s="85"/>
      <c r="M697" s="88" t="s">
        <v>2276</v>
      </c>
      <c r="N697" s="90" t="s">
        <v>34</v>
      </c>
      <c r="O697" s="85"/>
      <c r="P697" s="82"/>
    </row>
    <row r="698" ht="33" hidden="1" spans="1:16">
      <c r="A698" s="83">
        <v>697</v>
      </c>
      <c r="B698" s="98">
        <v>46141</v>
      </c>
      <c r="C698" s="85" t="s">
        <v>49</v>
      </c>
      <c r="D698" s="85" t="s">
        <v>26</v>
      </c>
      <c r="E698" s="85" t="s">
        <v>27</v>
      </c>
      <c r="F698" s="85" t="s">
        <v>28</v>
      </c>
      <c r="G698" s="85" t="s">
        <v>2277</v>
      </c>
      <c r="H698" s="85" t="s">
        <v>2278</v>
      </c>
      <c r="I698" s="85"/>
      <c r="J698" s="88" t="s">
        <v>2279</v>
      </c>
      <c r="K698" s="93" t="s">
        <v>49</v>
      </c>
      <c r="L698" s="85"/>
      <c r="M698" s="88" t="s">
        <v>2280</v>
      </c>
      <c r="N698" s="90" t="s">
        <v>34</v>
      </c>
      <c r="O698" s="85"/>
      <c r="P698" s="82"/>
    </row>
    <row r="699" ht="33" hidden="1" spans="1:16">
      <c r="A699" s="83">
        <v>698</v>
      </c>
      <c r="B699" s="98">
        <v>46141</v>
      </c>
      <c r="C699" s="85" t="s">
        <v>68</v>
      </c>
      <c r="D699" s="85" t="s">
        <v>26</v>
      </c>
      <c r="E699" s="85" t="s">
        <v>27</v>
      </c>
      <c r="F699" s="85" t="s">
        <v>28</v>
      </c>
      <c r="G699" s="97" t="s">
        <v>2281</v>
      </c>
      <c r="H699" s="85" t="s">
        <v>2282</v>
      </c>
      <c r="I699" s="85"/>
      <c r="J699" s="88" t="s">
        <v>2283</v>
      </c>
      <c r="K699" s="93" t="s">
        <v>32</v>
      </c>
      <c r="L699" s="85"/>
      <c r="M699" s="88" t="s">
        <v>2284</v>
      </c>
      <c r="N699" s="90" t="s">
        <v>34</v>
      </c>
      <c r="O699" s="85"/>
      <c r="P699" s="82"/>
    </row>
    <row r="700" ht="33" hidden="1" spans="1:16">
      <c r="A700" s="83">
        <v>699</v>
      </c>
      <c r="B700" s="98">
        <v>46141</v>
      </c>
      <c r="C700" s="85" t="s">
        <v>68</v>
      </c>
      <c r="D700" s="85" t="s">
        <v>26</v>
      </c>
      <c r="E700" s="85" t="s">
        <v>27</v>
      </c>
      <c r="F700" s="85" t="s">
        <v>28</v>
      </c>
      <c r="G700" s="85" t="s">
        <v>2285</v>
      </c>
      <c r="H700" s="85" t="s">
        <v>2286</v>
      </c>
      <c r="I700" s="85"/>
      <c r="J700" s="88" t="s">
        <v>2283</v>
      </c>
      <c r="K700" s="93" t="s">
        <v>32</v>
      </c>
      <c r="L700" s="85"/>
      <c r="M700" s="88" t="s">
        <v>2284</v>
      </c>
      <c r="N700" s="90" t="s">
        <v>34</v>
      </c>
      <c r="O700" s="85"/>
      <c r="P700" s="82"/>
    </row>
    <row r="701" ht="33" hidden="1" spans="1:16">
      <c r="A701" s="83">
        <v>700</v>
      </c>
      <c r="B701" s="98">
        <v>46141</v>
      </c>
      <c r="C701" s="85" t="s">
        <v>68</v>
      </c>
      <c r="D701" s="85" t="s">
        <v>26</v>
      </c>
      <c r="E701" s="85" t="s">
        <v>27</v>
      </c>
      <c r="F701" s="85" t="s">
        <v>28</v>
      </c>
      <c r="G701" s="97" t="s">
        <v>2287</v>
      </c>
      <c r="H701" s="85" t="s">
        <v>2288</v>
      </c>
      <c r="I701" s="85"/>
      <c r="J701" s="88" t="s">
        <v>2283</v>
      </c>
      <c r="K701" s="93" t="s">
        <v>32</v>
      </c>
      <c r="L701" s="85"/>
      <c r="M701" s="88" t="s">
        <v>2284</v>
      </c>
      <c r="N701" s="90" t="s">
        <v>34</v>
      </c>
      <c r="O701" s="85"/>
      <c r="P701" s="82"/>
    </row>
    <row r="702" ht="33" hidden="1" spans="1:16">
      <c r="A702" s="83">
        <v>701</v>
      </c>
      <c r="B702" s="98">
        <v>46141</v>
      </c>
      <c r="C702" s="85" t="s">
        <v>68</v>
      </c>
      <c r="D702" s="85" t="s">
        <v>40</v>
      </c>
      <c r="E702" s="85" t="s">
        <v>148</v>
      </c>
      <c r="F702" s="85" t="s">
        <v>28</v>
      </c>
      <c r="G702" s="97" t="s">
        <v>2289</v>
      </c>
      <c r="H702" s="85">
        <v>802026834</v>
      </c>
      <c r="I702" s="85"/>
      <c r="J702" s="88" t="s">
        <v>2290</v>
      </c>
      <c r="K702" s="92" t="s">
        <v>24</v>
      </c>
      <c r="L702" s="85"/>
      <c r="M702" s="88" t="s">
        <v>2291</v>
      </c>
      <c r="N702" s="90" t="s">
        <v>34</v>
      </c>
      <c r="O702" s="85"/>
      <c r="P702" s="82"/>
    </row>
    <row r="703" ht="33" hidden="1" spans="1:16">
      <c r="A703" s="83">
        <v>702</v>
      </c>
      <c r="B703" s="98">
        <v>46141</v>
      </c>
      <c r="C703" s="85" t="s">
        <v>49</v>
      </c>
      <c r="D703" s="85" t="s">
        <v>40</v>
      </c>
      <c r="E703" s="85" t="s">
        <v>41</v>
      </c>
      <c r="F703" s="85" t="s">
        <v>28</v>
      </c>
      <c r="G703" s="85" t="s">
        <v>2292</v>
      </c>
      <c r="H703" s="85" t="s">
        <v>2293</v>
      </c>
      <c r="I703" s="85"/>
      <c r="J703" s="88" t="s">
        <v>2279</v>
      </c>
      <c r="K703" s="93" t="s">
        <v>49</v>
      </c>
      <c r="L703" s="85"/>
      <c r="M703" s="88" t="s">
        <v>2294</v>
      </c>
      <c r="N703" s="90" t="s">
        <v>34</v>
      </c>
      <c r="O703" s="85"/>
      <c r="P703" s="82"/>
    </row>
    <row r="704" ht="49.5" hidden="1" spans="1:16">
      <c r="A704" s="83">
        <v>703</v>
      </c>
      <c r="B704" s="98">
        <v>46141</v>
      </c>
      <c r="C704" s="85" t="s">
        <v>49</v>
      </c>
      <c r="D704" s="85" t="s">
        <v>26</v>
      </c>
      <c r="E704" s="85" t="s">
        <v>35</v>
      </c>
      <c r="F704" s="85" t="s">
        <v>28</v>
      </c>
      <c r="G704" s="85" t="s">
        <v>2295</v>
      </c>
      <c r="H704" s="85" t="s">
        <v>2296</v>
      </c>
      <c r="I704" s="85"/>
      <c r="J704" s="88" t="s">
        <v>2279</v>
      </c>
      <c r="K704" s="93" t="s">
        <v>49</v>
      </c>
      <c r="L704" s="85"/>
      <c r="M704" s="88" t="s">
        <v>2297</v>
      </c>
      <c r="N704" s="90" t="s">
        <v>34</v>
      </c>
      <c r="O704" s="85"/>
      <c r="P704" s="82"/>
    </row>
    <row r="705" ht="33" hidden="1" spans="1:16">
      <c r="A705" s="83">
        <v>704</v>
      </c>
      <c r="B705" s="98">
        <v>46141</v>
      </c>
      <c r="C705" s="85" t="s">
        <v>25</v>
      </c>
      <c r="D705" s="85" t="s">
        <v>26</v>
      </c>
      <c r="E705" s="85" t="s">
        <v>27</v>
      </c>
      <c r="F705" s="85" t="s">
        <v>28</v>
      </c>
      <c r="G705" s="85" t="s">
        <v>2298</v>
      </c>
      <c r="H705" s="85">
        <v>269538665</v>
      </c>
      <c r="I705" s="85"/>
      <c r="J705" s="88" t="s">
        <v>2299</v>
      </c>
      <c r="K705" s="92" t="s">
        <v>24</v>
      </c>
      <c r="L705" s="85"/>
      <c r="M705" s="88" t="s">
        <v>2300</v>
      </c>
      <c r="N705" s="90" t="s">
        <v>34</v>
      </c>
      <c r="O705" s="85"/>
      <c r="P705" s="82"/>
    </row>
    <row r="706" ht="33" hidden="1" spans="1:16">
      <c r="A706" s="83">
        <v>705</v>
      </c>
      <c r="B706" s="98">
        <v>46141</v>
      </c>
      <c r="C706" s="85" t="s">
        <v>25</v>
      </c>
      <c r="D706" s="85" t="s">
        <v>26</v>
      </c>
      <c r="E706" s="85" t="s">
        <v>27</v>
      </c>
      <c r="F706" s="85" t="s">
        <v>28</v>
      </c>
      <c r="G706" s="85" t="s">
        <v>2301</v>
      </c>
      <c r="H706" s="85">
        <v>269538661</v>
      </c>
      <c r="I706" s="85"/>
      <c r="J706" s="88" t="s">
        <v>2299</v>
      </c>
      <c r="K706" s="92" t="s">
        <v>24</v>
      </c>
      <c r="L706" s="85"/>
      <c r="M706" s="88" t="s">
        <v>2300</v>
      </c>
      <c r="N706" s="90" t="s">
        <v>34</v>
      </c>
      <c r="O706" s="85"/>
      <c r="P706" s="82"/>
    </row>
    <row r="707" hidden="1" spans="1:16">
      <c r="A707" s="83">
        <v>706</v>
      </c>
      <c r="B707" s="98">
        <v>46142</v>
      </c>
      <c r="C707" s="85" t="s">
        <v>49</v>
      </c>
      <c r="D707" s="85" t="s">
        <v>153</v>
      </c>
      <c r="E707" s="85" t="s">
        <v>154</v>
      </c>
      <c r="F707" s="85" t="s">
        <v>28</v>
      </c>
      <c r="G707" s="85" t="s">
        <v>2302</v>
      </c>
      <c r="H707" s="85" t="s">
        <v>2303</v>
      </c>
      <c r="I707" s="85"/>
      <c r="J707" s="88" t="s">
        <v>2279</v>
      </c>
      <c r="K707" s="92" t="s">
        <v>49</v>
      </c>
      <c r="L707" s="88"/>
      <c r="M707" s="88" t="s">
        <v>2304</v>
      </c>
      <c r="N707" s="90" t="s">
        <v>34</v>
      </c>
      <c r="O707" s="85"/>
      <c r="P707" s="82"/>
    </row>
    <row r="708" hidden="1" spans="1:16">
      <c r="A708" s="83">
        <v>707</v>
      </c>
      <c r="B708" s="98">
        <v>46142</v>
      </c>
      <c r="C708" s="85" t="s">
        <v>68</v>
      </c>
      <c r="D708" s="85" t="s">
        <v>153</v>
      </c>
      <c r="E708" s="85" t="s">
        <v>154</v>
      </c>
      <c r="F708" s="85" t="s">
        <v>28</v>
      </c>
      <c r="G708" s="85" t="s">
        <v>2305</v>
      </c>
      <c r="H708" s="85" t="s">
        <v>2306</v>
      </c>
      <c r="I708" s="85"/>
      <c r="J708" s="88" t="s">
        <v>2307</v>
      </c>
      <c r="K708" s="93" t="s">
        <v>32</v>
      </c>
      <c r="L708" s="88"/>
      <c r="M708" s="88" t="s">
        <v>2308</v>
      </c>
      <c r="N708" s="90" t="s">
        <v>34</v>
      </c>
      <c r="O708" s="85"/>
      <c r="P708" s="82"/>
    </row>
    <row r="709" ht="49.5" hidden="1" spans="1:16">
      <c r="A709" s="83">
        <v>708</v>
      </c>
      <c r="B709" s="98">
        <v>46142</v>
      </c>
      <c r="C709" s="85" t="s">
        <v>49</v>
      </c>
      <c r="D709" s="85" t="s">
        <v>40</v>
      </c>
      <c r="E709" s="85" t="s">
        <v>41</v>
      </c>
      <c r="F709" s="85" t="s">
        <v>28</v>
      </c>
      <c r="G709" s="85" t="s">
        <v>2309</v>
      </c>
      <c r="H709" s="85" t="s">
        <v>2310</v>
      </c>
      <c r="I709" s="85"/>
      <c r="J709" s="88" t="s">
        <v>2279</v>
      </c>
      <c r="K709" s="92" t="s">
        <v>49</v>
      </c>
      <c r="L709" s="88"/>
      <c r="M709" s="88" t="s">
        <v>2311</v>
      </c>
      <c r="N709" s="90" t="s">
        <v>34</v>
      </c>
      <c r="O709" s="85"/>
      <c r="P709" s="82"/>
    </row>
    <row r="710" hidden="1" spans="1:16">
      <c r="A710" s="83">
        <v>709</v>
      </c>
      <c r="B710" s="98">
        <v>46142</v>
      </c>
      <c r="C710" s="85" t="s">
        <v>68</v>
      </c>
      <c r="D710" s="85" t="s">
        <v>26</v>
      </c>
      <c r="E710" s="85" t="s">
        <v>27</v>
      </c>
      <c r="F710" s="85" t="s">
        <v>28</v>
      </c>
      <c r="G710" s="85" t="s">
        <v>2312</v>
      </c>
      <c r="H710" s="85" t="s">
        <v>2313</v>
      </c>
      <c r="I710" s="85"/>
      <c r="J710" s="88" t="s">
        <v>2314</v>
      </c>
      <c r="K710" s="93" t="s">
        <v>32</v>
      </c>
      <c r="L710" s="88"/>
      <c r="M710" s="88" t="s">
        <v>2308</v>
      </c>
      <c r="N710" s="90" t="s">
        <v>34</v>
      </c>
      <c r="O710" s="85"/>
      <c r="P710" s="82"/>
    </row>
    <row r="711" ht="33" hidden="1" spans="1:16">
      <c r="A711" s="83">
        <v>710</v>
      </c>
      <c r="B711" s="98">
        <v>46142</v>
      </c>
      <c r="C711" s="85" t="s">
        <v>49</v>
      </c>
      <c r="D711" s="85" t="s">
        <v>317</v>
      </c>
      <c r="E711" s="85" t="s">
        <v>318</v>
      </c>
      <c r="F711" s="85" t="s">
        <v>28</v>
      </c>
      <c r="G711" s="85" t="s">
        <v>2315</v>
      </c>
      <c r="H711" s="85" t="s">
        <v>2316</v>
      </c>
      <c r="I711" s="85"/>
      <c r="J711" s="88" t="s">
        <v>2279</v>
      </c>
      <c r="K711" s="92" t="s">
        <v>49</v>
      </c>
      <c r="L711" s="88"/>
      <c r="M711" s="88" t="s">
        <v>2294</v>
      </c>
      <c r="N711" s="90" t="s">
        <v>34</v>
      </c>
      <c r="O711" s="85"/>
      <c r="P711" s="82"/>
    </row>
    <row r="712" hidden="1" spans="1:16">
      <c r="A712" s="83">
        <v>711</v>
      </c>
      <c r="B712" s="98">
        <v>46142</v>
      </c>
      <c r="C712" s="85" t="s">
        <v>68</v>
      </c>
      <c r="D712" s="85" t="s">
        <v>40</v>
      </c>
      <c r="E712" s="85" t="s">
        <v>41</v>
      </c>
      <c r="F712" s="85" t="s">
        <v>28</v>
      </c>
      <c r="G712" s="85" t="s">
        <v>2317</v>
      </c>
      <c r="H712" s="85" t="s">
        <v>2318</v>
      </c>
      <c r="I712" s="85"/>
      <c r="J712" s="88" t="s">
        <v>2319</v>
      </c>
      <c r="K712" s="92" t="s">
        <v>24</v>
      </c>
      <c r="L712" s="88"/>
      <c r="M712" s="88" t="s">
        <v>2320</v>
      </c>
      <c r="N712" s="90" t="s">
        <v>34</v>
      </c>
      <c r="O712" s="85" t="s">
        <v>500</v>
      </c>
      <c r="P712" s="82"/>
    </row>
    <row r="713" ht="33" hidden="1" spans="1:16">
      <c r="A713" s="83">
        <v>712</v>
      </c>
      <c r="B713" s="98">
        <v>46142</v>
      </c>
      <c r="C713" s="85" t="s">
        <v>49</v>
      </c>
      <c r="D713" s="85" t="s">
        <v>26</v>
      </c>
      <c r="E713" s="85" t="s">
        <v>27</v>
      </c>
      <c r="F713" s="85" t="s">
        <v>28</v>
      </c>
      <c r="G713" s="85" t="s">
        <v>2321</v>
      </c>
      <c r="H713" s="85" t="s">
        <v>2322</v>
      </c>
      <c r="I713" s="85"/>
      <c r="J713" s="88" t="s">
        <v>2323</v>
      </c>
      <c r="K713" s="92" t="s">
        <v>49</v>
      </c>
      <c r="L713" s="85"/>
      <c r="M713" s="88" t="s">
        <v>2324</v>
      </c>
      <c r="N713" s="90" t="s">
        <v>34</v>
      </c>
      <c r="O713" s="85"/>
      <c r="P713" s="82"/>
    </row>
    <row r="714" ht="181.5" hidden="1" spans="1:16">
      <c r="A714" s="83">
        <v>713</v>
      </c>
      <c r="B714" s="98">
        <v>46142</v>
      </c>
      <c r="C714" s="85" t="s">
        <v>68</v>
      </c>
      <c r="D714" s="85" t="s">
        <v>222</v>
      </c>
      <c r="E714" s="85" t="s">
        <v>223</v>
      </c>
      <c r="F714" s="85" t="s">
        <v>28</v>
      </c>
      <c r="G714" s="85" t="s">
        <v>2325</v>
      </c>
      <c r="H714" s="85" t="s">
        <v>2326</v>
      </c>
      <c r="I714" s="85"/>
      <c r="J714" s="85" t="s">
        <v>2327</v>
      </c>
      <c r="K714" s="92" t="s">
        <v>716</v>
      </c>
      <c r="L714" s="85"/>
      <c r="M714" s="88" t="s">
        <v>2328</v>
      </c>
      <c r="N714" s="90" t="s">
        <v>34</v>
      </c>
      <c r="O714" s="85"/>
      <c r="P714" s="82"/>
    </row>
    <row r="715" ht="132" hidden="1" spans="1:16">
      <c r="A715" s="83">
        <v>714</v>
      </c>
      <c r="B715" s="98">
        <v>46142</v>
      </c>
      <c r="C715" s="85" t="s">
        <v>25</v>
      </c>
      <c r="D715" s="85" t="s">
        <v>222</v>
      </c>
      <c r="E715" s="85" t="s">
        <v>223</v>
      </c>
      <c r="F715" s="85" t="s">
        <v>28</v>
      </c>
      <c r="G715" s="85" t="s">
        <v>2329</v>
      </c>
      <c r="H715" s="85" t="s">
        <v>2330</v>
      </c>
      <c r="I715" s="85"/>
      <c r="J715" s="85" t="s">
        <v>2331</v>
      </c>
      <c r="K715" s="92" t="s">
        <v>598</v>
      </c>
      <c r="L715" s="85"/>
      <c r="M715" s="99" t="s">
        <v>2332</v>
      </c>
      <c r="N715" s="90" t="s">
        <v>34</v>
      </c>
      <c r="O715" s="85"/>
      <c r="P715" s="82"/>
    </row>
    <row r="716" ht="33" hidden="1" spans="1:16">
      <c r="A716" s="83">
        <v>715</v>
      </c>
      <c r="B716" s="98">
        <v>46146</v>
      </c>
      <c r="C716" s="85" t="s">
        <v>68</v>
      </c>
      <c r="D716" s="85" t="s">
        <v>26</v>
      </c>
      <c r="E716" s="97" t="s">
        <v>27</v>
      </c>
      <c r="F716" s="85" t="s">
        <v>28</v>
      </c>
      <c r="G716" s="85" t="s">
        <v>2333</v>
      </c>
      <c r="H716" s="85" t="s">
        <v>2334</v>
      </c>
      <c r="I716" s="85"/>
      <c r="J716" s="85" t="s">
        <v>2335</v>
      </c>
      <c r="K716" s="92" t="s">
        <v>32</v>
      </c>
      <c r="L716" s="85"/>
      <c r="M716" s="88" t="s">
        <v>2336</v>
      </c>
      <c r="N716" s="90" t="s">
        <v>34</v>
      </c>
      <c r="O716" s="85"/>
      <c r="P716" s="82"/>
    </row>
    <row r="717" ht="33" hidden="1" spans="1:16">
      <c r="A717" s="83">
        <v>716</v>
      </c>
      <c r="B717" s="98">
        <v>46146</v>
      </c>
      <c r="C717" s="85" t="s">
        <v>68</v>
      </c>
      <c r="D717" s="85" t="s">
        <v>26</v>
      </c>
      <c r="E717" s="85" t="s">
        <v>27</v>
      </c>
      <c r="F717" s="85" t="s">
        <v>28</v>
      </c>
      <c r="G717" s="85" t="s">
        <v>2337</v>
      </c>
      <c r="H717" s="85" t="s">
        <v>2338</v>
      </c>
      <c r="I717" s="85"/>
      <c r="J717" s="85" t="s">
        <v>2339</v>
      </c>
      <c r="K717" s="92" t="s">
        <v>32</v>
      </c>
      <c r="L717" s="85"/>
      <c r="M717" s="88" t="s">
        <v>2336</v>
      </c>
      <c r="N717" s="90" t="s">
        <v>34</v>
      </c>
      <c r="O717" s="85"/>
      <c r="P717" s="82"/>
    </row>
    <row r="718" ht="33" hidden="1" spans="1:16">
      <c r="A718" s="83">
        <v>717</v>
      </c>
      <c r="B718" s="98">
        <v>46145</v>
      </c>
      <c r="C718" s="85" t="s">
        <v>68</v>
      </c>
      <c r="D718" s="85" t="s">
        <v>26</v>
      </c>
      <c r="E718" s="85" t="s">
        <v>27</v>
      </c>
      <c r="F718" s="85" t="s">
        <v>28</v>
      </c>
      <c r="G718" s="85" t="s">
        <v>2340</v>
      </c>
      <c r="H718" s="85" t="s">
        <v>2341</v>
      </c>
      <c r="I718" s="85"/>
      <c r="J718" s="85" t="s">
        <v>2342</v>
      </c>
      <c r="K718" s="92" t="s">
        <v>32</v>
      </c>
      <c r="L718" s="85"/>
      <c r="M718" s="88" t="s">
        <v>2343</v>
      </c>
      <c r="N718" s="90" t="s">
        <v>34</v>
      </c>
      <c r="O718" s="85"/>
      <c r="P718" s="82"/>
    </row>
    <row r="719" hidden="1" spans="1:16">
      <c r="A719" s="83">
        <v>718</v>
      </c>
      <c r="B719" s="98">
        <v>46145</v>
      </c>
      <c r="C719" s="85" t="s">
        <v>68</v>
      </c>
      <c r="D719" s="85" t="s">
        <v>40</v>
      </c>
      <c r="E719" s="85" t="s">
        <v>41</v>
      </c>
      <c r="F719" s="85" t="s">
        <v>28</v>
      </c>
      <c r="G719" s="85" t="s">
        <v>2344</v>
      </c>
      <c r="H719" s="85" t="s">
        <v>2345</v>
      </c>
      <c r="I719" s="85"/>
      <c r="J719" s="85" t="s">
        <v>2346</v>
      </c>
      <c r="K719" s="92" t="s">
        <v>24</v>
      </c>
      <c r="L719" s="85"/>
      <c r="M719" s="85" t="s">
        <v>2347</v>
      </c>
      <c r="N719" s="90" t="s">
        <v>34</v>
      </c>
      <c r="O719" s="85" t="s">
        <v>2348</v>
      </c>
      <c r="P719" s="82"/>
    </row>
    <row r="720" hidden="1" spans="1:16">
      <c r="A720" s="83">
        <v>719</v>
      </c>
      <c r="B720" s="98">
        <v>46145</v>
      </c>
      <c r="C720" s="85" t="s">
        <v>68</v>
      </c>
      <c r="D720" s="85" t="s">
        <v>26</v>
      </c>
      <c r="E720" s="85" t="s">
        <v>35</v>
      </c>
      <c r="F720" s="85" t="s">
        <v>28</v>
      </c>
      <c r="G720" s="85" t="s">
        <v>2349</v>
      </c>
      <c r="H720" s="85" t="s">
        <v>2350</v>
      </c>
      <c r="I720" s="85"/>
      <c r="J720" s="85" t="s">
        <v>2351</v>
      </c>
      <c r="K720" s="92" t="s">
        <v>32</v>
      </c>
      <c r="L720" s="85"/>
      <c r="M720" s="85" t="s">
        <v>2352</v>
      </c>
      <c r="N720" s="90" t="s">
        <v>34</v>
      </c>
      <c r="O720" s="85"/>
      <c r="P720" s="82"/>
    </row>
    <row r="721" hidden="1" spans="1:16">
      <c r="A721" s="83">
        <v>720</v>
      </c>
      <c r="B721" s="98">
        <v>46145</v>
      </c>
      <c r="C721" s="85" t="s">
        <v>68</v>
      </c>
      <c r="D721" s="85" t="s">
        <v>26</v>
      </c>
      <c r="E721" s="85" t="s">
        <v>35</v>
      </c>
      <c r="F721" s="85" t="s">
        <v>28</v>
      </c>
      <c r="G721" s="85" t="s">
        <v>2353</v>
      </c>
      <c r="H721" s="85" t="s">
        <v>2354</v>
      </c>
      <c r="I721" s="85"/>
      <c r="J721" s="85" t="s">
        <v>2351</v>
      </c>
      <c r="K721" s="92" t="s">
        <v>32</v>
      </c>
      <c r="L721" s="85"/>
      <c r="M721" s="85" t="s">
        <v>2352</v>
      </c>
      <c r="N721" s="90" t="s">
        <v>34</v>
      </c>
      <c r="O721" s="85"/>
      <c r="P721" s="82"/>
    </row>
    <row r="722" hidden="1" spans="1:16">
      <c r="A722" s="83">
        <v>721</v>
      </c>
      <c r="B722" s="98">
        <v>46145</v>
      </c>
      <c r="C722" s="85" t="s">
        <v>25</v>
      </c>
      <c r="D722" s="85" t="s">
        <v>40</v>
      </c>
      <c r="E722" s="85" t="s">
        <v>41</v>
      </c>
      <c r="F722" s="85" t="s">
        <v>28</v>
      </c>
      <c r="G722" s="85" t="s">
        <v>2355</v>
      </c>
      <c r="H722" s="85" t="s">
        <v>2356</v>
      </c>
      <c r="I722" s="85"/>
      <c r="J722" s="85" t="s">
        <v>2357</v>
      </c>
      <c r="K722" s="92" t="s">
        <v>24</v>
      </c>
      <c r="L722" s="85"/>
      <c r="M722" s="85" t="s">
        <v>2358</v>
      </c>
      <c r="N722" s="90" t="s">
        <v>34</v>
      </c>
      <c r="O722" s="85" t="s">
        <v>2359</v>
      </c>
      <c r="P722" s="82"/>
    </row>
    <row r="723" ht="33" hidden="1" spans="1:16">
      <c r="A723" s="83">
        <v>722</v>
      </c>
      <c r="B723" s="98">
        <v>46148</v>
      </c>
      <c r="C723" s="85" t="s">
        <v>68</v>
      </c>
      <c r="D723" s="85" t="s">
        <v>26</v>
      </c>
      <c r="E723" s="85" t="s">
        <v>27</v>
      </c>
      <c r="F723" s="85" t="s">
        <v>28</v>
      </c>
      <c r="G723" s="85" t="s">
        <v>2360</v>
      </c>
      <c r="H723" s="85" t="s">
        <v>2361</v>
      </c>
      <c r="I723" s="85"/>
      <c r="J723" s="85" t="s">
        <v>2362</v>
      </c>
      <c r="K723" s="92" t="s">
        <v>32</v>
      </c>
      <c r="L723" s="85"/>
      <c r="M723" s="88" t="s">
        <v>2363</v>
      </c>
      <c r="N723" s="90" t="s">
        <v>34</v>
      </c>
      <c r="O723" s="85"/>
      <c r="P723" s="82"/>
    </row>
    <row r="724" ht="49.5" hidden="1" spans="1:16">
      <c r="A724" s="83">
        <v>723</v>
      </c>
      <c r="B724" s="98">
        <v>46148</v>
      </c>
      <c r="C724" s="85" t="s">
        <v>49</v>
      </c>
      <c r="D724" s="85" t="s">
        <v>26</v>
      </c>
      <c r="E724" s="85" t="s">
        <v>35</v>
      </c>
      <c r="F724" s="85" t="s">
        <v>28</v>
      </c>
      <c r="G724" s="85" t="s">
        <v>2364</v>
      </c>
      <c r="H724" s="85" t="s">
        <v>2365</v>
      </c>
      <c r="I724" s="85"/>
      <c r="J724" s="85" t="s">
        <v>2366</v>
      </c>
      <c r="K724" s="92" t="s">
        <v>49</v>
      </c>
      <c r="L724" s="85"/>
      <c r="M724" s="88" t="s">
        <v>2367</v>
      </c>
      <c r="N724" s="90" t="s">
        <v>34</v>
      </c>
      <c r="O724" s="85"/>
      <c r="P724" s="82"/>
    </row>
    <row r="725" hidden="1" spans="1:16">
      <c r="A725" s="83">
        <v>724</v>
      </c>
      <c r="B725" s="98">
        <v>46148</v>
      </c>
      <c r="C725" s="85" t="s">
        <v>49</v>
      </c>
      <c r="D725" s="85" t="s">
        <v>153</v>
      </c>
      <c r="E725" s="85" t="s">
        <v>154</v>
      </c>
      <c r="F725" s="85" t="s">
        <v>28</v>
      </c>
      <c r="G725" s="85" t="s">
        <v>2368</v>
      </c>
      <c r="H725" s="85" t="s">
        <v>2369</v>
      </c>
      <c r="I725" s="85"/>
      <c r="J725" s="85" t="s">
        <v>2366</v>
      </c>
      <c r="K725" s="92" t="s">
        <v>49</v>
      </c>
      <c r="L725" s="85"/>
      <c r="M725" s="85" t="s">
        <v>2370</v>
      </c>
      <c r="N725" s="90" t="s">
        <v>34</v>
      </c>
      <c r="O725" s="85"/>
      <c r="P725" s="82"/>
    </row>
    <row r="726" hidden="1" spans="1:16">
      <c r="A726" s="83">
        <v>725</v>
      </c>
      <c r="B726" s="98">
        <v>46148</v>
      </c>
      <c r="C726" s="85" t="s">
        <v>49</v>
      </c>
      <c r="D726" s="85" t="s">
        <v>26</v>
      </c>
      <c r="E726" s="85" t="s">
        <v>35</v>
      </c>
      <c r="F726" s="85" t="s">
        <v>28</v>
      </c>
      <c r="G726" s="85" t="s">
        <v>2371</v>
      </c>
      <c r="H726" s="85" t="s">
        <v>2372</v>
      </c>
      <c r="I726" s="85"/>
      <c r="J726" s="85" t="s">
        <v>2366</v>
      </c>
      <c r="K726" s="92" t="s">
        <v>49</v>
      </c>
      <c r="L726" s="85"/>
      <c r="M726" s="85" t="s">
        <v>2373</v>
      </c>
      <c r="N726" s="90" t="s">
        <v>34</v>
      </c>
      <c r="O726" s="85"/>
      <c r="P726" s="82"/>
    </row>
    <row r="727" hidden="1" spans="1:16">
      <c r="A727" s="83">
        <v>726</v>
      </c>
      <c r="B727" s="98">
        <v>46148</v>
      </c>
      <c r="C727" s="85" t="s">
        <v>49</v>
      </c>
      <c r="D727" s="85" t="s">
        <v>153</v>
      </c>
      <c r="E727" s="85" t="s">
        <v>411</v>
      </c>
      <c r="F727" s="85" t="s">
        <v>28</v>
      </c>
      <c r="G727" s="85" t="s">
        <v>2374</v>
      </c>
      <c r="H727" s="85">
        <v>269542066</v>
      </c>
      <c r="I727" s="85"/>
      <c r="J727" s="85" t="s">
        <v>2375</v>
      </c>
      <c r="K727" s="92" t="s">
        <v>49</v>
      </c>
      <c r="L727" s="85"/>
      <c r="M727" s="85" t="s">
        <v>2376</v>
      </c>
      <c r="N727" s="90" t="s">
        <v>34</v>
      </c>
      <c r="O727" s="85"/>
      <c r="P727" s="82"/>
    </row>
    <row r="728" hidden="1" spans="1:16">
      <c r="A728" s="83">
        <v>727</v>
      </c>
      <c r="B728" s="98">
        <v>46148</v>
      </c>
      <c r="C728" s="85" t="s">
        <v>49</v>
      </c>
      <c r="D728" s="85" t="s">
        <v>26</v>
      </c>
      <c r="E728" s="85" t="s">
        <v>27</v>
      </c>
      <c r="F728" s="85" t="s">
        <v>28</v>
      </c>
      <c r="G728" s="85" t="s">
        <v>2377</v>
      </c>
      <c r="H728" s="85" t="s">
        <v>2378</v>
      </c>
      <c r="I728" s="85"/>
      <c r="J728" s="85" t="s">
        <v>2379</v>
      </c>
      <c r="K728" s="92" t="s">
        <v>49</v>
      </c>
      <c r="L728" s="85"/>
      <c r="M728" s="85" t="s">
        <v>2376</v>
      </c>
      <c r="N728" s="90" t="s">
        <v>34</v>
      </c>
      <c r="O728" s="85"/>
      <c r="P728" s="82"/>
    </row>
    <row r="729" ht="33" hidden="1" spans="1:16">
      <c r="A729" s="83">
        <v>728</v>
      </c>
      <c r="B729" s="98">
        <v>46149</v>
      </c>
      <c r="C729" s="85" t="s">
        <v>25</v>
      </c>
      <c r="D729" s="85" t="s">
        <v>26</v>
      </c>
      <c r="E729" s="85" t="s">
        <v>27</v>
      </c>
      <c r="F729" s="85" t="s">
        <v>28</v>
      </c>
      <c r="G729" s="85" t="s">
        <v>2380</v>
      </c>
      <c r="H729" s="88" t="s">
        <v>2381</v>
      </c>
      <c r="I729" s="85"/>
      <c r="J729" s="88" t="s">
        <v>2158</v>
      </c>
      <c r="K729" s="92" t="s">
        <v>92</v>
      </c>
      <c r="L729" s="85"/>
      <c r="M729" s="88" t="s">
        <v>2382</v>
      </c>
      <c r="N729" s="90" t="s">
        <v>34</v>
      </c>
      <c r="O729" s="85"/>
      <c r="P729" s="82"/>
    </row>
    <row r="730" hidden="1" spans="1:16">
      <c r="A730" s="83">
        <v>729</v>
      </c>
      <c r="B730" s="98">
        <v>46149</v>
      </c>
      <c r="C730" s="85" t="s">
        <v>68</v>
      </c>
      <c r="D730" s="85" t="s">
        <v>40</v>
      </c>
      <c r="E730" s="85" t="s">
        <v>41</v>
      </c>
      <c r="F730" s="85" t="s">
        <v>28</v>
      </c>
      <c r="G730" s="88" t="s">
        <v>2383</v>
      </c>
      <c r="H730" s="88">
        <v>285474447</v>
      </c>
      <c r="I730" s="85"/>
      <c r="J730" s="88" t="s">
        <v>2384</v>
      </c>
      <c r="K730" s="92" t="s">
        <v>24</v>
      </c>
      <c r="L730" s="85"/>
      <c r="M730" s="88" t="s">
        <v>2385</v>
      </c>
      <c r="N730" s="90" t="s">
        <v>34</v>
      </c>
      <c r="O730" s="85" t="s">
        <v>106</v>
      </c>
      <c r="P730" s="82"/>
    </row>
    <row r="731" hidden="1" spans="1:16">
      <c r="A731" s="83">
        <v>730</v>
      </c>
      <c r="B731" s="98">
        <v>46149</v>
      </c>
      <c r="C731" s="85" t="s">
        <v>68</v>
      </c>
      <c r="D731" s="85" t="s">
        <v>40</v>
      </c>
      <c r="E731" s="85" t="s">
        <v>41</v>
      </c>
      <c r="F731" s="85" t="s">
        <v>28</v>
      </c>
      <c r="G731" s="85" t="s">
        <v>2386</v>
      </c>
      <c r="H731" s="88" t="s">
        <v>2387</v>
      </c>
      <c r="I731" s="85"/>
      <c r="J731" s="88" t="s">
        <v>2384</v>
      </c>
      <c r="K731" s="92" t="s">
        <v>24</v>
      </c>
      <c r="L731" s="85"/>
      <c r="M731" s="88" t="s">
        <v>2385</v>
      </c>
      <c r="N731" s="90" t="s">
        <v>34</v>
      </c>
      <c r="O731" s="85" t="s">
        <v>106</v>
      </c>
      <c r="P731" s="82"/>
    </row>
    <row r="732" hidden="1" spans="1:16">
      <c r="A732" s="83">
        <v>731</v>
      </c>
      <c r="B732" s="98">
        <v>46149</v>
      </c>
      <c r="C732" s="85" t="s">
        <v>68</v>
      </c>
      <c r="D732" s="85" t="s">
        <v>40</v>
      </c>
      <c r="E732" s="85" t="s">
        <v>41</v>
      </c>
      <c r="F732" s="85" t="s">
        <v>28</v>
      </c>
      <c r="G732" s="85" t="s">
        <v>2388</v>
      </c>
      <c r="H732" s="88">
        <v>285474446</v>
      </c>
      <c r="I732" s="85"/>
      <c r="J732" s="88" t="s">
        <v>2384</v>
      </c>
      <c r="K732" s="92" t="s">
        <v>24</v>
      </c>
      <c r="L732" s="85"/>
      <c r="M732" s="88" t="s">
        <v>2385</v>
      </c>
      <c r="N732" s="90" t="s">
        <v>34</v>
      </c>
      <c r="O732" s="85" t="s">
        <v>106</v>
      </c>
      <c r="P732" s="82"/>
    </row>
    <row r="733" hidden="1" spans="1:16">
      <c r="A733" s="83">
        <v>732</v>
      </c>
      <c r="B733" s="98">
        <v>46149</v>
      </c>
      <c r="C733" s="85" t="s">
        <v>68</v>
      </c>
      <c r="D733" s="85" t="s">
        <v>40</v>
      </c>
      <c r="E733" s="85" t="s">
        <v>41</v>
      </c>
      <c r="F733" s="85" t="s">
        <v>28</v>
      </c>
      <c r="G733" s="85" t="s">
        <v>2389</v>
      </c>
      <c r="H733" s="88">
        <v>285474478</v>
      </c>
      <c r="I733" s="85"/>
      <c r="J733" s="88" t="s">
        <v>2384</v>
      </c>
      <c r="K733" s="92" t="s">
        <v>24</v>
      </c>
      <c r="L733" s="85"/>
      <c r="M733" s="88" t="s">
        <v>2385</v>
      </c>
      <c r="N733" s="90" t="s">
        <v>34</v>
      </c>
      <c r="O733" s="85" t="s">
        <v>106</v>
      </c>
      <c r="P733" s="82"/>
    </row>
    <row r="734" hidden="1" spans="1:16">
      <c r="A734" s="83">
        <v>733</v>
      </c>
      <c r="B734" s="98">
        <v>46149</v>
      </c>
      <c r="C734" s="85" t="s">
        <v>68</v>
      </c>
      <c r="D734" s="85" t="s">
        <v>40</v>
      </c>
      <c r="E734" s="85" t="s">
        <v>41</v>
      </c>
      <c r="F734" s="85" t="s">
        <v>28</v>
      </c>
      <c r="G734" s="85" t="s">
        <v>2390</v>
      </c>
      <c r="H734" s="88">
        <v>285474483</v>
      </c>
      <c r="I734" s="85"/>
      <c r="J734" s="88" t="s">
        <v>2384</v>
      </c>
      <c r="K734" s="92" t="s">
        <v>24</v>
      </c>
      <c r="L734" s="85"/>
      <c r="M734" s="88" t="s">
        <v>2385</v>
      </c>
      <c r="N734" s="90" t="s">
        <v>34</v>
      </c>
      <c r="O734" s="85" t="s">
        <v>106</v>
      </c>
      <c r="P734" s="82"/>
    </row>
    <row r="735" hidden="1" spans="1:16">
      <c r="A735" s="83">
        <v>734</v>
      </c>
      <c r="B735" s="98">
        <v>46149</v>
      </c>
      <c r="C735" s="85" t="s">
        <v>68</v>
      </c>
      <c r="D735" s="85" t="s">
        <v>40</v>
      </c>
      <c r="E735" s="85" t="s">
        <v>41</v>
      </c>
      <c r="F735" s="85" t="s">
        <v>28</v>
      </c>
      <c r="G735" s="85" t="s">
        <v>2391</v>
      </c>
      <c r="H735" s="88" t="s">
        <v>2392</v>
      </c>
      <c r="I735" s="85"/>
      <c r="J735" s="88" t="s">
        <v>2384</v>
      </c>
      <c r="K735" s="92" t="s">
        <v>24</v>
      </c>
      <c r="L735" s="85"/>
      <c r="M735" s="88" t="s">
        <v>2385</v>
      </c>
      <c r="N735" s="90" t="s">
        <v>34</v>
      </c>
      <c r="O735" s="85" t="s">
        <v>106</v>
      </c>
      <c r="P735" s="82"/>
    </row>
    <row r="736" hidden="1" spans="1:16">
      <c r="A736" s="83">
        <v>735</v>
      </c>
      <c r="B736" s="98">
        <v>46149</v>
      </c>
      <c r="C736" s="85" t="s">
        <v>68</v>
      </c>
      <c r="D736" s="85" t="s">
        <v>40</v>
      </c>
      <c r="E736" s="85" t="s">
        <v>41</v>
      </c>
      <c r="F736" s="85" t="s">
        <v>28</v>
      </c>
      <c r="G736" s="85" t="s">
        <v>2393</v>
      </c>
      <c r="H736" s="88" t="s">
        <v>2394</v>
      </c>
      <c r="I736" s="85"/>
      <c r="J736" s="88" t="s">
        <v>2384</v>
      </c>
      <c r="K736" s="92" t="s">
        <v>24</v>
      </c>
      <c r="L736" s="85"/>
      <c r="M736" s="88" t="s">
        <v>2385</v>
      </c>
      <c r="N736" s="90" t="s">
        <v>34</v>
      </c>
      <c r="O736" s="85" t="s">
        <v>106</v>
      </c>
      <c r="P736" s="82"/>
    </row>
    <row r="737" hidden="1" spans="1:16">
      <c r="A737" s="83">
        <v>736</v>
      </c>
      <c r="B737" s="98">
        <v>46149</v>
      </c>
      <c r="C737" s="85" t="s">
        <v>68</v>
      </c>
      <c r="D737" s="85" t="s">
        <v>40</v>
      </c>
      <c r="E737" s="85" t="s">
        <v>41</v>
      </c>
      <c r="F737" s="85" t="s">
        <v>28</v>
      </c>
      <c r="G737" s="85" t="s">
        <v>2395</v>
      </c>
      <c r="H737" s="88" t="s">
        <v>2396</v>
      </c>
      <c r="I737" s="85"/>
      <c r="J737" s="88" t="s">
        <v>2384</v>
      </c>
      <c r="K737" s="92" t="s">
        <v>24</v>
      </c>
      <c r="L737" s="85"/>
      <c r="M737" s="88" t="s">
        <v>2385</v>
      </c>
      <c r="N737" s="90" t="s">
        <v>34</v>
      </c>
      <c r="O737" s="85" t="s">
        <v>106</v>
      </c>
      <c r="P737" s="82"/>
    </row>
    <row r="738" hidden="1" spans="1:16">
      <c r="A738" s="83">
        <v>737</v>
      </c>
      <c r="B738" s="98">
        <v>46149</v>
      </c>
      <c r="C738" s="85" t="s">
        <v>68</v>
      </c>
      <c r="D738" s="85" t="s">
        <v>40</v>
      </c>
      <c r="E738" s="85" t="s">
        <v>41</v>
      </c>
      <c r="F738" s="85" t="s">
        <v>28</v>
      </c>
      <c r="G738" s="85" t="s">
        <v>2397</v>
      </c>
      <c r="H738" s="88">
        <v>256264550</v>
      </c>
      <c r="I738" s="85"/>
      <c r="J738" s="88" t="s">
        <v>2398</v>
      </c>
      <c r="K738" s="92" t="s">
        <v>24</v>
      </c>
      <c r="L738" s="85"/>
      <c r="M738" s="88" t="s">
        <v>2385</v>
      </c>
      <c r="N738" s="90" t="s">
        <v>34</v>
      </c>
      <c r="O738" s="85" t="s">
        <v>106</v>
      </c>
      <c r="P738" s="82"/>
    </row>
    <row r="739" hidden="1" spans="1:16">
      <c r="A739" s="83">
        <v>738</v>
      </c>
      <c r="B739" s="98">
        <v>46149</v>
      </c>
      <c r="C739" s="85" t="s">
        <v>68</v>
      </c>
      <c r="D739" s="85" t="s">
        <v>40</v>
      </c>
      <c r="E739" s="85" t="s">
        <v>41</v>
      </c>
      <c r="F739" s="85" t="s">
        <v>28</v>
      </c>
      <c r="G739" s="85" t="s">
        <v>2399</v>
      </c>
      <c r="H739" s="92">
        <v>285474411</v>
      </c>
      <c r="I739" s="85"/>
      <c r="J739" s="88" t="s">
        <v>2384</v>
      </c>
      <c r="K739" s="92" t="s">
        <v>24</v>
      </c>
      <c r="L739" s="85"/>
      <c r="M739" s="88" t="s">
        <v>2385</v>
      </c>
      <c r="N739" s="90" t="s">
        <v>34</v>
      </c>
      <c r="O739" s="85" t="s">
        <v>106</v>
      </c>
      <c r="P739" s="82"/>
    </row>
    <row r="740" hidden="1" spans="1:16">
      <c r="A740" s="83">
        <v>739</v>
      </c>
      <c r="B740" s="98">
        <v>46149</v>
      </c>
      <c r="C740" s="85" t="s">
        <v>68</v>
      </c>
      <c r="D740" s="85" t="s">
        <v>40</v>
      </c>
      <c r="E740" s="85" t="s">
        <v>41</v>
      </c>
      <c r="F740" s="85" t="s">
        <v>28</v>
      </c>
      <c r="G740" s="85" t="s">
        <v>2400</v>
      </c>
      <c r="H740" s="88">
        <v>285474413</v>
      </c>
      <c r="I740" s="85"/>
      <c r="J740" s="88" t="s">
        <v>2384</v>
      </c>
      <c r="K740" s="92" t="s">
        <v>24</v>
      </c>
      <c r="L740" s="85"/>
      <c r="M740" s="88" t="s">
        <v>2385</v>
      </c>
      <c r="N740" s="90" t="s">
        <v>34</v>
      </c>
      <c r="O740" s="85" t="s">
        <v>106</v>
      </c>
      <c r="P740" s="82"/>
    </row>
    <row r="741" hidden="1" spans="1:16">
      <c r="A741" s="83">
        <v>740</v>
      </c>
      <c r="B741" s="98">
        <v>46149</v>
      </c>
      <c r="C741" s="85" t="s">
        <v>68</v>
      </c>
      <c r="D741" s="85" t="s">
        <v>40</v>
      </c>
      <c r="E741" s="85" t="s">
        <v>41</v>
      </c>
      <c r="F741" s="85" t="s">
        <v>28</v>
      </c>
      <c r="G741" s="85" t="s">
        <v>2401</v>
      </c>
      <c r="H741" s="88">
        <v>285474414</v>
      </c>
      <c r="I741" s="85"/>
      <c r="J741" s="88" t="s">
        <v>2384</v>
      </c>
      <c r="K741" s="92" t="s">
        <v>24</v>
      </c>
      <c r="L741" s="85"/>
      <c r="M741" s="88" t="s">
        <v>2385</v>
      </c>
      <c r="N741" s="90" t="s">
        <v>34</v>
      </c>
      <c r="O741" s="85" t="s">
        <v>106</v>
      </c>
      <c r="P741" s="82"/>
    </row>
    <row r="742" hidden="1" spans="1:16">
      <c r="A742" s="83">
        <v>741</v>
      </c>
      <c r="B742" s="98">
        <v>46149</v>
      </c>
      <c r="C742" s="85" t="s">
        <v>68</v>
      </c>
      <c r="D742" s="85" t="s">
        <v>40</v>
      </c>
      <c r="E742" s="85" t="s">
        <v>41</v>
      </c>
      <c r="F742" s="85" t="s">
        <v>28</v>
      </c>
      <c r="G742" s="85" t="s">
        <v>2402</v>
      </c>
      <c r="H742" s="88">
        <v>285474418</v>
      </c>
      <c r="I742" s="85"/>
      <c r="J742" s="88" t="s">
        <v>2384</v>
      </c>
      <c r="K742" s="92" t="s">
        <v>24</v>
      </c>
      <c r="L742" s="85"/>
      <c r="M742" s="88" t="s">
        <v>2385</v>
      </c>
      <c r="N742" s="90" t="s">
        <v>34</v>
      </c>
      <c r="O742" s="85" t="s">
        <v>106</v>
      </c>
      <c r="P742" s="82"/>
    </row>
    <row r="743" hidden="1" spans="1:16">
      <c r="A743" s="83">
        <v>742</v>
      </c>
      <c r="B743" s="98">
        <v>46149</v>
      </c>
      <c r="C743" s="85" t="s">
        <v>68</v>
      </c>
      <c r="D743" s="85" t="s">
        <v>40</v>
      </c>
      <c r="E743" s="85" t="s">
        <v>41</v>
      </c>
      <c r="F743" s="85" t="s">
        <v>28</v>
      </c>
      <c r="G743" s="85" t="s">
        <v>2403</v>
      </c>
      <c r="H743" s="88">
        <v>285474435</v>
      </c>
      <c r="I743" s="85"/>
      <c r="J743" s="88" t="s">
        <v>2384</v>
      </c>
      <c r="K743" s="92" t="s">
        <v>24</v>
      </c>
      <c r="L743" s="85"/>
      <c r="M743" s="88" t="s">
        <v>2385</v>
      </c>
      <c r="N743" s="90" t="s">
        <v>34</v>
      </c>
      <c r="O743" s="85" t="s">
        <v>106</v>
      </c>
      <c r="P743" s="82"/>
    </row>
    <row r="744" hidden="1" spans="1:16">
      <c r="A744" s="83">
        <v>743</v>
      </c>
      <c r="B744" s="98">
        <v>46149</v>
      </c>
      <c r="C744" s="85" t="s">
        <v>68</v>
      </c>
      <c r="D744" s="85" t="s">
        <v>40</v>
      </c>
      <c r="E744" s="85" t="s">
        <v>41</v>
      </c>
      <c r="F744" s="85" t="s">
        <v>28</v>
      </c>
      <c r="G744" s="85" t="s">
        <v>2404</v>
      </c>
      <c r="H744" s="88">
        <v>285474443</v>
      </c>
      <c r="I744" s="85"/>
      <c r="J744" s="88" t="s">
        <v>2384</v>
      </c>
      <c r="K744" s="92" t="s">
        <v>24</v>
      </c>
      <c r="L744" s="85"/>
      <c r="M744" s="88" t="s">
        <v>2385</v>
      </c>
      <c r="N744" s="90" t="s">
        <v>34</v>
      </c>
      <c r="O744" s="85" t="s">
        <v>106</v>
      </c>
      <c r="P744" s="82"/>
    </row>
    <row r="745" hidden="1" spans="1:16">
      <c r="A745" s="83">
        <v>744</v>
      </c>
      <c r="B745" s="98">
        <v>46149</v>
      </c>
      <c r="C745" s="85" t="s">
        <v>49</v>
      </c>
      <c r="D745" s="85" t="s">
        <v>153</v>
      </c>
      <c r="E745" s="85" t="s">
        <v>154</v>
      </c>
      <c r="F745" s="85" t="s">
        <v>28</v>
      </c>
      <c r="G745" s="85" t="s">
        <v>2405</v>
      </c>
      <c r="H745" s="88" t="s">
        <v>2406</v>
      </c>
      <c r="I745" s="85"/>
      <c r="J745" s="85" t="s">
        <v>2407</v>
      </c>
      <c r="K745" s="92" t="s">
        <v>49</v>
      </c>
      <c r="L745" s="85"/>
      <c r="M745" s="85" t="s">
        <v>2373</v>
      </c>
      <c r="N745" s="90" t="s">
        <v>34</v>
      </c>
      <c r="O745" s="85"/>
      <c r="P745" s="82"/>
    </row>
    <row r="746" ht="66" hidden="1" spans="1:16">
      <c r="A746" s="83">
        <v>745</v>
      </c>
      <c r="B746" s="98">
        <v>46149</v>
      </c>
      <c r="C746" s="85" t="s">
        <v>25</v>
      </c>
      <c r="D746" s="85" t="s">
        <v>222</v>
      </c>
      <c r="E746" s="85" t="s">
        <v>223</v>
      </c>
      <c r="F746" s="85"/>
      <c r="G746" s="85" t="s">
        <v>2408</v>
      </c>
      <c r="H746" s="88" t="s">
        <v>2409</v>
      </c>
      <c r="I746" s="85"/>
      <c r="J746" s="88" t="s">
        <v>2410</v>
      </c>
      <c r="K746" s="92" t="s">
        <v>92</v>
      </c>
      <c r="L746" s="85"/>
      <c r="M746" s="88" t="s">
        <v>2411</v>
      </c>
      <c r="N746" s="90" t="s">
        <v>34</v>
      </c>
      <c r="O746" s="85"/>
      <c r="P746" s="82"/>
    </row>
    <row r="747" ht="66" hidden="1" spans="1:16">
      <c r="A747" s="83">
        <v>746</v>
      </c>
      <c r="B747" s="98">
        <v>46149</v>
      </c>
      <c r="C747" s="85" t="s">
        <v>68</v>
      </c>
      <c r="D747" s="85" t="s">
        <v>317</v>
      </c>
      <c r="E747" s="85" t="s">
        <v>2223</v>
      </c>
      <c r="F747" s="88" t="s">
        <v>28</v>
      </c>
      <c r="G747" s="85" t="s">
        <v>2412</v>
      </c>
      <c r="H747" s="88" t="s">
        <v>2413</v>
      </c>
      <c r="I747" s="85"/>
      <c r="J747" s="88" t="s">
        <v>2414</v>
      </c>
      <c r="K747" s="92" t="s">
        <v>716</v>
      </c>
      <c r="L747" s="85"/>
      <c r="M747" s="88" t="s">
        <v>2415</v>
      </c>
      <c r="N747" s="90" t="s">
        <v>34</v>
      </c>
      <c r="O747" s="85"/>
      <c r="P747" s="82"/>
    </row>
    <row r="748" hidden="1" spans="1:16">
      <c r="A748" s="83">
        <v>747</v>
      </c>
      <c r="B748" s="98">
        <v>46150</v>
      </c>
      <c r="C748" s="85" t="s">
        <v>68</v>
      </c>
      <c r="D748" s="85" t="s">
        <v>26</v>
      </c>
      <c r="E748" s="85" t="s">
        <v>27</v>
      </c>
      <c r="F748" s="88" t="s">
        <v>28</v>
      </c>
      <c r="G748" s="88" t="s">
        <v>2416</v>
      </c>
      <c r="H748" s="88" t="s">
        <v>2417</v>
      </c>
      <c r="I748" s="88"/>
      <c r="J748" s="88" t="s">
        <v>2418</v>
      </c>
      <c r="K748" s="92" t="s">
        <v>32</v>
      </c>
      <c r="L748" s="85"/>
      <c r="M748" s="85" t="s">
        <v>2419</v>
      </c>
      <c r="N748" s="90" t="s">
        <v>34</v>
      </c>
      <c r="O748" s="85"/>
      <c r="P748" s="82"/>
    </row>
    <row r="749" hidden="1" spans="1:16">
      <c r="A749" s="83">
        <v>748</v>
      </c>
      <c r="B749" s="98">
        <v>46150</v>
      </c>
      <c r="C749" s="85" t="s">
        <v>68</v>
      </c>
      <c r="D749" s="85" t="s">
        <v>40</v>
      </c>
      <c r="E749" s="85" t="s">
        <v>41</v>
      </c>
      <c r="F749" s="88" t="s">
        <v>28</v>
      </c>
      <c r="G749" s="88" t="s">
        <v>2420</v>
      </c>
      <c r="H749" s="88" t="s">
        <v>2421</v>
      </c>
      <c r="I749" s="88"/>
      <c r="J749" s="88" t="s">
        <v>2422</v>
      </c>
      <c r="K749" s="92" t="s">
        <v>32</v>
      </c>
      <c r="L749" s="85"/>
      <c r="M749" s="85" t="s">
        <v>2423</v>
      </c>
      <c r="N749" s="90" t="s">
        <v>34</v>
      </c>
      <c r="O749" s="85"/>
      <c r="P749" s="82"/>
    </row>
    <row r="750" ht="49.5" hidden="1" spans="1:16">
      <c r="A750" s="83">
        <v>749</v>
      </c>
      <c r="B750" s="98">
        <v>46150</v>
      </c>
      <c r="C750" s="85" t="s">
        <v>25</v>
      </c>
      <c r="D750" s="85" t="s">
        <v>489</v>
      </c>
      <c r="E750" s="85" t="s">
        <v>490</v>
      </c>
      <c r="F750" s="85" t="s">
        <v>521</v>
      </c>
      <c r="G750" s="85" t="s">
        <v>2424</v>
      </c>
      <c r="H750" s="88" t="s">
        <v>2425</v>
      </c>
      <c r="I750" s="85"/>
      <c r="J750" s="88" t="s">
        <v>2426</v>
      </c>
      <c r="K750" s="92" t="s">
        <v>494</v>
      </c>
      <c r="L750" s="85"/>
      <c r="M750" s="88" t="s">
        <v>2427</v>
      </c>
      <c r="N750" s="90" t="s">
        <v>34</v>
      </c>
      <c r="O750" s="85"/>
      <c r="P750" s="82"/>
    </row>
    <row r="751" ht="49.5" hidden="1" spans="1:16">
      <c r="A751" s="83">
        <v>750</v>
      </c>
      <c r="B751" s="98">
        <v>46150</v>
      </c>
      <c r="C751" s="85" t="s">
        <v>25</v>
      </c>
      <c r="D751" s="85" t="s">
        <v>489</v>
      </c>
      <c r="E751" s="85" t="s">
        <v>490</v>
      </c>
      <c r="F751" s="85" t="s">
        <v>521</v>
      </c>
      <c r="G751" s="85" t="s">
        <v>2428</v>
      </c>
      <c r="H751" s="88" t="s">
        <v>2429</v>
      </c>
      <c r="I751" s="85"/>
      <c r="J751" s="88" t="s">
        <v>2430</v>
      </c>
      <c r="K751" s="92" t="s">
        <v>494</v>
      </c>
      <c r="L751" s="85"/>
      <c r="M751" s="88" t="s">
        <v>2427</v>
      </c>
      <c r="N751" s="90" t="s">
        <v>34</v>
      </c>
      <c r="O751" s="85"/>
      <c r="P751" s="82"/>
    </row>
    <row r="752" ht="49.5" hidden="1" spans="1:16">
      <c r="A752" s="83">
        <v>751</v>
      </c>
      <c r="B752" s="98">
        <v>46150</v>
      </c>
      <c r="C752" s="85" t="s">
        <v>25</v>
      </c>
      <c r="D752" s="85" t="s">
        <v>489</v>
      </c>
      <c r="E752" s="85" t="s">
        <v>490</v>
      </c>
      <c r="F752" s="85" t="s">
        <v>521</v>
      </c>
      <c r="G752" s="85" t="s">
        <v>2431</v>
      </c>
      <c r="H752" s="88" t="s">
        <v>2432</v>
      </c>
      <c r="I752" s="85"/>
      <c r="J752" s="88" t="s">
        <v>2433</v>
      </c>
      <c r="K752" s="92" t="s">
        <v>494</v>
      </c>
      <c r="L752" s="85"/>
      <c r="M752" s="88" t="s">
        <v>2427</v>
      </c>
      <c r="N752" s="90" t="s">
        <v>34</v>
      </c>
      <c r="O752" s="85"/>
      <c r="P752" s="82" t="s">
        <v>2434</v>
      </c>
    </row>
    <row r="753" hidden="1" spans="1:16">
      <c r="A753" s="83">
        <v>752</v>
      </c>
      <c r="B753" s="98">
        <v>46151</v>
      </c>
      <c r="C753" s="85" t="s">
        <v>68</v>
      </c>
      <c r="D753" s="85" t="s">
        <v>26</v>
      </c>
      <c r="E753" s="85" t="s">
        <v>27</v>
      </c>
      <c r="F753" s="88" t="s">
        <v>28</v>
      </c>
      <c r="G753" s="88" t="s">
        <v>2435</v>
      </c>
      <c r="H753" s="88">
        <v>264479044</v>
      </c>
      <c r="I753" s="85"/>
      <c r="J753" s="88" t="s">
        <v>2436</v>
      </c>
      <c r="K753" s="92" t="s">
        <v>32</v>
      </c>
      <c r="L753" s="88"/>
      <c r="M753" s="88" t="s">
        <v>2437</v>
      </c>
      <c r="N753" s="90" t="s">
        <v>34</v>
      </c>
      <c r="O753" s="85"/>
      <c r="P753" s="82"/>
    </row>
    <row r="754" hidden="1" spans="1:16">
      <c r="A754" s="83">
        <v>753</v>
      </c>
      <c r="B754" s="98">
        <v>46151</v>
      </c>
      <c r="C754" s="85" t="s">
        <v>68</v>
      </c>
      <c r="D754" s="85" t="s">
        <v>26</v>
      </c>
      <c r="E754" s="85" t="s">
        <v>27</v>
      </c>
      <c r="F754" s="88" t="s">
        <v>28</v>
      </c>
      <c r="G754" s="88" t="s">
        <v>2438</v>
      </c>
      <c r="H754" s="88" t="s">
        <v>2439</v>
      </c>
      <c r="I754" s="85"/>
      <c r="J754" s="88" t="s">
        <v>2440</v>
      </c>
      <c r="K754" s="92" t="s">
        <v>92</v>
      </c>
      <c r="L754" s="88"/>
      <c r="M754" s="88" t="s">
        <v>2441</v>
      </c>
      <c r="N754" s="90" t="s">
        <v>34</v>
      </c>
      <c r="O754" s="85"/>
      <c r="P754" s="82"/>
    </row>
    <row r="755" hidden="1" spans="1:16">
      <c r="A755" s="83">
        <v>754</v>
      </c>
      <c r="B755" s="98">
        <v>46153</v>
      </c>
      <c r="C755" s="85" t="s">
        <v>68</v>
      </c>
      <c r="D755" s="85" t="s">
        <v>26</v>
      </c>
      <c r="E755" s="85" t="s">
        <v>27</v>
      </c>
      <c r="F755" s="88" t="s">
        <v>28</v>
      </c>
      <c r="G755" s="85" t="s">
        <v>2442</v>
      </c>
      <c r="H755" s="88" t="s">
        <v>2443</v>
      </c>
      <c r="I755" s="85"/>
      <c r="J755" s="88" t="s">
        <v>2444</v>
      </c>
      <c r="K755" s="92" t="s">
        <v>32</v>
      </c>
      <c r="L755" s="85"/>
      <c r="M755" s="85" t="s">
        <v>2445</v>
      </c>
      <c r="N755" s="90" t="s">
        <v>34</v>
      </c>
      <c r="O755" s="85"/>
      <c r="P755" s="82"/>
    </row>
    <row r="756" hidden="1" spans="1:16">
      <c r="A756" s="83">
        <v>755</v>
      </c>
      <c r="B756" s="98">
        <v>46153</v>
      </c>
      <c r="C756" s="85" t="s">
        <v>68</v>
      </c>
      <c r="D756" s="85" t="s">
        <v>26</v>
      </c>
      <c r="E756" s="85" t="s">
        <v>27</v>
      </c>
      <c r="F756" s="88" t="s">
        <v>28</v>
      </c>
      <c r="G756" s="85" t="s">
        <v>2446</v>
      </c>
      <c r="H756" s="88" t="s">
        <v>2447</v>
      </c>
      <c r="I756" s="85"/>
      <c r="J756" s="88" t="s">
        <v>2448</v>
      </c>
      <c r="K756" s="92" t="s">
        <v>32</v>
      </c>
      <c r="L756" s="85"/>
      <c r="M756" s="85" t="s">
        <v>2445</v>
      </c>
      <c r="N756" s="90" t="s">
        <v>34</v>
      </c>
      <c r="O756" s="85"/>
      <c r="P756" s="82"/>
    </row>
    <row r="757" hidden="1" spans="1:16">
      <c r="A757" s="83">
        <v>756</v>
      </c>
      <c r="B757" s="98">
        <v>46153</v>
      </c>
      <c r="C757" s="85" t="s">
        <v>49</v>
      </c>
      <c r="D757" s="85" t="s">
        <v>40</v>
      </c>
      <c r="E757" s="85" t="s">
        <v>41</v>
      </c>
      <c r="F757" s="88" t="s">
        <v>28</v>
      </c>
      <c r="G757" s="85" t="s">
        <v>2449</v>
      </c>
      <c r="H757" s="88" t="s">
        <v>2450</v>
      </c>
      <c r="I757" s="85"/>
      <c r="J757" s="88" t="s">
        <v>2451</v>
      </c>
      <c r="K757" s="92" t="s">
        <v>49</v>
      </c>
      <c r="L757" s="85"/>
      <c r="M757" s="88" t="s">
        <v>2441</v>
      </c>
      <c r="N757" s="90" t="s">
        <v>34</v>
      </c>
      <c r="O757" s="85"/>
      <c r="P757" s="82"/>
    </row>
    <row r="758" ht="33" hidden="1" spans="1:16">
      <c r="A758" s="83">
        <v>757</v>
      </c>
      <c r="B758" s="98">
        <v>46153</v>
      </c>
      <c r="C758" s="85" t="s">
        <v>25</v>
      </c>
      <c r="D758" s="85" t="s">
        <v>40</v>
      </c>
      <c r="E758" s="85" t="s">
        <v>41</v>
      </c>
      <c r="F758" s="88" t="s">
        <v>28</v>
      </c>
      <c r="G758" s="85" t="s">
        <v>2452</v>
      </c>
      <c r="H758" s="88" t="s">
        <v>2453</v>
      </c>
      <c r="I758" s="85"/>
      <c r="J758" s="88" t="s">
        <v>2454</v>
      </c>
      <c r="K758" s="92" t="s">
        <v>24</v>
      </c>
      <c r="L758" s="85"/>
      <c r="M758" s="88" t="s">
        <v>2455</v>
      </c>
      <c r="N758" s="90" t="s">
        <v>34</v>
      </c>
      <c r="O758" s="85" t="s">
        <v>2456</v>
      </c>
      <c r="P758" s="82"/>
    </row>
    <row r="759" ht="33" hidden="1" spans="1:16">
      <c r="A759" s="83">
        <v>758</v>
      </c>
      <c r="B759" s="98">
        <v>46153</v>
      </c>
      <c r="C759" s="85" t="s">
        <v>25</v>
      </c>
      <c r="D759" s="85" t="s">
        <v>26</v>
      </c>
      <c r="E759" s="85" t="s">
        <v>35</v>
      </c>
      <c r="F759" s="88" t="s">
        <v>28</v>
      </c>
      <c r="G759" s="85" t="s">
        <v>2457</v>
      </c>
      <c r="H759" s="88" t="s">
        <v>2458</v>
      </c>
      <c r="I759" s="85"/>
      <c r="J759" s="88" t="s">
        <v>2459</v>
      </c>
      <c r="K759" s="92" t="s">
        <v>24</v>
      </c>
      <c r="L759" s="85"/>
      <c r="M759" s="88" t="s">
        <v>2455</v>
      </c>
      <c r="N759" s="90" t="s">
        <v>34</v>
      </c>
      <c r="O759" s="85" t="s">
        <v>2456</v>
      </c>
      <c r="P759" s="82"/>
    </row>
    <row r="760" ht="33" hidden="1" spans="1:16">
      <c r="A760" s="83">
        <v>759</v>
      </c>
      <c r="B760" s="98">
        <v>46153</v>
      </c>
      <c r="C760" s="85" t="s">
        <v>49</v>
      </c>
      <c r="D760" s="85" t="s">
        <v>153</v>
      </c>
      <c r="E760" s="85" t="s">
        <v>154</v>
      </c>
      <c r="F760" s="88" t="s">
        <v>28</v>
      </c>
      <c r="G760" s="85" t="s">
        <v>2460</v>
      </c>
      <c r="H760" s="88" t="s">
        <v>2461</v>
      </c>
      <c r="I760" s="85"/>
      <c r="J760" s="88" t="s">
        <v>2451</v>
      </c>
      <c r="K760" s="92" t="s">
        <v>49</v>
      </c>
      <c r="L760" s="85"/>
      <c r="M760" s="88" t="s">
        <v>2462</v>
      </c>
      <c r="N760" s="90" t="s">
        <v>34</v>
      </c>
      <c r="O760" s="85"/>
      <c r="P760" s="82"/>
    </row>
    <row r="761" hidden="1" spans="1:16">
      <c r="A761" s="83">
        <v>760</v>
      </c>
      <c r="B761" s="98">
        <v>46153</v>
      </c>
      <c r="C761" s="85" t="s">
        <v>49</v>
      </c>
      <c r="D761" s="85" t="s">
        <v>26</v>
      </c>
      <c r="E761" s="85" t="s">
        <v>27</v>
      </c>
      <c r="F761" s="88" t="s">
        <v>28</v>
      </c>
      <c r="G761" s="85" t="s">
        <v>2463</v>
      </c>
      <c r="H761" s="88" t="s">
        <v>2464</v>
      </c>
      <c r="I761" s="85"/>
      <c r="J761" s="88" t="s">
        <v>2451</v>
      </c>
      <c r="K761" s="92" t="s">
        <v>49</v>
      </c>
      <c r="L761" s="85"/>
      <c r="M761" s="88" t="s">
        <v>2441</v>
      </c>
      <c r="N761" s="90" t="s">
        <v>34</v>
      </c>
      <c r="O761" s="85"/>
      <c r="P761" s="82"/>
    </row>
    <row r="762" ht="82.5" hidden="1" spans="1:16">
      <c r="A762" s="83">
        <v>761</v>
      </c>
      <c r="B762" s="98">
        <v>46153</v>
      </c>
      <c r="C762" s="85" t="s">
        <v>68</v>
      </c>
      <c r="D762" s="85" t="s">
        <v>26</v>
      </c>
      <c r="E762" s="85" t="s">
        <v>27</v>
      </c>
      <c r="F762" s="88" t="s">
        <v>28</v>
      </c>
      <c r="G762" s="85" t="s">
        <v>2465</v>
      </c>
      <c r="H762" s="88" t="s">
        <v>2466</v>
      </c>
      <c r="I762" s="85"/>
      <c r="J762" s="88" t="s">
        <v>2467</v>
      </c>
      <c r="K762" s="92" t="s">
        <v>355</v>
      </c>
      <c r="L762" s="85"/>
      <c r="M762" s="88" t="s">
        <v>2468</v>
      </c>
      <c r="N762" s="90" t="s">
        <v>34</v>
      </c>
      <c r="O762" s="85"/>
      <c r="P762" s="82"/>
    </row>
    <row r="763" ht="33" hidden="1" spans="1:16">
      <c r="A763" s="83">
        <v>762</v>
      </c>
      <c r="B763" s="98">
        <v>46154</v>
      </c>
      <c r="C763" s="85" t="s">
        <v>49</v>
      </c>
      <c r="D763" s="85" t="s">
        <v>40</v>
      </c>
      <c r="E763" s="85" t="s">
        <v>41</v>
      </c>
      <c r="F763" s="88" t="s">
        <v>28</v>
      </c>
      <c r="G763" s="85" t="s">
        <v>2469</v>
      </c>
      <c r="H763" s="88" t="s">
        <v>2470</v>
      </c>
      <c r="I763" s="85"/>
      <c r="J763" s="88" t="s">
        <v>2471</v>
      </c>
      <c r="K763" s="92" t="s">
        <v>49</v>
      </c>
      <c r="L763" s="85"/>
      <c r="M763" s="88" t="s">
        <v>2472</v>
      </c>
      <c r="N763" s="90" t="s">
        <v>34</v>
      </c>
      <c r="O763" s="85"/>
      <c r="P763" s="82"/>
    </row>
    <row r="764" ht="66" hidden="1" spans="1:16">
      <c r="A764" s="83">
        <v>763</v>
      </c>
      <c r="B764" s="98">
        <v>46154</v>
      </c>
      <c r="C764" s="85" t="s">
        <v>25</v>
      </c>
      <c r="D764" s="85" t="s">
        <v>153</v>
      </c>
      <c r="E764" s="85" t="s">
        <v>154</v>
      </c>
      <c r="F764" s="88" t="s">
        <v>28</v>
      </c>
      <c r="G764" s="85" t="s">
        <v>2473</v>
      </c>
      <c r="H764" s="88" t="s">
        <v>2474</v>
      </c>
      <c r="I764" s="85"/>
      <c r="J764" s="88" t="s">
        <v>2475</v>
      </c>
      <c r="K764" s="92" t="s">
        <v>24</v>
      </c>
      <c r="L764" s="85"/>
      <c r="M764" s="88" t="s">
        <v>2476</v>
      </c>
      <c r="N764" s="90" t="s">
        <v>34</v>
      </c>
      <c r="O764" s="85"/>
      <c r="P764" s="82"/>
    </row>
    <row r="765" hidden="1" spans="1:16">
      <c r="A765" s="83">
        <v>764</v>
      </c>
      <c r="B765" s="98">
        <v>46155</v>
      </c>
      <c r="C765" s="85" t="s">
        <v>25</v>
      </c>
      <c r="D765" s="85" t="s">
        <v>107</v>
      </c>
      <c r="E765" s="85" t="s">
        <v>630</v>
      </c>
      <c r="F765" s="88" t="s">
        <v>28</v>
      </c>
      <c r="G765" s="85" t="s">
        <v>2477</v>
      </c>
      <c r="H765" s="88" t="s">
        <v>2478</v>
      </c>
      <c r="I765" s="85"/>
      <c r="J765" s="88" t="s">
        <v>2479</v>
      </c>
      <c r="K765" s="92" t="s">
        <v>24</v>
      </c>
      <c r="L765" s="85"/>
      <c r="M765" s="88" t="s">
        <v>2480</v>
      </c>
      <c r="N765" s="90" t="s">
        <v>34</v>
      </c>
      <c r="O765" s="85"/>
      <c r="P765" s="82"/>
    </row>
    <row r="766" hidden="1" spans="1:16">
      <c r="A766" s="83">
        <v>765</v>
      </c>
      <c r="B766" s="98">
        <v>46156</v>
      </c>
      <c r="C766" s="85" t="s">
        <v>68</v>
      </c>
      <c r="D766" s="85" t="s">
        <v>26</v>
      </c>
      <c r="E766" s="85" t="s">
        <v>27</v>
      </c>
      <c r="F766" s="88" t="s">
        <v>28</v>
      </c>
      <c r="G766" s="85" t="s">
        <v>2481</v>
      </c>
      <c r="H766" s="88" t="s">
        <v>2482</v>
      </c>
      <c r="I766" s="85"/>
      <c r="J766" s="88" t="s">
        <v>2483</v>
      </c>
      <c r="K766" s="92" t="s">
        <v>32</v>
      </c>
      <c r="L766" s="85"/>
      <c r="M766" s="85" t="s">
        <v>2484</v>
      </c>
      <c r="N766" s="90" t="s">
        <v>34</v>
      </c>
      <c r="O766" s="85"/>
      <c r="P766" s="82"/>
    </row>
    <row r="767" hidden="1" spans="1:16">
      <c r="A767" s="83">
        <v>766</v>
      </c>
      <c r="B767" s="98">
        <v>46156</v>
      </c>
      <c r="C767" s="85" t="s">
        <v>68</v>
      </c>
      <c r="D767" s="85" t="s">
        <v>26</v>
      </c>
      <c r="E767" s="85" t="s">
        <v>660</v>
      </c>
      <c r="F767" s="88" t="s">
        <v>28</v>
      </c>
      <c r="G767" s="85" t="s">
        <v>2485</v>
      </c>
      <c r="H767" s="88" t="s">
        <v>2486</v>
      </c>
      <c r="I767" s="85"/>
      <c r="J767" s="88" t="s">
        <v>2483</v>
      </c>
      <c r="K767" s="92" t="s">
        <v>32</v>
      </c>
      <c r="L767" s="85"/>
      <c r="M767" s="85" t="s">
        <v>2484</v>
      </c>
      <c r="N767" s="90" t="s">
        <v>34</v>
      </c>
      <c r="O767" s="85"/>
      <c r="P767" s="82"/>
    </row>
    <row r="768" hidden="1" spans="1:16">
      <c r="A768" s="83">
        <v>767</v>
      </c>
      <c r="B768" s="98">
        <v>46156</v>
      </c>
      <c r="C768" s="85" t="s">
        <v>68</v>
      </c>
      <c r="D768" s="85" t="s">
        <v>153</v>
      </c>
      <c r="E768" s="85" t="s">
        <v>411</v>
      </c>
      <c r="F768" s="88" t="s">
        <v>28</v>
      </c>
      <c r="G768" s="85" t="s">
        <v>2487</v>
      </c>
      <c r="H768" s="88" t="s">
        <v>2488</v>
      </c>
      <c r="I768" s="85"/>
      <c r="J768" s="88" t="s">
        <v>2489</v>
      </c>
      <c r="K768" s="92" t="s">
        <v>32</v>
      </c>
      <c r="L768" s="85"/>
      <c r="M768" s="85" t="s">
        <v>2484</v>
      </c>
      <c r="N768" s="90" t="s">
        <v>34</v>
      </c>
      <c r="O768" s="85"/>
      <c r="P768" s="82"/>
    </row>
    <row r="769" ht="33" hidden="1" spans="1:16">
      <c r="A769" s="83">
        <v>768</v>
      </c>
      <c r="B769" s="98">
        <v>46156</v>
      </c>
      <c r="C769" s="85" t="s">
        <v>49</v>
      </c>
      <c r="D769" s="85" t="s">
        <v>40</v>
      </c>
      <c r="E769" s="85" t="s">
        <v>41</v>
      </c>
      <c r="F769" s="88" t="s">
        <v>28</v>
      </c>
      <c r="G769" s="85" t="s">
        <v>2490</v>
      </c>
      <c r="H769" s="85">
        <v>285474547</v>
      </c>
      <c r="I769" s="85"/>
      <c r="J769" s="85" t="s">
        <v>2491</v>
      </c>
      <c r="K769" s="92" t="s">
        <v>49</v>
      </c>
      <c r="L769" s="85"/>
      <c r="M769" s="88" t="s">
        <v>2492</v>
      </c>
      <c r="N769" s="90" t="s">
        <v>34</v>
      </c>
      <c r="O769" s="85"/>
      <c r="P769" s="82"/>
    </row>
    <row r="770" hidden="1" spans="1:16">
      <c r="A770" s="83">
        <v>769</v>
      </c>
      <c r="B770" s="98">
        <v>46156</v>
      </c>
      <c r="C770" s="85" t="s">
        <v>49</v>
      </c>
      <c r="D770" s="85" t="s">
        <v>26</v>
      </c>
      <c r="E770" s="85" t="s">
        <v>27</v>
      </c>
      <c r="F770" s="88" t="s">
        <v>28</v>
      </c>
      <c r="G770" s="85" t="s">
        <v>2493</v>
      </c>
      <c r="H770" s="85" t="s">
        <v>2494</v>
      </c>
      <c r="I770" s="85"/>
      <c r="J770" s="85" t="s">
        <v>2491</v>
      </c>
      <c r="K770" s="92" t="s">
        <v>49</v>
      </c>
      <c r="L770" s="85"/>
      <c r="M770" s="88" t="s">
        <v>2495</v>
      </c>
      <c r="N770" s="90" t="s">
        <v>34</v>
      </c>
      <c r="O770" s="85"/>
      <c r="P770" s="82"/>
    </row>
    <row r="771" hidden="1" spans="1:16">
      <c r="A771" s="83">
        <v>770</v>
      </c>
      <c r="B771" s="98">
        <v>46157</v>
      </c>
      <c r="C771" s="85" t="s">
        <v>68</v>
      </c>
      <c r="D771" s="85" t="s">
        <v>40</v>
      </c>
      <c r="E771" s="85" t="s">
        <v>41</v>
      </c>
      <c r="F771" s="88" t="s">
        <v>28</v>
      </c>
      <c r="G771" s="85" t="s">
        <v>2496</v>
      </c>
      <c r="H771" s="88" t="s">
        <v>2497</v>
      </c>
      <c r="I771" s="85"/>
      <c r="J771" s="88" t="s">
        <v>2498</v>
      </c>
      <c r="K771" s="92" t="s">
        <v>32</v>
      </c>
      <c r="L771" s="85"/>
      <c r="M771" s="88" t="s">
        <v>2499</v>
      </c>
      <c r="N771" s="90" t="s">
        <v>34</v>
      </c>
      <c r="O771" s="85"/>
      <c r="P771" s="82"/>
    </row>
    <row r="772" hidden="1" spans="1:16">
      <c r="A772" s="83">
        <v>771</v>
      </c>
      <c r="B772" s="98">
        <v>46157</v>
      </c>
      <c r="C772" s="85" t="s">
        <v>68</v>
      </c>
      <c r="D772" s="85" t="s">
        <v>40</v>
      </c>
      <c r="E772" s="85" t="s">
        <v>41</v>
      </c>
      <c r="F772" s="88" t="s">
        <v>28</v>
      </c>
      <c r="G772" s="85" t="s">
        <v>2500</v>
      </c>
      <c r="H772" s="88" t="s">
        <v>2501</v>
      </c>
      <c r="I772" s="85"/>
      <c r="J772" s="88" t="s">
        <v>2498</v>
      </c>
      <c r="K772" s="92" t="s">
        <v>32</v>
      </c>
      <c r="L772" s="85"/>
      <c r="M772" s="88" t="s">
        <v>2499</v>
      </c>
      <c r="N772" s="90" t="s">
        <v>34</v>
      </c>
      <c r="O772" s="85"/>
      <c r="P772" s="82"/>
    </row>
    <row r="773" hidden="1" spans="1:16">
      <c r="A773" s="83">
        <v>772</v>
      </c>
      <c r="B773" s="98">
        <v>46157</v>
      </c>
      <c r="C773" s="85" t="s">
        <v>68</v>
      </c>
      <c r="D773" s="85" t="s">
        <v>153</v>
      </c>
      <c r="E773" s="85" t="s">
        <v>411</v>
      </c>
      <c r="F773" s="88" t="s">
        <v>28</v>
      </c>
      <c r="G773" s="85" t="s">
        <v>2502</v>
      </c>
      <c r="H773" s="88" t="s">
        <v>2503</v>
      </c>
      <c r="I773" s="85"/>
      <c r="J773" s="88" t="s">
        <v>2504</v>
      </c>
      <c r="K773" s="92" t="s">
        <v>32</v>
      </c>
      <c r="L773" s="85"/>
      <c r="M773" s="88" t="s">
        <v>2505</v>
      </c>
      <c r="N773" s="90" t="s">
        <v>34</v>
      </c>
      <c r="O773" s="85"/>
      <c r="P773" s="82"/>
    </row>
    <row r="774" hidden="1" spans="1:16">
      <c r="A774" s="83">
        <v>773</v>
      </c>
      <c r="B774" s="98">
        <v>46157</v>
      </c>
      <c r="C774" s="85" t="s">
        <v>49</v>
      </c>
      <c r="D774" s="85" t="s">
        <v>26</v>
      </c>
      <c r="E774" s="85" t="s">
        <v>660</v>
      </c>
      <c r="F774" s="88" t="s">
        <v>28</v>
      </c>
      <c r="G774" s="85" t="s">
        <v>2506</v>
      </c>
      <c r="H774" s="88" t="s">
        <v>2507</v>
      </c>
      <c r="I774" s="85"/>
      <c r="J774" s="88" t="s">
        <v>2508</v>
      </c>
      <c r="K774" s="92" t="s">
        <v>49</v>
      </c>
      <c r="L774" s="85"/>
      <c r="M774" s="88" t="s">
        <v>2495</v>
      </c>
      <c r="N774" s="90" t="s">
        <v>34</v>
      </c>
      <c r="O774" s="85"/>
      <c r="P774" s="82"/>
    </row>
    <row r="775" hidden="1" spans="1:16">
      <c r="A775" s="83">
        <v>774</v>
      </c>
      <c r="B775" s="98">
        <v>46157</v>
      </c>
      <c r="C775" s="85" t="s">
        <v>68</v>
      </c>
      <c r="D775" s="85" t="s">
        <v>26</v>
      </c>
      <c r="E775" s="85" t="s">
        <v>27</v>
      </c>
      <c r="F775" s="88" t="s">
        <v>28</v>
      </c>
      <c r="G775" s="85" t="s">
        <v>2509</v>
      </c>
      <c r="H775" s="88">
        <v>270683922</v>
      </c>
      <c r="I775" s="85"/>
      <c r="J775" s="88" t="s">
        <v>2504</v>
      </c>
      <c r="K775" s="92" t="s">
        <v>32</v>
      </c>
      <c r="L775" s="85"/>
      <c r="M775" s="88" t="s">
        <v>2505</v>
      </c>
      <c r="N775" s="90" t="s">
        <v>34</v>
      </c>
      <c r="O775" s="85"/>
      <c r="P775" s="82"/>
    </row>
    <row r="776" hidden="1" spans="1:16">
      <c r="A776" s="83">
        <v>775</v>
      </c>
      <c r="B776" s="98">
        <v>46157</v>
      </c>
      <c r="C776" s="85" t="s">
        <v>68</v>
      </c>
      <c r="D776" s="85" t="s">
        <v>26</v>
      </c>
      <c r="E776" s="85" t="s">
        <v>27</v>
      </c>
      <c r="F776" s="88" t="s">
        <v>28</v>
      </c>
      <c r="G776" s="85" t="s">
        <v>2510</v>
      </c>
      <c r="H776" s="88" t="s">
        <v>2511</v>
      </c>
      <c r="I776" s="85"/>
      <c r="J776" s="88" t="s">
        <v>2504</v>
      </c>
      <c r="K776" s="92" t="s">
        <v>32</v>
      </c>
      <c r="L776" s="85"/>
      <c r="M776" s="88" t="s">
        <v>2505</v>
      </c>
      <c r="N776" s="90" t="s">
        <v>34</v>
      </c>
      <c r="O776" s="85"/>
      <c r="P776" s="82"/>
    </row>
    <row r="777" ht="33" hidden="1" spans="1:16">
      <c r="A777" s="83">
        <v>776</v>
      </c>
      <c r="B777" s="98">
        <v>46157</v>
      </c>
      <c r="C777" s="85" t="s">
        <v>49</v>
      </c>
      <c r="D777" s="85" t="s">
        <v>26</v>
      </c>
      <c r="E777" s="85" t="s">
        <v>27</v>
      </c>
      <c r="F777" s="88" t="s">
        <v>28</v>
      </c>
      <c r="G777" s="85" t="s">
        <v>2512</v>
      </c>
      <c r="H777" s="85" t="s">
        <v>2513</v>
      </c>
      <c r="I777" s="85"/>
      <c r="J777" s="88" t="s">
        <v>2508</v>
      </c>
      <c r="K777" s="92" t="s">
        <v>49</v>
      </c>
      <c r="L777" s="85"/>
      <c r="M777" s="88" t="s">
        <v>2514</v>
      </c>
      <c r="N777" s="90" t="s">
        <v>34</v>
      </c>
      <c r="O777" s="85"/>
      <c r="P777" s="82"/>
    </row>
    <row r="778" hidden="1" spans="1:16">
      <c r="A778" s="83">
        <v>777</v>
      </c>
      <c r="B778" s="98">
        <v>46160</v>
      </c>
      <c r="C778" s="85" t="s">
        <v>68</v>
      </c>
      <c r="D778" s="85" t="s">
        <v>26</v>
      </c>
      <c r="E778" s="85" t="s">
        <v>27</v>
      </c>
      <c r="F778" s="88" t="s">
        <v>28</v>
      </c>
      <c r="G778" s="85" t="s">
        <v>2515</v>
      </c>
      <c r="H778" s="85" t="s">
        <v>2516</v>
      </c>
      <c r="I778" s="85"/>
      <c r="J778" s="88" t="s">
        <v>2517</v>
      </c>
      <c r="K778" s="92" t="s">
        <v>32</v>
      </c>
      <c r="L778" s="85"/>
      <c r="M778" s="88" t="s">
        <v>2518</v>
      </c>
      <c r="N778" s="90" t="s">
        <v>34</v>
      </c>
      <c r="O778" s="85"/>
      <c r="P778" s="82"/>
    </row>
    <row r="779" hidden="1" spans="1:16">
      <c r="A779" s="83">
        <v>778</v>
      </c>
      <c r="B779" s="98">
        <v>46160</v>
      </c>
      <c r="C779" s="85" t="s">
        <v>49</v>
      </c>
      <c r="D779" s="85" t="s">
        <v>26</v>
      </c>
      <c r="E779" s="85" t="s">
        <v>27</v>
      </c>
      <c r="F779" s="88" t="s">
        <v>28</v>
      </c>
      <c r="G779" s="85" t="s">
        <v>2519</v>
      </c>
      <c r="H779" s="85" t="s">
        <v>2520</v>
      </c>
      <c r="I779" s="85"/>
      <c r="J779" s="88" t="s">
        <v>2521</v>
      </c>
      <c r="K779" s="92" t="s">
        <v>49</v>
      </c>
      <c r="L779" s="85"/>
      <c r="M779" s="88" t="s">
        <v>2522</v>
      </c>
      <c r="N779" s="90" t="s">
        <v>34</v>
      </c>
      <c r="O779" s="85"/>
      <c r="P779" s="82"/>
    </row>
    <row r="780" hidden="1" spans="1:16">
      <c r="A780" s="83">
        <v>779</v>
      </c>
      <c r="B780" s="98">
        <v>46160</v>
      </c>
      <c r="C780" s="85" t="s">
        <v>68</v>
      </c>
      <c r="D780" s="85" t="s">
        <v>40</v>
      </c>
      <c r="E780" s="85" t="s">
        <v>41</v>
      </c>
      <c r="F780" s="88" t="s">
        <v>28</v>
      </c>
      <c r="G780" s="85" t="s">
        <v>2523</v>
      </c>
      <c r="H780" s="85" t="s">
        <v>2524</v>
      </c>
      <c r="I780" s="85"/>
      <c r="J780" s="88" t="s">
        <v>2525</v>
      </c>
      <c r="K780" s="92" t="s">
        <v>24</v>
      </c>
      <c r="L780" s="85"/>
      <c r="M780" s="88" t="s">
        <v>2526</v>
      </c>
      <c r="N780" s="90" t="s">
        <v>34</v>
      </c>
      <c r="O780" s="85" t="s">
        <v>380</v>
      </c>
      <c r="P780" s="82"/>
    </row>
    <row r="781" hidden="1" spans="1:16">
      <c r="A781" s="83">
        <v>780</v>
      </c>
      <c r="B781" s="98">
        <v>46160</v>
      </c>
      <c r="C781" s="85" t="s">
        <v>49</v>
      </c>
      <c r="D781" s="85" t="s">
        <v>40</v>
      </c>
      <c r="E781" s="85" t="s">
        <v>41</v>
      </c>
      <c r="F781" s="88" t="s">
        <v>28</v>
      </c>
      <c r="G781" s="85" t="s">
        <v>2527</v>
      </c>
      <c r="H781" s="85" t="s">
        <v>2528</v>
      </c>
      <c r="I781" s="85"/>
      <c r="J781" s="88" t="s">
        <v>2521</v>
      </c>
      <c r="K781" s="92" t="s">
        <v>49</v>
      </c>
      <c r="L781" s="85"/>
      <c r="M781" s="88" t="s">
        <v>2529</v>
      </c>
      <c r="N781" s="90" t="s">
        <v>34</v>
      </c>
      <c r="O781" s="85"/>
      <c r="P781" s="82"/>
    </row>
    <row r="782" hidden="1" spans="1:16">
      <c r="A782" s="83">
        <v>781</v>
      </c>
      <c r="B782" s="98">
        <v>46160</v>
      </c>
      <c r="C782" s="85" t="s">
        <v>49</v>
      </c>
      <c r="D782" s="85" t="s">
        <v>40</v>
      </c>
      <c r="E782" s="85" t="s">
        <v>41</v>
      </c>
      <c r="F782" s="88" t="s">
        <v>28</v>
      </c>
      <c r="G782" s="85" t="s">
        <v>2530</v>
      </c>
      <c r="H782" s="85" t="s">
        <v>2531</v>
      </c>
      <c r="I782" s="85"/>
      <c r="J782" s="88" t="s">
        <v>2521</v>
      </c>
      <c r="K782" s="92" t="s">
        <v>49</v>
      </c>
      <c r="L782" s="85"/>
      <c r="M782" s="88" t="s">
        <v>2529</v>
      </c>
      <c r="N782" s="90" t="s">
        <v>34</v>
      </c>
      <c r="O782" s="85"/>
      <c r="P782" s="82"/>
    </row>
    <row r="783" ht="66" hidden="1" spans="1:16">
      <c r="A783" s="83">
        <v>782</v>
      </c>
      <c r="B783" s="98">
        <v>46160</v>
      </c>
      <c r="C783" s="85" t="s">
        <v>49</v>
      </c>
      <c r="D783" s="85" t="s">
        <v>26</v>
      </c>
      <c r="E783" s="85" t="s">
        <v>35</v>
      </c>
      <c r="F783" s="88" t="s">
        <v>28</v>
      </c>
      <c r="G783" s="85" t="s">
        <v>2532</v>
      </c>
      <c r="H783" s="85" t="s">
        <v>2533</v>
      </c>
      <c r="I783" s="85"/>
      <c r="J783" s="88" t="s">
        <v>2521</v>
      </c>
      <c r="K783" s="92" t="s">
        <v>49</v>
      </c>
      <c r="L783" s="85"/>
      <c r="M783" s="88" t="s">
        <v>2534</v>
      </c>
      <c r="N783" s="90" t="s">
        <v>34</v>
      </c>
      <c r="O783" s="85"/>
      <c r="P783" s="82"/>
    </row>
    <row r="784" ht="33" hidden="1" spans="1:16">
      <c r="A784" s="83">
        <v>783</v>
      </c>
      <c r="B784" s="98">
        <v>46160</v>
      </c>
      <c r="C784" s="85" t="s">
        <v>49</v>
      </c>
      <c r="D784" s="85" t="s">
        <v>40</v>
      </c>
      <c r="E784" s="85" t="s">
        <v>148</v>
      </c>
      <c r="F784" s="88" t="s">
        <v>28</v>
      </c>
      <c r="G784" s="85" t="s">
        <v>2535</v>
      </c>
      <c r="H784" s="85" t="s">
        <v>2536</v>
      </c>
      <c r="I784" s="85"/>
      <c r="J784" s="88" t="s">
        <v>2521</v>
      </c>
      <c r="K784" s="92" t="s">
        <v>49</v>
      </c>
      <c r="L784" s="85"/>
      <c r="M784" s="88" t="s">
        <v>2537</v>
      </c>
      <c r="N784" s="90" t="s">
        <v>34</v>
      </c>
      <c r="O784" s="85"/>
      <c r="P784" s="82"/>
    </row>
    <row r="785" hidden="1" spans="1:16">
      <c r="A785" s="83">
        <v>784</v>
      </c>
      <c r="B785" s="98">
        <v>46160</v>
      </c>
      <c r="C785" s="85" t="s">
        <v>68</v>
      </c>
      <c r="D785" s="85" t="s">
        <v>26</v>
      </c>
      <c r="E785" s="85" t="s">
        <v>35</v>
      </c>
      <c r="F785" s="88" t="s">
        <v>28</v>
      </c>
      <c r="G785" s="85" t="s">
        <v>2538</v>
      </c>
      <c r="H785" s="85" t="s">
        <v>2539</v>
      </c>
      <c r="I785" s="85"/>
      <c r="J785" s="88" t="s">
        <v>2540</v>
      </c>
      <c r="K785" s="92" t="s">
        <v>24</v>
      </c>
      <c r="L785" s="85"/>
      <c r="M785" s="88" t="s">
        <v>2541</v>
      </c>
      <c r="N785" s="90" t="s">
        <v>34</v>
      </c>
      <c r="O785" s="85" t="s">
        <v>280</v>
      </c>
      <c r="P785" s="82"/>
    </row>
    <row r="786" ht="27.2" hidden="1" customHeight="1" spans="1:16">
      <c r="A786" s="83">
        <v>785</v>
      </c>
      <c r="B786" s="98">
        <v>46160</v>
      </c>
      <c r="C786" s="85" t="s">
        <v>403</v>
      </c>
      <c r="D786" s="85" t="s">
        <v>222</v>
      </c>
      <c r="E786" s="85" t="s">
        <v>223</v>
      </c>
      <c r="F786" s="88" t="s">
        <v>28</v>
      </c>
      <c r="G786" s="97" t="s">
        <v>2542</v>
      </c>
      <c r="H786" s="85" t="s">
        <v>2543</v>
      </c>
      <c r="I786" s="85"/>
      <c r="J786" s="88" t="s">
        <v>2544</v>
      </c>
      <c r="K786" s="92" t="s">
        <v>2545</v>
      </c>
      <c r="L786" s="85"/>
      <c r="M786" s="88" t="s">
        <v>2546</v>
      </c>
      <c r="N786" s="90" t="s">
        <v>34</v>
      </c>
      <c r="O786" s="85" t="s">
        <v>163</v>
      </c>
      <c r="P786" s="82"/>
    </row>
    <row r="787" ht="27.2" hidden="1" customHeight="1" spans="1:16">
      <c r="A787" s="83">
        <v>786</v>
      </c>
      <c r="B787" s="98">
        <v>46160</v>
      </c>
      <c r="C787" s="85" t="s">
        <v>403</v>
      </c>
      <c r="D787" s="85" t="s">
        <v>222</v>
      </c>
      <c r="E787" s="85" t="s">
        <v>223</v>
      </c>
      <c r="F787" s="88" t="s">
        <v>28</v>
      </c>
      <c r="G787" s="85" t="s">
        <v>2547</v>
      </c>
      <c r="H787" s="85" t="s">
        <v>2548</v>
      </c>
      <c r="I787" s="85"/>
      <c r="J787" s="88"/>
      <c r="K787" s="92" t="s">
        <v>2545</v>
      </c>
      <c r="L787" s="85"/>
      <c r="M787" s="88"/>
      <c r="N787" s="90" t="s">
        <v>34</v>
      </c>
      <c r="O787" s="85" t="s">
        <v>163</v>
      </c>
      <c r="P787" s="82"/>
    </row>
    <row r="788" ht="27.2" hidden="1" customHeight="1" spans="1:16">
      <c r="A788" s="83">
        <v>787</v>
      </c>
      <c r="B788" s="98">
        <v>46160</v>
      </c>
      <c r="C788" s="85" t="s">
        <v>403</v>
      </c>
      <c r="D788" s="85" t="s">
        <v>222</v>
      </c>
      <c r="E788" s="85" t="s">
        <v>223</v>
      </c>
      <c r="F788" s="88" t="s">
        <v>28</v>
      </c>
      <c r="G788" s="85" t="s">
        <v>2549</v>
      </c>
      <c r="H788" s="85" t="s">
        <v>2550</v>
      </c>
      <c r="I788" s="85"/>
      <c r="J788" s="88"/>
      <c r="K788" s="92" t="s">
        <v>2545</v>
      </c>
      <c r="L788" s="85"/>
      <c r="M788" s="88"/>
      <c r="N788" s="90" t="s">
        <v>34</v>
      </c>
      <c r="O788" s="85" t="s">
        <v>163</v>
      </c>
      <c r="P788" s="82"/>
    </row>
    <row r="789" ht="27.2" hidden="1" customHeight="1" spans="1:16">
      <c r="A789" s="83">
        <v>788</v>
      </c>
      <c r="B789" s="98">
        <v>46160</v>
      </c>
      <c r="C789" s="85" t="s">
        <v>403</v>
      </c>
      <c r="D789" s="85" t="s">
        <v>222</v>
      </c>
      <c r="E789" s="85" t="s">
        <v>223</v>
      </c>
      <c r="F789" s="88" t="s">
        <v>28</v>
      </c>
      <c r="G789" s="85" t="s">
        <v>2551</v>
      </c>
      <c r="H789" s="85" t="s">
        <v>2552</v>
      </c>
      <c r="I789" s="85"/>
      <c r="J789" s="88"/>
      <c r="K789" s="92" t="s">
        <v>2545</v>
      </c>
      <c r="L789" s="85"/>
      <c r="M789" s="88"/>
      <c r="N789" s="90" t="s">
        <v>34</v>
      </c>
      <c r="O789" s="85" t="s">
        <v>163</v>
      </c>
      <c r="P789" s="82"/>
    </row>
    <row r="790" ht="33" hidden="1" spans="1:16">
      <c r="A790" s="83">
        <v>789</v>
      </c>
      <c r="B790" s="98">
        <v>46161</v>
      </c>
      <c r="C790" s="85" t="s">
        <v>49</v>
      </c>
      <c r="D790" s="85" t="s">
        <v>26</v>
      </c>
      <c r="E790" s="85" t="s">
        <v>35</v>
      </c>
      <c r="F790" s="88" t="s">
        <v>28</v>
      </c>
      <c r="G790" s="85" t="s">
        <v>2553</v>
      </c>
      <c r="H790" s="88">
        <v>802069982</v>
      </c>
      <c r="I790" s="85"/>
      <c r="J790" s="88" t="s">
        <v>2554</v>
      </c>
      <c r="K790" s="92" t="s">
        <v>49</v>
      </c>
      <c r="L790" s="85"/>
      <c r="M790" s="88" t="s">
        <v>2555</v>
      </c>
      <c r="N790" s="90" t="s">
        <v>34</v>
      </c>
      <c r="O790" s="85"/>
      <c r="P790" s="82"/>
    </row>
    <row r="791" ht="49.5" hidden="1" spans="1:16">
      <c r="A791" s="83">
        <v>790</v>
      </c>
      <c r="B791" s="98">
        <v>46161</v>
      </c>
      <c r="C791" s="85" t="s">
        <v>25</v>
      </c>
      <c r="D791" s="85" t="s">
        <v>40</v>
      </c>
      <c r="E791" s="85" t="s">
        <v>41</v>
      </c>
      <c r="F791" s="88" t="s">
        <v>28</v>
      </c>
      <c r="G791" s="85" t="s">
        <v>2556</v>
      </c>
      <c r="H791" s="88" t="s">
        <v>2557</v>
      </c>
      <c r="I791" s="85"/>
      <c r="J791" s="88" t="s">
        <v>2558</v>
      </c>
      <c r="K791" s="92" t="s">
        <v>2559</v>
      </c>
      <c r="L791" s="85"/>
      <c r="M791" s="88" t="s">
        <v>2560</v>
      </c>
      <c r="N791" s="90" t="s">
        <v>34</v>
      </c>
      <c r="O791" s="85" t="s">
        <v>2561</v>
      </c>
      <c r="P791" s="82"/>
    </row>
    <row r="792" ht="49.5" hidden="1" spans="1:16">
      <c r="A792" s="83">
        <v>791</v>
      </c>
      <c r="B792" s="98">
        <v>46161</v>
      </c>
      <c r="C792" s="85" t="s">
        <v>25</v>
      </c>
      <c r="D792" s="85" t="s">
        <v>26</v>
      </c>
      <c r="E792" s="85" t="s">
        <v>27</v>
      </c>
      <c r="F792" s="88" t="s">
        <v>28</v>
      </c>
      <c r="G792" s="85" t="s">
        <v>2562</v>
      </c>
      <c r="H792" s="88" t="s">
        <v>2563</v>
      </c>
      <c r="I792" s="85"/>
      <c r="J792" s="88" t="s">
        <v>2564</v>
      </c>
      <c r="K792" s="92" t="s">
        <v>2559</v>
      </c>
      <c r="L792" s="85"/>
      <c r="M792" s="88" t="s">
        <v>2565</v>
      </c>
      <c r="N792" s="90" t="s">
        <v>34</v>
      </c>
      <c r="O792" s="85" t="s">
        <v>1246</v>
      </c>
      <c r="P792" s="82"/>
    </row>
    <row r="793" ht="49.5" spans="1:16">
      <c r="A793" s="83">
        <v>792</v>
      </c>
      <c r="B793" s="98">
        <v>46161</v>
      </c>
      <c r="C793" s="85" t="s">
        <v>68</v>
      </c>
      <c r="D793" s="85" t="s">
        <v>69</v>
      </c>
      <c r="E793" s="85" t="s">
        <v>70</v>
      </c>
      <c r="F793" s="88" t="s">
        <v>521</v>
      </c>
      <c r="G793" s="85" t="s">
        <v>2566</v>
      </c>
      <c r="H793" s="85" t="s">
        <v>2567</v>
      </c>
      <c r="I793" s="85"/>
      <c r="J793" s="88" t="s">
        <v>2568</v>
      </c>
      <c r="K793" s="92" t="s">
        <v>32</v>
      </c>
      <c r="L793" s="85"/>
      <c r="M793" s="88" t="s">
        <v>2569</v>
      </c>
      <c r="N793" s="90" t="s">
        <v>113</v>
      </c>
      <c r="O793" s="85"/>
      <c r="P793" s="82"/>
    </row>
    <row r="794" hidden="1" spans="1:16">
      <c r="A794" s="83">
        <v>793</v>
      </c>
      <c r="B794" s="98">
        <v>46162</v>
      </c>
      <c r="C794" s="85" t="s">
        <v>68</v>
      </c>
      <c r="D794" s="85" t="s">
        <v>153</v>
      </c>
      <c r="E794" s="85" t="s">
        <v>154</v>
      </c>
      <c r="F794" s="88" t="s">
        <v>28</v>
      </c>
      <c r="G794" s="88" t="s">
        <v>2570</v>
      </c>
      <c r="H794" s="88" t="s">
        <v>2571</v>
      </c>
      <c r="I794" s="85"/>
      <c r="J794" s="88" t="s">
        <v>2572</v>
      </c>
      <c r="K794" s="92" t="s">
        <v>32</v>
      </c>
      <c r="L794" s="85"/>
      <c r="M794" s="88" t="s">
        <v>2573</v>
      </c>
      <c r="N794" s="90" t="s">
        <v>34</v>
      </c>
      <c r="O794" s="85"/>
      <c r="P794" s="82"/>
    </row>
    <row r="795" ht="115.5" hidden="1" spans="1:16">
      <c r="A795" s="83">
        <v>794</v>
      </c>
      <c r="B795" s="98">
        <v>46162</v>
      </c>
      <c r="C795" s="85" t="s">
        <v>49</v>
      </c>
      <c r="D795" s="85" t="s">
        <v>26</v>
      </c>
      <c r="E795" s="85" t="s">
        <v>27</v>
      </c>
      <c r="F795" s="88" t="s">
        <v>28</v>
      </c>
      <c r="G795" s="88" t="s">
        <v>2574</v>
      </c>
      <c r="H795" s="88">
        <v>11205586906</v>
      </c>
      <c r="I795" s="85"/>
      <c r="J795" s="88" t="s">
        <v>2575</v>
      </c>
      <c r="K795" s="92" t="s">
        <v>49</v>
      </c>
      <c r="L795" s="85"/>
      <c r="M795" s="88" t="s">
        <v>2576</v>
      </c>
      <c r="N795" s="90" t="s">
        <v>34</v>
      </c>
      <c r="O795" s="85"/>
      <c r="P795" s="82"/>
    </row>
    <row r="796" ht="33" hidden="1" spans="1:16">
      <c r="A796" s="83">
        <v>795</v>
      </c>
      <c r="B796" s="98">
        <v>46163</v>
      </c>
      <c r="C796" s="85" t="s">
        <v>68</v>
      </c>
      <c r="D796" s="85" t="s">
        <v>222</v>
      </c>
      <c r="E796" s="85" t="s">
        <v>223</v>
      </c>
      <c r="F796" s="88" t="s">
        <v>28</v>
      </c>
      <c r="G796" s="87" t="s">
        <v>2577</v>
      </c>
      <c r="H796" s="88" t="s">
        <v>2578</v>
      </c>
      <c r="I796" s="85"/>
      <c r="J796" s="88" t="s">
        <v>2579</v>
      </c>
      <c r="K796" s="92" t="s">
        <v>32</v>
      </c>
      <c r="L796" s="85"/>
      <c r="M796" s="88" t="s">
        <v>2580</v>
      </c>
      <c r="N796" s="90" t="s">
        <v>34</v>
      </c>
      <c r="O796" s="85"/>
      <c r="P796" s="82"/>
    </row>
    <row r="797" ht="33" hidden="1" spans="1:16">
      <c r="A797" s="83">
        <v>796</v>
      </c>
      <c r="B797" s="98">
        <v>46163</v>
      </c>
      <c r="C797" s="85" t="s">
        <v>68</v>
      </c>
      <c r="D797" s="85" t="e">
        <v>#N/A</v>
      </c>
      <c r="E797" s="85" t="s">
        <v>2581</v>
      </c>
      <c r="F797" s="88" t="s">
        <v>28</v>
      </c>
      <c r="G797" s="85" t="s">
        <v>2582</v>
      </c>
      <c r="H797" s="88" t="s">
        <v>2583</v>
      </c>
      <c r="I797" s="85"/>
      <c r="J797" s="88" t="s">
        <v>2584</v>
      </c>
      <c r="K797" s="92" t="s">
        <v>716</v>
      </c>
      <c r="L797" s="85"/>
      <c r="M797" s="88" t="s">
        <v>2585</v>
      </c>
      <c r="N797" s="90" t="s">
        <v>34</v>
      </c>
      <c r="O797" s="85"/>
      <c r="P797" s="82"/>
    </row>
    <row r="798" ht="33" hidden="1" spans="1:16">
      <c r="A798" s="83">
        <v>797</v>
      </c>
      <c r="B798" s="98">
        <v>46163</v>
      </c>
      <c r="C798" s="85" t="s">
        <v>25</v>
      </c>
      <c r="D798" s="85" t="s">
        <v>26</v>
      </c>
      <c r="E798" s="85" t="s">
        <v>27</v>
      </c>
      <c r="F798" s="88" t="s">
        <v>28</v>
      </c>
      <c r="G798" s="85" t="s">
        <v>2586</v>
      </c>
      <c r="H798" s="88" t="s">
        <v>2587</v>
      </c>
      <c r="I798" s="85"/>
      <c r="J798" s="88" t="s">
        <v>2588</v>
      </c>
      <c r="K798" s="92" t="s">
        <v>24</v>
      </c>
      <c r="L798" s="85"/>
      <c r="M798" s="88" t="s">
        <v>2589</v>
      </c>
      <c r="N798" s="90" t="s">
        <v>34</v>
      </c>
      <c r="O798" s="85"/>
      <c r="P798" s="82"/>
    </row>
    <row r="799" hidden="1" spans="1:16">
      <c r="A799" s="83">
        <v>798</v>
      </c>
      <c r="B799" s="98">
        <v>46163</v>
      </c>
      <c r="C799" s="85" t="s">
        <v>49</v>
      </c>
      <c r="D799" s="85" t="s">
        <v>26</v>
      </c>
      <c r="E799" s="85" t="s">
        <v>35</v>
      </c>
      <c r="F799" s="85" t="s">
        <v>28</v>
      </c>
      <c r="G799" s="85" t="s">
        <v>2590</v>
      </c>
      <c r="H799" s="88" t="s">
        <v>2591</v>
      </c>
      <c r="I799" s="85"/>
      <c r="J799" s="88" t="s">
        <v>2592</v>
      </c>
      <c r="K799" s="92" t="s">
        <v>49</v>
      </c>
      <c r="L799" s="85"/>
      <c r="M799" s="88" t="s">
        <v>2593</v>
      </c>
      <c r="N799" s="90" t="s">
        <v>34</v>
      </c>
      <c r="O799" s="85"/>
      <c r="P799" s="82"/>
    </row>
    <row r="800" hidden="1" spans="1:16">
      <c r="A800" s="83">
        <v>799</v>
      </c>
      <c r="B800" s="98">
        <v>46163</v>
      </c>
      <c r="C800" s="85" t="s">
        <v>49</v>
      </c>
      <c r="D800" s="85" t="s">
        <v>40</v>
      </c>
      <c r="E800" s="85" t="s">
        <v>41</v>
      </c>
      <c r="F800" s="85" t="s">
        <v>28</v>
      </c>
      <c r="G800" s="85" t="s">
        <v>2594</v>
      </c>
      <c r="H800" s="88" t="s">
        <v>2595</v>
      </c>
      <c r="I800" s="85"/>
      <c r="J800" s="88" t="s">
        <v>2592</v>
      </c>
      <c r="K800" s="92" t="s">
        <v>49</v>
      </c>
      <c r="L800" s="85"/>
      <c r="M800" s="88" t="s">
        <v>2593</v>
      </c>
      <c r="N800" s="90" t="s">
        <v>34</v>
      </c>
      <c r="O800" s="85"/>
      <c r="P800" s="82"/>
    </row>
    <row r="801" ht="33" hidden="1" spans="1:16">
      <c r="A801" s="83">
        <v>800</v>
      </c>
      <c r="B801" s="98">
        <v>46163</v>
      </c>
      <c r="C801" s="85" t="s">
        <v>49</v>
      </c>
      <c r="D801" s="85" t="s">
        <v>40</v>
      </c>
      <c r="E801" s="85" t="s">
        <v>41</v>
      </c>
      <c r="F801" s="85" t="s">
        <v>28</v>
      </c>
      <c r="G801" s="85" t="s">
        <v>2596</v>
      </c>
      <c r="H801" s="88" t="s">
        <v>2597</v>
      </c>
      <c r="I801" s="85"/>
      <c r="J801" s="88" t="s">
        <v>2592</v>
      </c>
      <c r="K801" s="92" t="s">
        <v>49</v>
      </c>
      <c r="L801" s="85"/>
      <c r="M801" s="88" t="s">
        <v>2598</v>
      </c>
      <c r="N801" s="90" t="s">
        <v>34</v>
      </c>
      <c r="O801" s="85"/>
      <c r="P801" s="82"/>
    </row>
    <row r="802" hidden="1" spans="1:16">
      <c r="A802" s="83">
        <v>801</v>
      </c>
      <c r="B802" s="98">
        <v>46163</v>
      </c>
      <c r="C802" s="85" t="s">
        <v>49</v>
      </c>
      <c r="D802" s="85" t="s">
        <v>26</v>
      </c>
      <c r="E802" s="85" t="s">
        <v>35</v>
      </c>
      <c r="F802" s="85" t="s">
        <v>28</v>
      </c>
      <c r="G802" s="85" t="s">
        <v>2599</v>
      </c>
      <c r="H802" s="88" t="s">
        <v>2600</v>
      </c>
      <c r="I802" s="85"/>
      <c r="J802" s="88" t="s">
        <v>2592</v>
      </c>
      <c r="K802" s="92" t="s">
        <v>49</v>
      </c>
      <c r="L802" s="85"/>
      <c r="M802" s="88" t="s">
        <v>2593</v>
      </c>
      <c r="N802" s="90" t="s">
        <v>34</v>
      </c>
      <c r="O802" s="85"/>
      <c r="P802" s="82"/>
    </row>
    <row r="803" ht="33" hidden="1" spans="1:16">
      <c r="A803" s="83">
        <v>802</v>
      </c>
      <c r="B803" s="98">
        <v>46163</v>
      </c>
      <c r="C803" s="85" t="s">
        <v>68</v>
      </c>
      <c r="D803" s="85" t="s">
        <v>26</v>
      </c>
      <c r="E803" s="85" t="s">
        <v>27</v>
      </c>
      <c r="F803" s="85" t="s">
        <v>28</v>
      </c>
      <c r="G803" s="85" t="s">
        <v>2601</v>
      </c>
      <c r="H803" s="88" t="s">
        <v>2602</v>
      </c>
      <c r="I803" s="85"/>
      <c r="J803" s="88" t="s">
        <v>2603</v>
      </c>
      <c r="K803" s="92" t="s">
        <v>32</v>
      </c>
      <c r="L803" s="85"/>
      <c r="M803" s="88" t="s">
        <v>2604</v>
      </c>
      <c r="N803" s="90" t="s">
        <v>34</v>
      </c>
      <c r="O803" s="85"/>
      <c r="P803" s="82"/>
    </row>
    <row r="804" ht="33" hidden="1" spans="1:16">
      <c r="A804" s="83">
        <v>803</v>
      </c>
      <c r="B804" s="98">
        <v>46163</v>
      </c>
      <c r="C804" s="85" t="s">
        <v>68</v>
      </c>
      <c r="D804" s="85" t="s">
        <v>26</v>
      </c>
      <c r="E804" s="85" t="s">
        <v>27</v>
      </c>
      <c r="F804" s="85" t="s">
        <v>28</v>
      </c>
      <c r="G804" s="85" t="s">
        <v>2605</v>
      </c>
      <c r="H804" s="88" t="s">
        <v>2606</v>
      </c>
      <c r="I804" s="85"/>
      <c r="J804" s="88" t="s">
        <v>2603</v>
      </c>
      <c r="K804" s="92" t="s">
        <v>32</v>
      </c>
      <c r="L804" s="85"/>
      <c r="M804" s="88" t="s">
        <v>2604</v>
      </c>
      <c r="N804" s="90" t="s">
        <v>34</v>
      </c>
      <c r="O804" s="85"/>
      <c r="P804" s="82"/>
    </row>
    <row r="805" ht="33" hidden="1" spans="1:16">
      <c r="A805" s="83">
        <v>804</v>
      </c>
      <c r="B805" s="98">
        <v>46163</v>
      </c>
      <c r="C805" s="85" t="s">
        <v>25</v>
      </c>
      <c r="D805" s="85" t="s">
        <v>40</v>
      </c>
      <c r="E805" s="85" t="s">
        <v>41</v>
      </c>
      <c r="F805" s="85" t="s">
        <v>28</v>
      </c>
      <c r="G805" s="85" t="s">
        <v>2607</v>
      </c>
      <c r="H805" s="88" t="s">
        <v>2608</v>
      </c>
      <c r="I805" s="85"/>
      <c r="J805" s="88" t="s">
        <v>2609</v>
      </c>
      <c r="K805" s="92" t="s">
        <v>355</v>
      </c>
      <c r="L805" s="85"/>
      <c r="M805" s="88" t="s">
        <v>2610</v>
      </c>
      <c r="N805" s="90" t="s">
        <v>34</v>
      </c>
      <c r="O805" s="85"/>
      <c r="P805" s="82"/>
    </row>
    <row r="806" ht="33" hidden="1" spans="1:16">
      <c r="A806" s="83">
        <v>805</v>
      </c>
      <c r="B806" s="98">
        <v>46164</v>
      </c>
      <c r="C806" s="85" t="s">
        <v>49</v>
      </c>
      <c r="D806" s="85" t="s">
        <v>40</v>
      </c>
      <c r="E806" s="85" t="s">
        <v>41</v>
      </c>
      <c r="F806" s="85" t="s">
        <v>28</v>
      </c>
      <c r="G806" s="85" t="s">
        <v>2611</v>
      </c>
      <c r="H806" s="88" t="s">
        <v>2612</v>
      </c>
      <c r="I806" s="85"/>
      <c r="J806" s="88" t="s">
        <v>2613</v>
      </c>
      <c r="K806" s="92" t="s">
        <v>49</v>
      </c>
      <c r="L806" s="85"/>
      <c r="M806" s="88" t="s">
        <v>2614</v>
      </c>
      <c r="N806" s="90" t="s">
        <v>34</v>
      </c>
      <c r="O806" s="85"/>
      <c r="P806" s="82"/>
    </row>
    <row r="807" hidden="1" spans="1:16">
      <c r="A807" s="83">
        <v>806</v>
      </c>
      <c r="B807" s="98">
        <v>46164</v>
      </c>
      <c r="C807" s="85" t="s">
        <v>68</v>
      </c>
      <c r="D807" s="85" t="s">
        <v>26</v>
      </c>
      <c r="E807" s="85" t="s">
        <v>27</v>
      </c>
      <c r="F807" s="85" t="s">
        <v>28</v>
      </c>
      <c r="G807" s="85" t="s">
        <v>2615</v>
      </c>
      <c r="H807" s="88" t="s">
        <v>2616</v>
      </c>
      <c r="I807" s="85"/>
      <c r="J807" s="88" t="s">
        <v>2617</v>
      </c>
      <c r="K807" s="92" t="s">
        <v>32</v>
      </c>
      <c r="L807" s="85"/>
      <c r="M807" s="88" t="s">
        <v>2618</v>
      </c>
      <c r="N807" s="90" t="s">
        <v>34</v>
      </c>
      <c r="O807" s="85"/>
      <c r="P807" s="82"/>
    </row>
    <row r="808" ht="48.75" hidden="1" customHeight="1" spans="1:16">
      <c r="A808" s="83">
        <v>807</v>
      </c>
      <c r="B808" s="98">
        <v>46164</v>
      </c>
      <c r="C808" s="85" t="s">
        <v>68</v>
      </c>
      <c r="D808" s="85" t="s">
        <v>40</v>
      </c>
      <c r="E808" s="85" t="s">
        <v>41</v>
      </c>
      <c r="F808" s="85" t="s">
        <v>28</v>
      </c>
      <c r="G808" s="88" t="s">
        <v>2619</v>
      </c>
      <c r="H808" s="88" t="s">
        <v>2620</v>
      </c>
      <c r="I808" s="85"/>
      <c r="J808" s="88" t="s">
        <v>2621</v>
      </c>
      <c r="K808" s="92" t="s">
        <v>2622</v>
      </c>
      <c r="L808" s="88"/>
      <c r="M808" s="88" t="s">
        <v>2623</v>
      </c>
      <c r="N808" s="90" t="s">
        <v>34</v>
      </c>
      <c r="O808" s="85"/>
      <c r="P808" s="82"/>
    </row>
    <row r="809" ht="48.75" hidden="1" customHeight="1" spans="1:16">
      <c r="A809" s="83">
        <v>808</v>
      </c>
      <c r="B809" s="98">
        <v>46164</v>
      </c>
      <c r="C809" s="85" t="s">
        <v>68</v>
      </c>
      <c r="D809" s="85" t="s">
        <v>40</v>
      </c>
      <c r="E809" s="85" t="s">
        <v>148</v>
      </c>
      <c r="F809" s="85" t="s">
        <v>28</v>
      </c>
      <c r="G809" s="88" t="s">
        <v>2624</v>
      </c>
      <c r="H809" s="88" t="s">
        <v>2625</v>
      </c>
      <c r="I809" s="85"/>
      <c r="J809" s="88" t="s">
        <v>2626</v>
      </c>
      <c r="K809" s="92" t="s">
        <v>2622</v>
      </c>
      <c r="L809" s="88"/>
      <c r="M809" s="88" t="s">
        <v>2627</v>
      </c>
      <c r="N809" s="90" t="s">
        <v>34</v>
      </c>
      <c r="O809" s="85"/>
      <c r="P809" s="82"/>
    </row>
    <row r="810" ht="33" hidden="1" spans="1:16">
      <c r="A810" s="83">
        <v>809</v>
      </c>
      <c r="B810" s="98">
        <v>46167</v>
      </c>
      <c r="C810" s="85" t="s">
        <v>49</v>
      </c>
      <c r="D810" s="85" t="s">
        <v>26</v>
      </c>
      <c r="E810" s="85" t="s">
        <v>27</v>
      </c>
      <c r="F810" s="85" t="s">
        <v>28</v>
      </c>
      <c r="G810" s="85" t="s">
        <v>2628</v>
      </c>
      <c r="H810" s="88" t="s">
        <v>2629</v>
      </c>
      <c r="I810" s="85"/>
      <c r="J810" s="88" t="s">
        <v>2630</v>
      </c>
      <c r="K810" s="92" t="s">
        <v>49</v>
      </c>
      <c r="L810" s="85"/>
      <c r="M810" s="88" t="s">
        <v>2631</v>
      </c>
      <c r="N810" s="90" t="s">
        <v>34</v>
      </c>
      <c r="O810" s="85"/>
      <c r="P810" s="82"/>
    </row>
    <row r="811" ht="66" hidden="1" spans="1:16">
      <c r="A811" s="83">
        <v>810</v>
      </c>
      <c r="B811" s="98">
        <v>46167</v>
      </c>
      <c r="C811" s="85" t="s">
        <v>49</v>
      </c>
      <c r="D811" s="85" t="s">
        <v>26</v>
      </c>
      <c r="E811" s="85" t="s">
        <v>27</v>
      </c>
      <c r="F811" s="85" t="s">
        <v>28</v>
      </c>
      <c r="G811" s="85" t="s">
        <v>2632</v>
      </c>
      <c r="H811" s="88" t="s">
        <v>2633</v>
      </c>
      <c r="I811" s="85"/>
      <c r="J811" s="88" t="s">
        <v>2634</v>
      </c>
      <c r="K811" s="92" t="s">
        <v>49</v>
      </c>
      <c r="L811" s="88"/>
      <c r="M811" s="88" t="s">
        <v>2635</v>
      </c>
      <c r="N811" s="90" t="s">
        <v>34</v>
      </c>
      <c r="O811" s="85"/>
      <c r="P811" s="82"/>
    </row>
    <row r="812" hidden="1" spans="1:16">
      <c r="A812" s="83">
        <v>811</v>
      </c>
      <c r="B812" s="98">
        <v>46167</v>
      </c>
      <c r="C812" s="85" t="s">
        <v>68</v>
      </c>
      <c r="D812" s="85" t="s">
        <v>26</v>
      </c>
      <c r="E812" s="85" t="s">
        <v>27</v>
      </c>
      <c r="F812" s="85" t="s">
        <v>28</v>
      </c>
      <c r="G812" s="88" t="s">
        <v>2636</v>
      </c>
      <c r="H812" s="88" t="s">
        <v>2637</v>
      </c>
      <c r="I812" s="85"/>
      <c r="J812" s="88" t="s">
        <v>2638</v>
      </c>
      <c r="K812" s="92" t="s">
        <v>32</v>
      </c>
      <c r="L812" s="88"/>
      <c r="M812" s="88" t="s">
        <v>2639</v>
      </c>
      <c r="N812" s="90" t="s">
        <v>34</v>
      </c>
      <c r="O812" s="85"/>
      <c r="P812" s="82"/>
    </row>
    <row r="813" hidden="1" spans="1:16">
      <c r="A813" s="83">
        <v>812</v>
      </c>
      <c r="B813" s="98">
        <v>46167</v>
      </c>
      <c r="C813" s="85" t="s">
        <v>68</v>
      </c>
      <c r="D813" s="85" t="s">
        <v>26</v>
      </c>
      <c r="E813" s="85" t="s">
        <v>27</v>
      </c>
      <c r="F813" s="85" t="s">
        <v>28</v>
      </c>
      <c r="G813" s="88" t="s">
        <v>2640</v>
      </c>
      <c r="H813" s="88" t="s">
        <v>2641</v>
      </c>
      <c r="I813" s="85"/>
      <c r="J813" s="88" t="s">
        <v>2642</v>
      </c>
      <c r="K813" s="92" t="s">
        <v>32</v>
      </c>
      <c r="L813" s="88"/>
      <c r="M813" s="88" t="s">
        <v>2639</v>
      </c>
      <c r="N813" s="90" t="s">
        <v>34</v>
      </c>
      <c r="O813" s="85"/>
      <c r="P813" s="82"/>
    </row>
    <row r="814" ht="33" hidden="1" spans="1:16">
      <c r="A814" s="83">
        <v>813</v>
      </c>
      <c r="B814" s="98">
        <v>46167</v>
      </c>
      <c r="C814" s="85" t="s">
        <v>49</v>
      </c>
      <c r="D814" s="85" t="s">
        <v>26</v>
      </c>
      <c r="E814" s="85" t="s">
        <v>27</v>
      </c>
      <c r="F814" s="85" t="s">
        <v>28</v>
      </c>
      <c r="G814" s="88" t="s">
        <v>2643</v>
      </c>
      <c r="H814" s="88" t="s">
        <v>2644</v>
      </c>
      <c r="I814" s="85"/>
      <c r="J814" s="88" t="s">
        <v>2634</v>
      </c>
      <c r="K814" s="92" t="s">
        <v>49</v>
      </c>
      <c r="L814" s="88"/>
      <c r="M814" s="88" t="s">
        <v>2645</v>
      </c>
      <c r="N814" s="90" t="s">
        <v>34</v>
      </c>
      <c r="O814" s="85"/>
      <c r="P814" s="82"/>
    </row>
    <row r="815" hidden="1" spans="1:16">
      <c r="A815" s="83">
        <v>814</v>
      </c>
      <c r="B815" s="98">
        <v>46167</v>
      </c>
      <c r="C815" s="85" t="s">
        <v>25</v>
      </c>
      <c r="D815" s="85" t="s">
        <v>40</v>
      </c>
      <c r="E815" s="85" t="s">
        <v>41</v>
      </c>
      <c r="F815" s="85" t="s">
        <v>28</v>
      </c>
      <c r="G815" s="88" t="s">
        <v>2646</v>
      </c>
      <c r="H815" s="88" t="s">
        <v>2647</v>
      </c>
      <c r="I815" s="85"/>
      <c r="J815" s="88" t="s">
        <v>2648</v>
      </c>
      <c r="K815" s="92" t="s">
        <v>24</v>
      </c>
      <c r="L815" s="88"/>
      <c r="M815" s="88" t="s">
        <v>2649</v>
      </c>
      <c r="N815" s="90" t="s">
        <v>34</v>
      </c>
      <c r="O815" s="85"/>
      <c r="P815" s="82"/>
    </row>
    <row r="816" ht="33" hidden="1" spans="1:16">
      <c r="A816" s="83">
        <v>815</v>
      </c>
      <c r="B816" s="98">
        <v>46167</v>
      </c>
      <c r="C816" s="85" t="s">
        <v>49</v>
      </c>
      <c r="D816" s="85" t="s">
        <v>40</v>
      </c>
      <c r="E816" s="85" t="s">
        <v>41</v>
      </c>
      <c r="F816" s="85" t="s">
        <v>28</v>
      </c>
      <c r="G816" s="88" t="s">
        <v>2650</v>
      </c>
      <c r="H816" s="88" t="s">
        <v>2651</v>
      </c>
      <c r="I816" s="85"/>
      <c r="J816" s="88" t="s">
        <v>2634</v>
      </c>
      <c r="K816" s="92" t="s">
        <v>49</v>
      </c>
      <c r="L816" s="88"/>
      <c r="M816" s="88" t="s">
        <v>2645</v>
      </c>
      <c r="N816" s="90" t="s">
        <v>34</v>
      </c>
      <c r="O816" s="85"/>
      <c r="P816" s="82"/>
    </row>
    <row r="817" ht="33" hidden="1" spans="1:16">
      <c r="A817" s="83">
        <v>816</v>
      </c>
      <c r="B817" s="98">
        <v>46167</v>
      </c>
      <c r="C817" s="85" t="s">
        <v>68</v>
      </c>
      <c r="D817" s="85" t="s">
        <v>26</v>
      </c>
      <c r="E817" s="85" t="s">
        <v>35</v>
      </c>
      <c r="F817" s="85" t="s">
        <v>28</v>
      </c>
      <c r="G817" s="88" t="s">
        <v>2652</v>
      </c>
      <c r="H817" s="88" t="s">
        <v>2653</v>
      </c>
      <c r="I817" s="85"/>
      <c r="J817" s="88" t="s">
        <v>2654</v>
      </c>
      <c r="K817" s="92" t="s">
        <v>24</v>
      </c>
      <c r="L817" s="88"/>
      <c r="M817" s="88" t="s">
        <v>2655</v>
      </c>
      <c r="N817" s="90" t="s">
        <v>34</v>
      </c>
      <c r="O817" s="85" t="s">
        <v>106</v>
      </c>
      <c r="P817" s="82"/>
    </row>
    <row r="818" ht="33" hidden="1" spans="1:16">
      <c r="A818" s="83">
        <v>817</v>
      </c>
      <c r="B818" s="98">
        <v>46167</v>
      </c>
      <c r="C818" s="85" t="s">
        <v>68</v>
      </c>
      <c r="D818" s="85" t="s">
        <v>26</v>
      </c>
      <c r="E818" s="85" t="s">
        <v>35</v>
      </c>
      <c r="F818" s="85" t="s">
        <v>28</v>
      </c>
      <c r="G818" s="88" t="s">
        <v>2656</v>
      </c>
      <c r="H818" s="88" t="s">
        <v>2657</v>
      </c>
      <c r="I818" s="85"/>
      <c r="J818" s="88" t="s">
        <v>2654</v>
      </c>
      <c r="K818" s="92" t="s">
        <v>24</v>
      </c>
      <c r="L818" s="88"/>
      <c r="M818" s="88" t="s">
        <v>2655</v>
      </c>
      <c r="N818" s="90" t="s">
        <v>34</v>
      </c>
      <c r="O818" s="85" t="s">
        <v>106</v>
      </c>
      <c r="P818" s="82"/>
    </row>
    <row r="819" ht="33" hidden="1" spans="1:16">
      <c r="A819" s="83">
        <v>818</v>
      </c>
      <c r="B819" s="98">
        <v>46167</v>
      </c>
      <c r="C819" s="85" t="s">
        <v>68</v>
      </c>
      <c r="D819" s="85" t="s">
        <v>26</v>
      </c>
      <c r="E819" s="85" t="s">
        <v>35</v>
      </c>
      <c r="F819" s="85" t="s">
        <v>28</v>
      </c>
      <c r="G819" s="88" t="s">
        <v>2658</v>
      </c>
      <c r="H819" s="88" t="s">
        <v>2659</v>
      </c>
      <c r="I819" s="85"/>
      <c r="J819" s="88" t="s">
        <v>2654</v>
      </c>
      <c r="K819" s="92" t="s">
        <v>24</v>
      </c>
      <c r="L819" s="88"/>
      <c r="M819" s="88" t="s">
        <v>2655</v>
      </c>
      <c r="N819" s="90" t="s">
        <v>34</v>
      </c>
      <c r="O819" s="85" t="s">
        <v>106</v>
      </c>
      <c r="P819" s="82"/>
    </row>
    <row r="820" ht="33" hidden="1" spans="1:16">
      <c r="A820" s="83">
        <v>819</v>
      </c>
      <c r="B820" s="98">
        <v>46167</v>
      </c>
      <c r="C820" s="85" t="s">
        <v>68</v>
      </c>
      <c r="D820" s="85" t="s">
        <v>26</v>
      </c>
      <c r="E820" s="85" t="s">
        <v>35</v>
      </c>
      <c r="F820" s="85" t="s">
        <v>28</v>
      </c>
      <c r="G820" s="88" t="s">
        <v>2660</v>
      </c>
      <c r="H820" s="88" t="s">
        <v>2661</v>
      </c>
      <c r="I820" s="85"/>
      <c r="J820" s="88" t="s">
        <v>2654</v>
      </c>
      <c r="K820" s="92" t="s">
        <v>24</v>
      </c>
      <c r="L820" s="88"/>
      <c r="M820" s="88" t="s">
        <v>2655</v>
      </c>
      <c r="N820" s="90" t="s">
        <v>34</v>
      </c>
      <c r="O820" s="85" t="s">
        <v>106</v>
      </c>
      <c r="P820" s="82"/>
    </row>
    <row r="821" ht="33" hidden="1" spans="1:16">
      <c r="A821" s="83">
        <v>820</v>
      </c>
      <c r="B821" s="98">
        <v>46167</v>
      </c>
      <c r="C821" s="85" t="s">
        <v>68</v>
      </c>
      <c r="D821" s="85" t="s">
        <v>26</v>
      </c>
      <c r="E821" s="85" t="s">
        <v>35</v>
      </c>
      <c r="F821" s="85" t="s">
        <v>28</v>
      </c>
      <c r="G821" s="88" t="s">
        <v>2662</v>
      </c>
      <c r="H821" s="88" t="s">
        <v>2663</v>
      </c>
      <c r="I821" s="85"/>
      <c r="J821" s="88" t="s">
        <v>2654</v>
      </c>
      <c r="K821" s="92" t="s">
        <v>24</v>
      </c>
      <c r="L821" s="88"/>
      <c r="M821" s="88" t="s">
        <v>2655</v>
      </c>
      <c r="N821" s="90" t="s">
        <v>34</v>
      </c>
      <c r="O821" s="85" t="s">
        <v>106</v>
      </c>
      <c r="P821" s="82"/>
    </row>
    <row r="822" ht="33" hidden="1" spans="1:16">
      <c r="A822" s="83">
        <v>821</v>
      </c>
      <c r="B822" s="98">
        <v>46167</v>
      </c>
      <c r="C822" s="85" t="s">
        <v>49</v>
      </c>
      <c r="D822" s="85" t="s">
        <v>26</v>
      </c>
      <c r="E822" s="85" t="s">
        <v>35</v>
      </c>
      <c r="F822" s="85" t="s">
        <v>28</v>
      </c>
      <c r="G822" s="88" t="s">
        <v>2664</v>
      </c>
      <c r="H822" s="88" t="s">
        <v>2665</v>
      </c>
      <c r="I822" s="85"/>
      <c r="J822" s="88" t="s">
        <v>2634</v>
      </c>
      <c r="K822" s="92" t="s">
        <v>49</v>
      </c>
      <c r="L822" s="88"/>
      <c r="M822" s="88" t="s">
        <v>2666</v>
      </c>
      <c r="N822" s="90" t="s">
        <v>34</v>
      </c>
      <c r="O822" s="85"/>
      <c r="P822" s="82"/>
    </row>
    <row r="823" ht="33" hidden="1" spans="1:16">
      <c r="A823" s="83">
        <v>822</v>
      </c>
      <c r="B823" s="98">
        <v>46167</v>
      </c>
      <c r="C823" s="85" t="s">
        <v>68</v>
      </c>
      <c r="D823" s="85" t="s">
        <v>40</v>
      </c>
      <c r="E823" s="85" t="s">
        <v>41</v>
      </c>
      <c r="F823" s="85" t="s">
        <v>28</v>
      </c>
      <c r="G823" s="88" t="s">
        <v>2667</v>
      </c>
      <c r="H823" s="88" t="s">
        <v>2668</v>
      </c>
      <c r="I823" s="85"/>
      <c r="J823" s="88" t="s">
        <v>2638</v>
      </c>
      <c r="K823" s="92" t="s">
        <v>32</v>
      </c>
      <c r="L823" s="88"/>
      <c r="M823" s="88" t="s">
        <v>2669</v>
      </c>
      <c r="N823" s="90" t="s">
        <v>34</v>
      </c>
      <c r="O823" s="85"/>
      <c r="P823" s="82"/>
    </row>
    <row r="824" ht="33" hidden="1" spans="1:16">
      <c r="A824" s="83">
        <v>823</v>
      </c>
      <c r="B824" s="98">
        <v>46167</v>
      </c>
      <c r="C824" s="85" t="s">
        <v>68</v>
      </c>
      <c r="D824" s="85" t="s">
        <v>40</v>
      </c>
      <c r="E824" s="85" t="s">
        <v>41</v>
      </c>
      <c r="F824" s="85" t="s">
        <v>28</v>
      </c>
      <c r="G824" s="88" t="s">
        <v>2670</v>
      </c>
      <c r="H824" s="88" t="s">
        <v>2671</v>
      </c>
      <c r="I824" s="85"/>
      <c r="J824" s="88" t="s">
        <v>2638</v>
      </c>
      <c r="K824" s="92" t="s">
        <v>32</v>
      </c>
      <c r="L824" s="88"/>
      <c r="M824" s="88" t="s">
        <v>2672</v>
      </c>
      <c r="N824" s="90" t="s">
        <v>34</v>
      </c>
      <c r="O824" s="85"/>
      <c r="P824" s="82"/>
    </row>
    <row r="825" ht="33" hidden="1" spans="1:16">
      <c r="A825" s="83">
        <v>824</v>
      </c>
      <c r="B825" s="98">
        <v>46167</v>
      </c>
      <c r="C825" s="85" t="s">
        <v>68</v>
      </c>
      <c r="D825" s="85" t="s">
        <v>40</v>
      </c>
      <c r="E825" s="85" t="s">
        <v>41</v>
      </c>
      <c r="F825" s="85" t="s">
        <v>28</v>
      </c>
      <c r="G825" s="88" t="s">
        <v>2673</v>
      </c>
      <c r="H825" s="88" t="s">
        <v>2674</v>
      </c>
      <c r="I825" s="85"/>
      <c r="J825" s="88" t="s">
        <v>2638</v>
      </c>
      <c r="K825" s="92" t="s">
        <v>32</v>
      </c>
      <c r="L825" s="88"/>
      <c r="M825" s="88" t="s">
        <v>2672</v>
      </c>
      <c r="N825" s="90" t="s">
        <v>34</v>
      </c>
      <c r="O825" s="85"/>
      <c r="P825" s="82"/>
    </row>
    <row r="826" ht="33" hidden="1" spans="1:16">
      <c r="A826" s="83">
        <v>825</v>
      </c>
      <c r="B826" s="98">
        <v>46167</v>
      </c>
      <c r="C826" s="85" t="s">
        <v>68</v>
      </c>
      <c r="D826" s="85" t="s">
        <v>40</v>
      </c>
      <c r="E826" s="85" t="s">
        <v>41</v>
      </c>
      <c r="F826" s="85" t="s">
        <v>28</v>
      </c>
      <c r="G826" s="88" t="s">
        <v>2675</v>
      </c>
      <c r="H826" s="88" t="s">
        <v>2676</v>
      </c>
      <c r="I826" s="85"/>
      <c r="J826" s="88" t="s">
        <v>2638</v>
      </c>
      <c r="K826" s="92" t="s">
        <v>32</v>
      </c>
      <c r="L826" s="88"/>
      <c r="M826" s="88" t="s">
        <v>2672</v>
      </c>
      <c r="N826" s="90" t="s">
        <v>34</v>
      </c>
      <c r="O826" s="85"/>
      <c r="P826" s="82"/>
    </row>
    <row r="827" ht="33" hidden="1" spans="1:16">
      <c r="A827" s="83">
        <v>826</v>
      </c>
      <c r="B827" s="98">
        <v>46167</v>
      </c>
      <c r="C827" s="85" t="s">
        <v>68</v>
      </c>
      <c r="D827" s="85" t="s">
        <v>40</v>
      </c>
      <c r="E827" s="85" t="s">
        <v>41</v>
      </c>
      <c r="F827" s="85" t="s">
        <v>28</v>
      </c>
      <c r="G827" s="88" t="s">
        <v>2677</v>
      </c>
      <c r="H827" s="88" t="s">
        <v>2678</v>
      </c>
      <c r="I827" s="85"/>
      <c r="J827" s="88" t="s">
        <v>2638</v>
      </c>
      <c r="K827" s="92" t="s">
        <v>32</v>
      </c>
      <c r="L827" s="88"/>
      <c r="M827" s="88" t="s">
        <v>2672</v>
      </c>
      <c r="N827" s="90" t="s">
        <v>34</v>
      </c>
      <c r="O827" s="85"/>
      <c r="P827" s="82"/>
    </row>
    <row r="828" ht="33" hidden="1" spans="1:16">
      <c r="A828" s="83">
        <v>827</v>
      </c>
      <c r="B828" s="98">
        <v>46167</v>
      </c>
      <c r="C828" s="85" t="s">
        <v>68</v>
      </c>
      <c r="D828" s="85" t="s">
        <v>40</v>
      </c>
      <c r="E828" s="85" t="s">
        <v>41</v>
      </c>
      <c r="F828" s="85" t="s">
        <v>28</v>
      </c>
      <c r="G828" s="88" t="s">
        <v>2679</v>
      </c>
      <c r="H828" s="88" t="s">
        <v>2680</v>
      </c>
      <c r="I828" s="85"/>
      <c r="J828" s="88" t="s">
        <v>2638</v>
      </c>
      <c r="K828" s="92" t="s">
        <v>32</v>
      </c>
      <c r="L828" s="88"/>
      <c r="M828" s="88" t="s">
        <v>2672</v>
      </c>
      <c r="N828" s="90" t="s">
        <v>34</v>
      </c>
      <c r="O828" s="85"/>
      <c r="P828" s="82"/>
    </row>
    <row r="829" hidden="1" spans="1:16">
      <c r="A829" s="83">
        <v>828</v>
      </c>
      <c r="B829" s="98">
        <v>46168</v>
      </c>
      <c r="C829" s="85" t="s">
        <v>68</v>
      </c>
      <c r="D829" s="85" t="s">
        <v>26</v>
      </c>
      <c r="E829" s="85" t="s">
        <v>27</v>
      </c>
      <c r="F829" s="85" t="s">
        <v>28</v>
      </c>
      <c r="G829" s="88" t="s">
        <v>2681</v>
      </c>
      <c r="H829" s="88" t="s">
        <v>2682</v>
      </c>
      <c r="I829" s="85"/>
      <c r="J829" s="88" t="s">
        <v>2642</v>
      </c>
      <c r="K829" s="92" t="s">
        <v>32</v>
      </c>
      <c r="L829" s="88"/>
      <c r="M829" s="88" t="s">
        <v>2683</v>
      </c>
      <c r="N829" s="90" t="s">
        <v>34</v>
      </c>
      <c r="O829" s="85"/>
      <c r="P829" s="82"/>
    </row>
    <row r="830" hidden="1" spans="1:16">
      <c r="A830" s="83">
        <v>829</v>
      </c>
      <c r="B830" s="98">
        <v>46168</v>
      </c>
      <c r="C830" s="85" t="s">
        <v>49</v>
      </c>
      <c r="D830" s="85" t="s">
        <v>164</v>
      </c>
      <c r="E830" s="85" t="s">
        <v>416</v>
      </c>
      <c r="F830" s="85" t="s">
        <v>28</v>
      </c>
      <c r="G830" s="88" t="s">
        <v>2684</v>
      </c>
      <c r="H830" s="88" t="s">
        <v>2685</v>
      </c>
      <c r="I830" s="85"/>
      <c r="J830" s="88" t="s">
        <v>2634</v>
      </c>
      <c r="K830" s="92" t="s">
        <v>49</v>
      </c>
      <c r="L830" s="88"/>
      <c r="M830" s="88" t="s">
        <v>2686</v>
      </c>
      <c r="N830" s="90" t="s">
        <v>34</v>
      </c>
      <c r="O830" s="85"/>
      <c r="P830" s="82"/>
    </row>
    <row r="831" ht="82.5" hidden="1" spans="1:16">
      <c r="A831" s="83">
        <v>830</v>
      </c>
      <c r="B831" s="98">
        <v>46168</v>
      </c>
      <c r="C831" s="85" t="s">
        <v>25</v>
      </c>
      <c r="D831" s="85" t="s">
        <v>26</v>
      </c>
      <c r="E831" s="85" t="s">
        <v>35</v>
      </c>
      <c r="F831" s="85" t="s">
        <v>28</v>
      </c>
      <c r="G831" s="85" t="s">
        <v>2687</v>
      </c>
      <c r="H831" s="88">
        <v>285474620</v>
      </c>
      <c r="I831" s="85"/>
      <c r="J831" s="88" t="s">
        <v>2688</v>
      </c>
      <c r="K831" s="92" t="s">
        <v>24</v>
      </c>
      <c r="L831" s="85"/>
      <c r="M831" s="88" t="s">
        <v>2689</v>
      </c>
      <c r="N831" s="90" t="s">
        <v>34</v>
      </c>
      <c r="O831" s="85" t="s">
        <v>106</v>
      </c>
      <c r="P831" s="82"/>
    </row>
    <row r="832" ht="33" hidden="1" spans="1:16">
      <c r="A832" s="83">
        <v>831</v>
      </c>
      <c r="B832" s="98">
        <v>46168</v>
      </c>
      <c r="C832" s="85" t="s">
        <v>403</v>
      </c>
      <c r="D832" s="85" t="s">
        <v>26</v>
      </c>
      <c r="E832" s="85" t="s">
        <v>35</v>
      </c>
      <c r="F832" s="85" t="s">
        <v>28</v>
      </c>
      <c r="G832" s="88" t="s">
        <v>2690</v>
      </c>
      <c r="H832" s="88">
        <v>285474709</v>
      </c>
      <c r="I832" s="88"/>
      <c r="J832" s="88" t="s">
        <v>2691</v>
      </c>
      <c r="K832" s="92" t="s">
        <v>24</v>
      </c>
      <c r="L832" s="85"/>
      <c r="M832" s="88" t="s">
        <v>2692</v>
      </c>
      <c r="N832" s="90" t="s">
        <v>34</v>
      </c>
      <c r="O832" s="85" t="s">
        <v>106</v>
      </c>
      <c r="P832" s="82"/>
    </row>
    <row r="833" hidden="1" spans="1:16">
      <c r="A833" s="83">
        <v>832</v>
      </c>
      <c r="B833" s="98">
        <v>46168</v>
      </c>
      <c r="C833" s="85" t="s">
        <v>68</v>
      </c>
      <c r="D833" s="85" t="s">
        <v>40</v>
      </c>
      <c r="E833" s="85" t="s">
        <v>41</v>
      </c>
      <c r="F833" s="85" t="s">
        <v>28</v>
      </c>
      <c r="G833" s="88" t="s">
        <v>2693</v>
      </c>
      <c r="H833" s="88">
        <v>270793082</v>
      </c>
      <c r="I833" s="88"/>
      <c r="J833" s="88" t="s">
        <v>2694</v>
      </c>
      <c r="K833" s="92" t="s">
        <v>24</v>
      </c>
      <c r="L833" s="85"/>
      <c r="M833" s="88" t="s">
        <v>2695</v>
      </c>
      <c r="N833" s="90" t="s">
        <v>34</v>
      </c>
      <c r="O833" s="85" t="s">
        <v>380</v>
      </c>
      <c r="P833" s="82"/>
    </row>
    <row r="834" hidden="1" spans="1:16">
      <c r="A834" s="83">
        <v>833</v>
      </c>
      <c r="B834" s="98">
        <v>46168</v>
      </c>
      <c r="C834" s="85" t="s">
        <v>68</v>
      </c>
      <c r="D834" s="85" t="s">
        <v>26</v>
      </c>
      <c r="E834" s="85" t="s">
        <v>27</v>
      </c>
      <c r="F834" s="85" t="s">
        <v>28</v>
      </c>
      <c r="G834" s="88" t="s">
        <v>2696</v>
      </c>
      <c r="H834" s="88" t="s">
        <v>2697</v>
      </c>
      <c r="I834" s="88"/>
      <c r="J834" s="88" t="s">
        <v>2698</v>
      </c>
      <c r="K834" s="92" t="s">
        <v>32</v>
      </c>
      <c r="L834" s="85"/>
      <c r="M834" s="88" t="s">
        <v>2699</v>
      </c>
      <c r="N834" s="90" t="s">
        <v>34</v>
      </c>
      <c r="O834" s="85"/>
      <c r="P834" s="82"/>
    </row>
    <row r="835" ht="33" hidden="1" spans="1:16">
      <c r="A835" s="83">
        <v>834</v>
      </c>
      <c r="B835" s="98">
        <v>46168</v>
      </c>
      <c r="C835" s="85" t="s">
        <v>25</v>
      </c>
      <c r="D835" s="85" t="s">
        <v>164</v>
      </c>
      <c r="E835" s="85" t="s">
        <v>416</v>
      </c>
      <c r="F835" s="85" t="s">
        <v>28</v>
      </c>
      <c r="G835" s="88" t="s">
        <v>2700</v>
      </c>
      <c r="H835" s="88" t="s">
        <v>2701</v>
      </c>
      <c r="I835" s="88"/>
      <c r="J835" s="88" t="s">
        <v>2702</v>
      </c>
      <c r="K835" s="92" t="s">
        <v>92</v>
      </c>
      <c r="L835" s="85"/>
      <c r="M835" s="88" t="s">
        <v>2703</v>
      </c>
      <c r="N835" s="90" t="s">
        <v>34</v>
      </c>
      <c r="O835" s="85"/>
      <c r="P835" s="82"/>
    </row>
    <row r="836" hidden="1" spans="1:16">
      <c r="A836" s="83">
        <v>835</v>
      </c>
      <c r="B836" s="98">
        <v>46169</v>
      </c>
      <c r="C836" s="85" t="s">
        <v>68</v>
      </c>
      <c r="D836" s="85" t="s">
        <v>26</v>
      </c>
      <c r="E836" s="85" t="s">
        <v>27</v>
      </c>
      <c r="F836" s="85" t="s">
        <v>28</v>
      </c>
      <c r="G836" s="88" t="s">
        <v>2704</v>
      </c>
      <c r="H836" s="88" t="s">
        <v>2705</v>
      </c>
      <c r="I836" s="85"/>
      <c r="J836" s="88" t="s">
        <v>2706</v>
      </c>
      <c r="K836" s="92" t="s">
        <v>32</v>
      </c>
      <c r="L836" s="88"/>
      <c r="M836" s="88" t="s">
        <v>2683</v>
      </c>
      <c r="N836" s="90" t="s">
        <v>34</v>
      </c>
      <c r="O836" s="85"/>
      <c r="P836" s="82"/>
    </row>
    <row r="837" hidden="1" spans="1:16">
      <c r="A837" s="83">
        <v>836</v>
      </c>
      <c r="B837" s="98">
        <v>46169</v>
      </c>
      <c r="C837" s="85" t="s">
        <v>49</v>
      </c>
      <c r="D837" s="85" t="s">
        <v>26</v>
      </c>
      <c r="E837" s="85" t="s">
        <v>27</v>
      </c>
      <c r="F837" s="85" t="s">
        <v>28</v>
      </c>
      <c r="G837" s="88" t="s">
        <v>2707</v>
      </c>
      <c r="H837" s="88" t="s">
        <v>2708</v>
      </c>
      <c r="I837" s="85"/>
      <c r="J837" s="88" t="s">
        <v>2709</v>
      </c>
      <c r="K837" s="92" t="s">
        <v>49</v>
      </c>
      <c r="L837" s="85"/>
      <c r="M837" s="88" t="s">
        <v>2710</v>
      </c>
      <c r="N837" s="90" t="s">
        <v>34</v>
      </c>
      <c r="O837" s="85"/>
      <c r="P837" s="82"/>
    </row>
    <row r="838" ht="33" hidden="1" spans="1:16">
      <c r="A838" s="83">
        <v>837</v>
      </c>
      <c r="B838" s="98">
        <v>46169</v>
      </c>
      <c r="C838" s="85" t="s">
        <v>25</v>
      </c>
      <c r="D838" s="85" t="s">
        <v>26</v>
      </c>
      <c r="E838" s="85" t="s">
        <v>27</v>
      </c>
      <c r="F838" s="85" t="s">
        <v>28</v>
      </c>
      <c r="G838" s="88" t="s">
        <v>2711</v>
      </c>
      <c r="H838" s="88" t="s">
        <v>2712</v>
      </c>
      <c r="I838" s="85"/>
      <c r="J838" s="88" t="s">
        <v>2713</v>
      </c>
      <c r="K838" s="92" t="s">
        <v>32</v>
      </c>
      <c r="L838" s="85"/>
      <c r="M838" s="88" t="s">
        <v>2714</v>
      </c>
      <c r="N838" s="90" t="s">
        <v>34</v>
      </c>
      <c r="O838" s="85"/>
      <c r="P838" s="82"/>
    </row>
    <row r="839" spans="1:16">
      <c r="A839" s="83">
        <v>838</v>
      </c>
      <c r="B839" s="98">
        <v>46169</v>
      </c>
      <c r="C839" s="85" t="s">
        <v>25</v>
      </c>
      <c r="D839" s="85" t="s">
        <v>26</v>
      </c>
      <c r="E839" s="85" t="s">
        <v>27</v>
      </c>
      <c r="F839" s="85" t="s">
        <v>28</v>
      </c>
      <c r="G839" s="88" t="s">
        <v>2715</v>
      </c>
      <c r="H839" s="88" t="s">
        <v>2716</v>
      </c>
      <c r="I839" s="85"/>
      <c r="J839" s="88" t="s">
        <v>2717</v>
      </c>
      <c r="K839" s="92" t="s">
        <v>32</v>
      </c>
      <c r="L839" s="85"/>
      <c r="M839" s="88" t="s">
        <v>2718</v>
      </c>
      <c r="N839" s="90" t="s">
        <v>113</v>
      </c>
      <c r="O839" s="85"/>
      <c r="P839" s="82"/>
    </row>
    <row r="840" ht="33" hidden="1" spans="1:16">
      <c r="A840" s="83">
        <v>839</v>
      </c>
      <c r="B840" s="98">
        <v>46169</v>
      </c>
      <c r="C840" s="85" t="s">
        <v>25</v>
      </c>
      <c r="D840" s="85" t="s">
        <v>26</v>
      </c>
      <c r="E840" s="85" t="s">
        <v>27</v>
      </c>
      <c r="F840" s="85" t="s">
        <v>28</v>
      </c>
      <c r="G840" s="88" t="s">
        <v>2719</v>
      </c>
      <c r="H840" s="88" t="s">
        <v>2720</v>
      </c>
      <c r="I840" s="85"/>
      <c r="J840" s="88" t="s">
        <v>2721</v>
      </c>
      <c r="K840" s="92" t="s">
        <v>32</v>
      </c>
      <c r="L840" s="85"/>
      <c r="M840" s="88" t="s">
        <v>2714</v>
      </c>
      <c r="N840" s="90" t="s">
        <v>34</v>
      </c>
      <c r="O840" s="85"/>
      <c r="P840" s="82"/>
    </row>
    <row r="841" ht="33" hidden="1" spans="1:16">
      <c r="A841" s="83">
        <v>840</v>
      </c>
      <c r="B841" s="98">
        <v>46169</v>
      </c>
      <c r="C841" s="85" t="s">
        <v>25</v>
      </c>
      <c r="D841" s="85" t="s">
        <v>26</v>
      </c>
      <c r="E841" s="85" t="s">
        <v>27</v>
      </c>
      <c r="F841" s="85" t="s">
        <v>28</v>
      </c>
      <c r="G841" s="88" t="s">
        <v>2722</v>
      </c>
      <c r="H841" s="88" t="s">
        <v>2723</v>
      </c>
      <c r="I841" s="85"/>
      <c r="J841" s="88" t="s">
        <v>2724</v>
      </c>
      <c r="K841" s="92" t="s">
        <v>92</v>
      </c>
      <c r="L841" s="85"/>
      <c r="M841" s="88" t="s">
        <v>2725</v>
      </c>
      <c r="N841" s="90" t="s">
        <v>34</v>
      </c>
      <c r="O841" s="85"/>
      <c r="P841" s="82"/>
    </row>
    <row r="842" ht="33" hidden="1" spans="1:16">
      <c r="A842" s="83">
        <v>841</v>
      </c>
      <c r="B842" s="98">
        <v>46169</v>
      </c>
      <c r="C842" s="85" t="s">
        <v>68</v>
      </c>
      <c r="D842" s="85" t="s">
        <v>40</v>
      </c>
      <c r="E842" s="85" t="s">
        <v>41</v>
      </c>
      <c r="F842" s="85" t="s">
        <v>28</v>
      </c>
      <c r="G842" s="88" t="s">
        <v>2726</v>
      </c>
      <c r="H842" s="88" t="s">
        <v>2727</v>
      </c>
      <c r="I842" s="85"/>
      <c r="J842" s="88" t="s">
        <v>2728</v>
      </c>
      <c r="K842" s="92" t="s">
        <v>24</v>
      </c>
      <c r="L842" s="85"/>
      <c r="M842" s="88" t="s">
        <v>2729</v>
      </c>
      <c r="N842" s="90" t="s">
        <v>34</v>
      </c>
      <c r="O842" s="85"/>
      <c r="P842" s="82"/>
    </row>
    <row r="843" hidden="1" spans="1:16">
      <c r="A843" s="83">
        <v>842</v>
      </c>
      <c r="B843" s="98">
        <v>46170</v>
      </c>
      <c r="C843" s="85" t="s">
        <v>49</v>
      </c>
      <c r="D843" s="85" t="s">
        <v>164</v>
      </c>
      <c r="E843" s="85" t="s">
        <v>416</v>
      </c>
      <c r="F843" s="85" t="s">
        <v>28</v>
      </c>
      <c r="G843" s="85" t="s">
        <v>2730</v>
      </c>
      <c r="H843" s="88" t="s">
        <v>2731</v>
      </c>
      <c r="I843" s="85"/>
      <c r="J843" s="88" t="s">
        <v>2732</v>
      </c>
      <c r="K843" s="92" t="s">
        <v>49</v>
      </c>
      <c r="L843" s="85"/>
      <c r="M843" s="88" t="s">
        <v>2733</v>
      </c>
      <c r="N843" s="90" t="s">
        <v>34</v>
      </c>
      <c r="O843" s="85"/>
      <c r="P843" s="82"/>
    </row>
    <row r="844" ht="33" spans="1:16">
      <c r="A844" s="83">
        <v>843</v>
      </c>
      <c r="B844" s="98">
        <v>46174</v>
      </c>
      <c r="C844" s="85" t="s">
        <v>2734</v>
      </c>
      <c r="D844" s="85" t="s">
        <v>40</v>
      </c>
      <c r="E844" s="85" t="s">
        <v>148</v>
      </c>
      <c r="F844" s="85" t="s">
        <v>28</v>
      </c>
      <c r="G844" s="85" t="s">
        <v>2735</v>
      </c>
      <c r="H844" s="88" t="s">
        <v>2736</v>
      </c>
      <c r="I844" s="85"/>
      <c r="J844" s="88" t="s">
        <v>2737</v>
      </c>
      <c r="K844" s="92" t="s">
        <v>92</v>
      </c>
      <c r="L844" s="85"/>
      <c r="M844" s="88" t="s">
        <v>2738</v>
      </c>
      <c r="N844" s="90" t="s">
        <v>113</v>
      </c>
      <c r="O844" s="85"/>
      <c r="P844" s="82"/>
    </row>
    <row r="845" hidden="1" spans="1:16">
      <c r="A845" s="83">
        <v>844</v>
      </c>
      <c r="B845" s="98">
        <v>46170</v>
      </c>
      <c r="C845" s="85" t="s">
        <v>49</v>
      </c>
      <c r="D845" s="85" t="s">
        <v>26</v>
      </c>
      <c r="E845" s="85" t="s">
        <v>35</v>
      </c>
      <c r="F845" s="85" t="s">
        <v>28</v>
      </c>
      <c r="G845" s="85" t="s">
        <v>2739</v>
      </c>
      <c r="H845" s="88" t="s">
        <v>2740</v>
      </c>
      <c r="I845" s="85"/>
      <c r="J845" s="88" t="s">
        <v>2741</v>
      </c>
      <c r="K845" s="92" t="s">
        <v>49</v>
      </c>
      <c r="L845" s="85"/>
      <c r="M845" s="88" t="s">
        <v>2742</v>
      </c>
      <c r="N845" s="90" t="s">
        <v>34</v>
      </c>
      <c r="O845" s="85"/>
      <c r="P845" s="82"/>
    </row>
    <row r="846" ht="33" hidden="1" spans="1:16">
      <c r="A846" s="83">
        <v>845</v>
      </c>
      <c r="B846" s="98">
        <v>46170</v>
      </c>
      <c r="C846" s="85" t="s">
        <v>49</v>
      </c>
      <c r="D846" s="85" t="s">
        <v>40</v>
      </c>
      <c r="E846" s="85" t="s">
        <v>41</v>
      </c>
      <c r="F846" s="85" t="s">
        <v>28</v>
      </c>
      <c r="G846" s="85" t="s">
        <v>2743</v>
      </c>
      <c r="H846" s="88" t="s">
        <v>2744</v>
      </c>
      <c r="I846" s="85"/>
      <c r="J846" s="88" t="s">
        <v>2745</v>
      </c>
      <c r="K846" s="92" t="s">
        <v>49</v>
      </c>
      <c r="L846" s="85"/>
      <c r="M846" s="88" t="s">
        <v>2746</v>
      </c>
      <c r="N846" s="90" t="s">
        <v>34</v>
      </c>
      <c r="O846" s="85"/>
      <c r="P846" s="82"/>
    </row>
    <row r="847" hidden="1" spans="1:16">
      <c r="A847" s="83">
        <v>846</v>
      </c>
      <c r="B847" s="98">
        <v>46170</v>
      </c>
      <c r="C847" s="85" t="s">
        <v>68</v>
      </c>
      <c r="D847" s="85" t="s">
        <v>26</v>
      </c>
      <c r="E847" s="85" t="s">
        <v>27</v>
      </c>
      <c r="F847" s="85" t="s">
        <v>28</v>
      </c>
      <c r="G847" s="85" t="s">
        <v>2747</v>
      </c>
      <c r="H847" s="88" t="s">
        <v>2748</v>
      </c>
      <c r="I847" s="85"/>
      <c r="J847" s="88" t="s">
        <v>2749</v>
      </c>
      <c r="K847" s="92" t="s">
        <v>32</v>
      </c>
      <c r="L847" s="85"/>
      <c r="M847" s="88" t="s">
        <v>2750</v>
      </c>
      <c r="N847" s="90" t="s">
        <v>34</v>
      </c>
      <c r="O847" s="85"/>
      <c r="P847" s="82"/>
    </row>
    <row r="848" hidden="1" spans="1:16">
      <c r="A848" s="83">
        <v>847</v>
      </c>
      <c r="B848" s="98">
        <v>46170</v>
      </c>
      <c r="C848" s="85" t="s">
        <v>68</v>
      </c>
      <c r="D848" s="85" t="s">
        <v>26</v>
      </c>
      <c r="E848" s="85" t="s">
        <v>27</v>
      </c>
      <c r="F848" s="85" t="s">
        <v>28</v>
      </c>
      <c r="G848" s="88" t="s">
        <v>2751</v>
      </c>
      <c r="H848" s="88" t="s">
        <v>2752</v>
      </c>
      <c r="I848" s="85"/>
      <c r="J848" s="88" t="s">
        <v>2753</v>
      </c>
      <c r="K848" s="92" t="s">
        <v>32</v>
      </c>
      <c r="L848" s="85"/>
      <c r="M848" s="88" t="s">
        <v>2750</v>
      </c>
      <c r="N848" s="90" t="s">
        <v>34</v>
      </c>
      <c r="O848" s="85"/>
      <c r="P848" s="82"/>
    </row>
    <row r="849" hidden="1" spans="1:16">
      <c r="A849" s="83">
        <v>848</v>
      </c>
      <c r="B849" s="98">
        <v>46170</v>
      </c>
      <c r="C849" s="85" t="s">
        <v>49</v>
      </c>
      <c r="D849" s="85" t="s">
        <v>40</v>
      </c>
      <c r="E849" s="88" t="s">
        <v>41</v>
      </c>
      <c r="F849" s="88" t="s">
        <v>28</v>
      </c>
      <c r="G849" s="88" t="s">
        <v>2754</v>
      </c>
      <c r="H849" s="88" t="s">
        <v>2755</v>
      </c>
      <c r="I849" s="85"/>
      <c r="J849" s="88" t="s">
        <v>2756</v>
      </c>
      <c r="K849" s="92" t="s">
        <v>49</v>
      </c>
      <c r="L849" s="85"/>
      <c r="M849" s="88" t="s">
        <v>2757</v>
      </c>
      <c r="N849" s="90" t="s">
        <v>34</v>
      </c>
      <c r="O849" s="85"/>
      <c r="P849" s="82"/>
    </row>
    <row r="850" hidden="1" spans="1:16">
      <c r="A850" s="83">
        <v>849</v>
      </c>
      <c r="B850" s="98">
        <v>46170</v>
      </c>
      <c r="C850" s="85" t="s">
        <v>68</v>
      </c>
      <c r="D850" s="85" t="s">
        <v>40</v>
      </c>
      <c r="E850" s="88" t="s">
        <v>41</v>
      </c>
      <c r="F850" s="88" t="s">
        <v>28</v>
      </c>
      <c r="G850" s="88" t="s">
        <v>2758</v>
      </c>
      <c r="H850" s="88" t="s">
        <v>2759</v>
      </c>
      <c r="I850" s="85"/>
      <c r="J850" s="88" t="s">
        <v>2760</v>
      </c>
      <c r="K850" s="92" t="s">
        <v>32</v>
      </c>
      <c r="L850" s="88"/>
      <c r="M850" s="88" t="s">
        <v>2761</v>
      </c>
      <c r="N850" s="90" t="s">
        <v>34</v>
      </c>
      <c r="O850" s="85"/>
      <c r="P850" s="82"/>
    </row>
    <row r="851" hidden="1" spans="1:16">
      <c r="A851" s="83">
        <v>850</v>
      </c>
      <c r="B851" s="98">
        <v>46170</v>
      </c>
      <c r="C851" s="85" t="s">
        <v>68</v>
      </c>
      <c r="D851" s="85" t="s">
        <v>40</v>
      </c>
      <c r="E851" s="88" t="s">
        <v>41</v>
      </c>
      <c r="F851" s="88" t="s">
        <v>28</v>
      </c>
      <c r="G851" s="88" t="s">
        <v>2762</v>
      </c>
      <c r="H851" s="88" t="s">
        <v>2763</v>
      </c>
      <c r="I851" s="85"/>
      <c r="J851" s="88" t="s">
        <v>2760</v>
      </c>
      <c r="K851" s="92" t="s">
        <v>32</v>
      </c>
      <c r="L851" s="88"/>
      <c r="M851" s="88" t="s">
        <v>2761</v>
      </c>
      <c r="N851" s="90" t="s">
        <v>34</v>
      </c>
      <c r="O851" s="85"/>
      <c r="P851" s="82"/>
    </row>
    <row r="852" hidden="1" spans="1:16">
      <c r="A852" s="83">
        <v>851</v>
      </c>
      <c r="B852" s="98">
        <v>46170</v>
      </c>
      <c r="C852" s="85" t="s">
        <v>68</v>
      </c>
      <c r="D852" s="85" t="s">
        <v>40</v>
      </c>
      <c r="E852" s="88" t="s">
        <v>41</v>
      </c>
      <c r="F852" s="88" t="s">
        <v>28</v>
      </c>
      <c r="G852" s="88" t="s">
        <v>2764</v>
      </c>
      <c r="H852" s="88" t="s">
        <v>2765</v>
      </c>
      <c r="I852" s="85"/>
      <c r="J852" s="88" t="s">
        <v>2760</v>
      </c>
      <c r="K852" s="92" t="s">
        <v>32</v>
      </c>
      <c r="L852" s="88"/>
      <c r="M852" s="88" t="s">
        <v>2761</v>
      </c>
      <c r="N852" s="90" t="s">
        <v>34</v>
      </c>
      <c r="O852" s="85"/>
      <c r="P852" s="82"/>
    </row>
    <row r="853" hidden="1" spans="1:16">
      <c r="A853" s="83">
        <v>852</v>
      </c>
      <c r="B853" s="98">
        <v>46170</v>
      </c>
      <c r="C853" s="85" t="s">
        <v>68</v>
      </c>
      <c r="D853" s="85" t="s">
        <v>40</v>
      </c>
      <c r="E853" s="88" t="s">
        <v>41</v>
      </c>
      <c r="F853" s="88" t="s">
        <v>28</v>
      </c>
      <c r="G853" s="88" t="s">
        <v>2766</v>
      </c>
      <c r="H853" s="88" t="s">
        <v>2767</v>
      </c>
      <c r="I853" s="85"/>
      <c r="J853" s="88" t="s">
        <v>2760</v>
      </c>
      <c r="K853" s="92" t="s">
        <v>32</v>
      </c>
      <c r="L853" s="88"/>
      <c r="M853" s="88" t="s">
        <v>2761</v>
      </c>
      <c r="N853" s="90" t="s">
        <v>34</v>
      </c>
      <c r="O853" s="85"/>
      <c r="P853" s="82"/>
    </row>
    <row r="854" hidden="1" spans="1:16">
      <c r="A854" s="83">
        <v>853</v>
      </c>
      <c r="B854" s="98">
        <v>46170</v>
      </c>
      <c r="C854" s="85" t="s">
        <v>68</v>
      </c>
      <c r="D854" s="85" t="s">
        <v>40</v>
      </c>
      <c r="E854" s="88" t="s">
        <v>41</v>
      </c>
      <c r="F854" s="88" t="s">
        <v>28</v>
      </c>
      <c r="G854" s="88" t="s">
        <v>2768</v>
      </c>
      <c r="H854" s="88" t="s">
        <v>2769</v>
      </c>
      <c r="I854" s="85"/>
      <c r="J854" s="88" t="s">
        <v>2760</v>
      </c>
      <c r="K854" s="92" t="s">
        <v>32</v>
      </c>
      <c r="L854" s="88"/>
      <c r="M854" s="88" t="s">
        <v>2761</v>
      </c>
      <c r="N854" s="90" t="s">
        <v>34</v>
      </c>
      <c r="O854" s="85"/>
      <c r="P854" s="82"/>
    </row>
    <row r="855" ht="33" hidden="1" spans="1:16">
      <c r="A855" s="83">
        <v>854</v>
      </c>
      <c r="B855" s="98">
        <v>46171</v>
      </c>
      <c r="C855" s="85" t="s">
        <v>49</v>
      </c>
      <c r="D855" s="85" t="s">
        <v>40</v>
      </c>
      <c r="E855" s="88" t="s">
        <v>41</v>
      </c>
      <c r="F855" s="88" t="s">
        <v>28</v>
      </c>
      <c r="G855" s="88" t="s">
        <v>2770</v>
      </c>
      <c r="H855" s="88" t="s">
        <v>2771</v>
      </c>
      <c r="I855" s="85"/>
      <c r="J855" s="88" t="s">
        <v>2772</v>
      </c>
      <c r="K855" s="92" t="s">
        <v>49</v>
      </c>
      <c r="L855" s="85"/>
      <c r="M855" s="88" t="s">
        <v>2773</v>
      </c>
      <c r="N855" s="90" t="s">
        <v>34</v>
      </c>
      <c r="O855" s="85"/>
      <c r="P855" s="82"/>
    </row>
    <row r="856" ht="33" hidden="1" spans="1:16">
      <c r="A856" s="83">
        <v>855</v>
      </c>
      <c r="B856" s="98">
        <v>46171</v>
      </c>
      <c r="C856" s="85" t="s">
        <v>49</v>
      </c>
      <c r="D856" s="85" t="s">
        <v>153</v>
      </c>
      <c r="E856" s="85" t="s">
        <v>154</v>
      </c>
      <c r="F856" s="88" t="s">
        <v>28</v>
      </c>
      <c r="G856" s="85" t="s">
        <v>2774</v>
      </c>
      <c r="H856" s="85" t="s">
        <v>2775</v>
      </c>
      <c r="I856" s="85"/>
      <c r="J856" s="88" t="s">
        <v>2776</v>
      </c>
      <c r="K856" s="92" t="s">
        <v>49</v>
      </c>
      <c r="L856" s="85"/>
      <c r="M856" s="88" t="s">
        <v>2773</v>
      </c>
      <c r="N856" s="90" t="s">
        <v>34</v>
      </c>
      <c r="O856" s="85"/>
      <c r="P856" s="82"/>
    </row>
    <row r="857" ht="33" hidden="1" spans="1:16">
      <c r="A857" s="83">
        <v>856</v>
      </c>
      <c r="B857" s="98">
        <v>46171</v>
      </c>
      <c r="C857" s="85" t="s">
        <v>49</v>
      </c>
      <c r="D857" s="85" t="s">
        <v>317</v>
      </c>
      <c r="E857" s="85" t="s">
        <v>318</v>
      </c>
      <c r="F857" s="85" t="s">
        <v>521</v>
      </c>
      <c r="G857" s="85" t="s">
        <v>2777</v>
      </c>
      <c r="H857" s="85" t="s">
        <v>2778</v>
      </c>
      <c r="I857" s="85"/>
      <c r="J857" s="88" t="s">
        <v>2779</v>
      </c>
      <c r="K857" s="92" t="s">
        <v>49</v>
      </c>
      <c r="L857" s="85"/>
      <c r="M857" s="88" t="s">
        <v>2780</v>
      </c>
      <c r="N857" s="90" t="s">
        <v>34</v>
      </c>
      <c r="O857" s="85"/>
      <c r="P857" s="82"/>
    </row>
    <row r="858" hidden="1" spans="1:16">
      <c r="A858" s="83">
        <v>857</v>
      </c>
      <c r="B858" s="98">
        <v>46171</v>
      </c>
      <c r="C858" s="85" t="s">
        <v>49</v>
      </c>
      <c r="D858" s="85" t="s">
        <v>317</v>
      </c>
      <c r="E858" s="85" t="s">
        <v>318</v>
      </c>
      <c r="F858" s="88" t="s">
        <v>28</v>
      </c>
      <c r="G858" s="85" t="s">
        <v>2781</v>
      </c>
      <c r="H858" s="85" t="s">
        <v>2782</v>
      </c>
      <c r="I858" s="85"/>
      <c r="J858" s="88" t="s">
        <v>2783</v>
      </c>
      <c r="K858" s="92" t="s">
        <v>49</v>
      </c>
      <c r="L858" s="85"/>
      <c r="M858" s="88" t="s">
        <v>2757</v>
      </c>
      <c r="N858" s="90" t="s">
        <v>34</v>
      </c>
      <c r="O858" s="85"/>
      <c r="P858" s="82"/>
    </row>
    <row r="859" hidden="1" spans="1:16">
      <c r="A859" s="83">
        <v>858</v>
      </c>
      <c r="B859" s="98">
        <v>46171</v>
      </c>
      <c r="C859" s="85" t="s">
        <v>68</v>
      </c>
      <c r="D859" s="85" t="s">
        <v>26</v>
      </c>
      <c r="E859" s="85" t="s">
        <v>27</v>
      </c>
      <c r="F859" s="88" t="s">
        <v>28</v>
      </c>
      <c r="G859" s="85" t="s">
        <v>2784</v>
      </c>
      <c r="H859" s="85" t="s">
        <v>2785</v>
      </c>
      <c r="I859" s="85"/>
      <c r="J859" s="88" t="s">
        <v>2786</v>
      </c>
      <c r="K859" s="92" t="s">
        <v>32</v>
      </c>
      <c r="L859" s="85"/>
      <c r="M859" s="88" t="s">
        <v>2761</v>
      </c>
      <c r="N859" s="90" t="s">
        <v>34</v>
      </c>
      <c r="O859" s="85"/>
      <c r="P859" s="82"/>
    </row>
    <row r="860" hidden="1" spans="1:16">
      <c r="A860" s="83">
        <v>859</v>
      </c>
      <c r="B860" s="98">
        <v>46171</v>
      </c>
      <c r="C860" s="85" t="s">
        <v>68</v>
      </c>
      <c r="D860" s="85" t="s">
        <v>26</v>
      </c>
      <c r="E860" s="85" t="s">
        <v>27</v>
      </c>
      <c r="F860" s="88" t="s">
        <v>28</v>
      </c>
      <c r="G860" s="85" t="s">
        <v>2787</v>
      </c>
      <c r="H860" s="85" t="s">
        <v>2788</v>
      </c>
      <c r="I860" s="85"/>
      <c r="J860" s="88" t="s">
        <v>2786</v>
      </c>
      <c r="K860" s="92" t="s">
        <v>32</v>
      </c>
      <c r="L860" s="85"/>
      <c r="M860" s="88" t="s">
        <v>2761</v>
      </c>
      <c r="N860" s="90" t="s">
        <v>34</v>
      </c>
      <c r="O860" s="85"/>
      <c r="P860" s="82"/>
    </row>
    <row r="861" hidden="1" spans="1:16">
      <c r="A861" s="83">
        <v>860</v>
      </c>
      <c r="B861" s="98">
        <v>46171</v>
      </c>
      <c r="C861" s="85" t="s">
        <v>68</v>
      </c>
      <c r="D861" s="85" t="s">
        <v>40</v>
      </c>
      <c r="E861" s="85" t="s">
        <v>41</v>
      </c>
      <c r="F861" s="88" t="s">
        <v>28</v>
      </c>
      <c r="G861" s="85" t="s">
        <v>2789</v>
      </c>
      <c r="H861" s="85" t="s">
        <v>2790</v>
      </c>
      <c r="I861" s="85"/>
      <c r="J861" s="88" t="s">
        <v>2791</v>
      </c>
      <c r="K861" s="92" t="s">
        <v>32</v>
      </c>
      <c r="L861" s="85"/>
      <c r="M861" s="88" t="s">
        <v>2761</v>
      </c>
      <c r="N861" s="90" t="s">
        <v>34</v>
      </c>
      <c r="O861" s="85"/>
      <c r="P861" s="82"/>
    </row>
    <row r="862" hidden="1" spans="1:16">
      <c r="A862" s="83">
        <v>861</v>
      </c>
      <c r="B862" s="98">
        <v>46171</v>
      </c>
      <c r="C862" s="85" t="s">
        <v>68</v>
      </c>
      <c r="D862" s="85" t="s">
        <v>40</v>
      </c>
      <c r="E862" s="85" t="s">
        <v>41</v>
      </c>
      <c r="F862" s="88" t="s">
        <v>28</v>
      </c>
      <c r="G862" s="85" t="s">
        <v>2792</v>
      </c>
      <c r="H862" s="88" t="s">
        <v>2793</v>
      </c>
      <c r="I862" s="85"/>
      <c r="J862" s="88" t="s">
        <v>2791</v>
      </c>
      <c r="K862" s="92" t="s">
        <v>32</v>
      </c>
      <c r="L862" s="85"/>
      <c r="M862" s="88" t="s">
        <v>2761</v>
      </c>
      <c r="N862" s="90" t="s">
        <v>34</v>
      </c>
      <c r="O862" s="85"/>
      <c r="P862" s="82"/>
    </row>
    <row r="863" hidden="1" spans="1:16">
      <c r="A863" s="83">
        <v>862</v>
      </c>
      <c r="B863" s="98">
        <v>46174</v>
      </c>
      <c r="C863" s="85" t="s">
        <v>49</v>
      </c>
      <c r="D863" s="85" t="s">
        <v>26</v>
      </c>
      <c r="E863" s="85" t="s">
        <v>27</v>
      </c>
      <c r="F863" s="88" t="s">
        <v>28</v>
      </c>
      <c r="G863" s="85" t="s">
        <v>2794</v>
      </c>
      <c r="H863" s="88" t="s">
        <v>2795</v>
      </c>
      <c r="I863" s="85"/>
      <c r="J863" s="88" t="s">
        <v>2796</v>
      </c>
      <c r="K863" s="92" t="s">
        <v>49</v>
      </c>
      <c r="L863" s="85"/>
      <c r="M863" s="88" t="s">
        <v>2797</v>
      </c>
      <c r="N863" s="90" t="s">
        <v>34</v>
      </c>
      <c r="O863" s="85"/>
      <c r="P863" s="82"/>
    </row>
    <row r="864" hidden="1" spans="1:16">
      <c r="A864" s="83">
        <v>863</v>
      </c>
      <c r="B864" s="98">
        <v>46174</v>
      </c>
      <c r="C864" s="85" t="s">
        <v>49</v>
      </c>
      <c r="D864" s="85" t="s">
        <v>153</v>
      </c>
      <c r="E864" s="85" t="s">
        <v>411</v>
      </c>
      <c r="F864" s="88" t="s">
        <v>28</v>
      </c>
      <c r="G864" s="85" t="s">
        <v>2798</v>
      </c>
      <c r="H864" s="88">
        <v>802118709</v>
      </c>
      <c r="I864" s="85"/>
      <c r="J864" s="88" t="s">
        <v>2799</v>
      </c>
      <c r="K864" s="92" t="s">
        <v>49</v>
      </c>
      <c r="L864" s="85"/>
      <c r="M864" s="88" t="s">
        <v>2800</v>
      </c>
      <c r="N864" s="90" t="s">
        <v>34</v>
      </c>
      <c r="O864" s="85"/>
      <c r="P864" s="82"/>
    </row>
    <row r="865" spans="1:16">
      <c r="A865" s="83">
        <v>864</v>
      </c>
      <c r="B865" s="98">
        <v>46174</v>
      </c>
      <c r="C865" s="85" t="s">
        <v>49</v>
      </c>
      <c r="D865" s="85" t="s">
        <v>40</v>
      </c>
      <c r="E865" s="88" t="s">
        <v>41</v>
      </c>
      <c r="F865" s="88" t="s">
        <v>28</v>
      </c>
      <c r="G865" s="97" t="s">
        <v>2801</v>
      </c>
      <c r="H865" s="88" t="s">
        <v>2802</v>
      </c>
      <c r="I865" s="85"/>
      <c r="J865" s="88" t="s">
        <v>2803</v>
      </c>
      <c r="K865" s="92" t="s">
        <v>49</v>
      </c>
      <c r="L865" s="85"/>
      <c r="M865" s="88" t="s">
        <v>2804</v>
      </c>
      <c r="N865" s="90" t="s">
        <v>113</v>
      </c>
      <c r="O865" s="85"/>
      <c r="P865" s="82"/>
    </row>
    <row r="866" spans="1:16">
      <c r="A866" s="83">
        <v>865</v>
      </c>
      <c r="B866" s="98">
        <v>46174</v>
      </c>
      <c r="C866" s="85" t="s">
        <v>49</v>
      </c>
      <c r="D866" s="85" t="s">
        <v>40</v>
      </c>
      <c r="E866" s="88" t="s">
        <v>41</v>
      </c>
      <c r="F866" s="88" t="s">
        <v>28</v>
      </c>
      <c r="G866" s="97" t="s">
        <v>2805</v>
      </c>
      <c r="H866" s="88" t="s">
        <v>2806</v>
      </c>
      <c r="I866" s="85"/>
      <c r="J866" s="88" t="s">
        <v>2799</v>
      </c>
      <c r="K866" s="92" t="s">
        <v>49</v>
      </c>
      <c r="L866" s="85"/>
      <c r="M866" s="88" t="s">
        <v>2807</v>
      </c>
      <c r="N866" s="90" t="s">
        <v>113</v>
      </c>
      <c r="O866" s="85"/>
      <c r="P866" s="82"/>
    </row>
    <row r="867" spans="1:16">
      <c r="A867" s="83">
        <v>866</v>
      </c>
      <c r="B867" s="98">
        <v>46174</v>
      </c>
      <c r="C867" s="85" t="s">
        <v>49</v>
      </c>
      <c r="D867" s="85" t="s">
        <v>26</v>
      </c>
      <c r="E867" s="88" t="s">
        <v>660</v>
      </c>
      <c r="F867" s="88" t="s">
        <v>28</v>
      </c>
      <c r="G867" s="97" t="s">
        <v>2808</v>
      </c>
      <c r="H867" s="88" t="s">
        <v>2809</v>
      </c>
      <c r="I867" s="85"/>
      <c r="J867" s="88" t="s">
        <v>2810</v>
      </c>
      <c r="K867" s="92" t="s">
        <v>49</v>
      </c>
      <c r="L867" s="85"/>
      <c r="M867" s="88" t="s">
        <v>2804</v>
      </c>
      <c r="N867" s="90" t="s">
        <v>113</v>
      </c>
      <c r="O867" s="85"/>
      <c r="P867" s="82"/>
    </row>
    <row r="868" spans="1:16">
      <c r="A868" s="83">
        <v>867</v>
      </c>
      <c r="B868" s="98">
        <v>46174</v>
      </c>
      <c r="C868" s="85" t="s">
        <v>49</v>
      </c>
      <c r="D868" s="85" t="s">
        <v>26</v>
      </c>
      <c r="E868" s="88" t="s">
        <v>27</v>
      </c>
      <c r="F868" s="88" t="s">
        <v>28</v>
      </c>
      <c r="G868" s="97" t="s">
        <v>2811</v>
      </c>
      <c r="H868" s="88" t="s">
        <v>2812</v>
      </c>
      <c r="I868" s="85"/>
      <c r="J868" s="88" t="s">
        <v>2799</v>
      </c>
      <c r="K868" s="92" t="s">
        <v>49</v>
      </c>
      <c r="L868" s="85"/>
      <c r="M868" s="88" t="s">
        <v>2807</v>
      </c>
      <c r="N868" s="90" t="s">
        <v>113</v>
      </c>
      <c r="O868" s="85"/>
      <c r="P868" s="82"/>
    </row>
    <row r="869" hidden="1" spans="1:16">
      <c r="A869" s="83">
        <v>868</v>
      </c>
      <c r="B869" s="98">
        <v>46174</v>
      </c>
      <c r="C869" s="85" t="s">
        <v>68</v>
      </c>
      <c r="D869" s="85" t="s">
        <v>26</v>
      </c>
      <c r="E869" s="85" t="s">
        <v>27</v>
      </c>
      <c r="F869" s="88" t="s">
        <v>28</v>
      </c>
      <c r="G869" s="85" t="s">
        <v>2813</v>
      </c>
      <c r="H869" s="88" t="s">
        <v>2814</v>
      </c>
      <c r="I869" s="85"/>
      <c r="J869" s="88" t="s">
        <v>2815</v>
      </c>
      <c r="K869" s="92" t="s">
        <v>32</v>
      </c>
      <c r="L869" s="85"/>
      <c r="M869" s="88" t="s">
        <v>2816</v>
      </c>
      <c r="N869" s="90" t="s">
        <v>34</v>
      </c>
      <c r="O869" s="85"/>
      <c r="P869" s="82"/>
    </row>
    <row r="870" spans="1:16">
      <c r="A870" s="83">
        <v>869</v>
      </c>
      <c r="B870" s="98">
        <v>46174</v>
      </c>
      <c r="C870" s="85" t="s">
        <v>49</v>
      </c>
      <c r="D870" s="85" t="s">
        <v>26</v>
      </c>
      <c r="E870" s="85" t="s">
        <v>27</v>
      </c>
      <c r="F870" s="88" t="s">
        <v>28</v>
      </c>
      <c r="G870" s="85" t="s">
        <v>2817</v>
      </c>
      <c r="H870" s="88" t="s">
        <v>2818</v>
      </c>
      <c r="I870" s="85"/>
      <c r="J870" s="106" t="s">
        <v>2819</v>
      </c>
      <c r="K870" s="92" t="s">
        <v>49</v>
      </c>
      <c r="L870" s="85"/>
      <c r="M870" s="88" t="s">
        <v>2804</v>
      </c>
      <c r="N870" s="90" t="s">
        <v>113</v>
      </c>
      <c r="O870" s="85"/>
      <c r="P870" s="82"/>
    </row>
    <row r="871" spans="1:16">
      <c r="A871" s="83">
        <v>870</v>
      </c>
      <c r="B871" s="98">
        <v>46174</v>
      </c>
      <c r="C871" s="85" t="s">
        <v>49</v>
      </c>
      <c r="D871" s="85" t="s">
        <v>40</v>
      </c>
      <c r="E871" s="85" t="s">
        <v>41</v>
      </c>
      <c r="F871" s="88" t="s">
        <v>28</v>
      </c>
      <c r="G871" s="97" t="s">
        <v>2820</v>
      </c>
      <c r="H871" s="88" t="s">
        <v>2821</v>
      </c>
      <c r="I871" s="85"/>
      <c r="J871" s="106" t="s">
        <v>2822</v>
      </c>
      <c r="K871" s="92" t="s">
        <v>49</v>
      </c>
      <c r="L871" s="85"/>
      <c r="M871" s="88" t="s">
        <v>2804</v>
      </c>
      <c r="N871" s="90" t="s">
        <v>113</v>
      </c>
      <c r="O871" s="85"/>
      <c r="P871" s="82"/>
    </row>
    <row r="872" spans="1:16">
      <c r="A872" s="83">
        <v>871</v>
      </c>
      <c r="B872" s="98">
        <v>46175</v>
      </c>
      <c r="C872" s="85" t="s">
        <v>68</v>
      </c>
      <c r="D872" s="85" t="s">
        <v>26</v>
      </c>
      <c r="E872" s="85" t="s">
        <v>27</v>
      </c>
      <c r="F872" s="88" t="s">
        <v>28</v>
      </c>
      <c r="G872" s="85" t="s">
        <v>2823</v>
      </c>
      <c r="H872" s="88" t="s">
        <v>2824</v>
      </c>
      <c r="I872" s="85"/>
      <c r="J872" s="88" t="s">
        <v>2825</v>
      </c>
      <c r="K872" s="92" t="s">
        <v>32</v>
      </c>
      <c r="L872" s="85"/>
      <c r="M872" s="88" t="s">
        <v>2826</v>
      </c>
      <c r="N872" s="90" t="s">
        <v>113</v>
      </c>
      <c r="O872" s="85"/>
      <c r="P872" s="82"/>
    </row>
    <row r="873" ht="33" spans="1:16">
      <c r="A873" s="83">
        <v>872</v>
      </c>
      <c r="B873" s="98">
        <v>46175</v>
      </c>
      <c r="C873" s="85" t="s">
        <v>68</v>
      </c>
      <c r="D873" s="85" t="s">
        <v>40</v>
      </c>
      <c r="E873" s="85" t="s">
        <v>41</v>
      </c>
      <c r="F873" s="88" t="s">
        <v>28</v>
      </c>
      <c r="G873" s="85" t="s">
        <v>2827</v>
      </c>
      <c r="H873" s="88" t="s">
        <v>2828</v>
      </c>
      <c r="I873" s="85"/>
      <c r="J873" s="106" t="s">
        <v>2829</v>
      </c>
      <c r="K873" s="92" t="s">
        <v>32</v>
      </c>
      <c r="L873" s="85"/>
      <c r="M873" s="88" t="s">
        <v>2826</v>
      </c>
      <c r="N873" s="90" t="s">
        <v>113</v>
      </c>
      <c r="O873" s="85"/>
      <c r="P873" s="82"/>
    </row>
    <row r="874" spans="1:16">
      <c r="A874" s="83">
        <v>873</v>
      </c>
      <c r="B874" s="98">
        <v>46175</v>
      </c>
      <c r="C874" s="85" t="s">
        <v>68</v>
      </c>
      <c r="D874" s="85" t="s">
        <v>26</v>
      </c>
      <c r="E874" s="85" t="s">
        <v>27</v>
      </c>
      <c r="F874" s="88" t="s">
        <v>28</v>
      </c>
      <c r="G874" s="85" t="s">
        <v>2830</v>
      </c>
      <c r="H874" s="88" t="s">
        <v>2831</v>
      </c>
      <c r="I874" s="85"/>
      <c r="J874" s="88" t="s">
        <v>2825</v>
      </c>
      <c r="K874" s="92" t="s">
        <v>32</v>
      </c>
      <c r="L874" s="85"/>
      <c r="M874" s="88" t="s">
        <v>2826</v>
      </c>
      <c r="N874" s="90" t="s">
        <v>113</v>
      </c>
      <c r="O874" s="85"/>
      <c r="P874" s="82"/>
    </row>
    <row r="875" spans="1:16">
      <c r="A875" s="83">
        <v>874</v>
      </c>
      <c r="B875" s="98">
        <v>46175</v>
      </c>
      <c r="C875" s="85" t="s">
        <v>68</v>
      </c>
      <c r="D875" s="85" t="s">
        <v>26</v>
      </c>
      <c r="E875" s="85" t="s">
        <v>27</v>
      </c>
      <c r="F875" s="88" t="s">
        <v>28</v>
      </c>
      <c r="G875" s="85" t="s">
        <v>2832</v>
      </c>
      <c r="H875" s="88" t="s">
        <v>2833</v>
      </c>
      <c r="I875" s="85"/>
      <c r="J875" s="88" t="s">
        <v>2834</v>
      </c>
      <c r="K875" s="92" t="s">
        <v>32</v>
      </c>
      <c r="L875" s="85"/>
      <c r="M875" s="88" t="s">
        <v>2826</v>
      </c>
      <c r="N875" s="90" t="s">
        <v>113</v>
      </c>
      <c r="O875" s="85"/>
      <c r="P875" s="82"/>
    </row>
    <row r="876" hidden="1" spans="1:16">
      <c r="A876" s="83">
        <v>875</v>
      </c>
      <c r="B876" s="107"/>
      <c r="C876" s="85"/>
      <c r="D876" s="85" t="e">
        <v>#N/A</v>
      </c>
      <c r="E876" s="85"/>
      <c r="F876" s="85"/>
      <c r="G876" s="85"/>
      <c r="H876" s="88"/>
      <c r="I876" s="85"/>
      <c r="J876" s="88"/>
      <c r="K876" s="92"/>
      <c r="L876" s="85"/>
      <c r="M876" s="88"/>
      <c r="N876" s="90"/>
      <c r="O876" s="85"/>
      <c r="P876" s="82"/>
    </row>
    <row r="877" hidden="1" spans="1:16">
      <c r="A877" s="83">
        <v>876</v>
      </c>
      <c r="B877" s="107"/>
      <c r="C877" s="85"/>
      <c r="D877" s="85" t="e">
        <v>#N/A</v>
      </c>
      <c r="E877" s="85"/>
      <c r="F877" s="85"/>
      <c r="G877" s="85"/>
      <c r="H877" s="88"/>
      <c r="I877" s="85"/>
      <c r="J877" s="88"/>
      <c r="K877" s="92"/>
      <c r="L877" s="85"/>
      <c r="M877" s="88"/>
      <c r="N877" s="90"/>
      <c r="O877" s="85"/>
      <c r="P877" s="82"/>
    </row>
    <row r="878" hidden="1" spans="1:16">
      <c r="A878" s="83">
        <v>877</v>
      </c>
      <c r="B878" s="107"/>
      <c r="C878" s="85"/>
      <c r="D878" s="85" t="e">
        <v>#N/A</v>
      </c>
      <c r="E878" s="85"/>
      <c r="F878" s="85"/>
      <c r="G878" s="85"/>
      <c r="H878" s="85"/>
      <c r="I878" s="85"/>
      <c r="J878" s="88"/>
      <c r="K878" s="92"/>
      <c r="L878" s="85"/>
      <c r="M878" s="88"/>
      <c r="N878" s="90"/>
      <c r="O878" s="85"/>
      <c r="P878" s="82"/>
    </row>
    <row r="879" hidden="1" spans="1:16">
      <c r="A879" s="83">
        <v>878</v>
      </c>
      <c r="B879" s="107"/>
      <c r="C879" s="85"/>
      <c r="D879" s="85" t="e">
        <v>#N/A</v>
      </c>
      <c r="E879" s="85"/>
      <c r="F879" s="85"/>
      <c r="G879" s="85"/>
      <c r="H879" s="85"/>
      <c r="I879" s="85"/>
      <c r="J879" s="88"/>
      <c r="K879" s="92"/>
      <c r="L879" s="85"/>
      <c r="M879" s="88"/>
      <c r="N879" s="90"/>
      <c r="O879" s="85"/>
      <c r="P879" s="82"/>
    </row>
    <row r="880" hidden="1" spans="1:16">
      <c r="A880" s="83">
        <v>879</v>
      </c>
      <c r="B880" s="107"/>
      <c r="C880" s="85"/>
      <c r="D880" s="85" t="e">
        <v>#N/A</v>
      </c>
      <c r="E880" s="85"/>
      <c r="F880" s="85"/>
      <c r="G880" s="85"/>
      <c r="H880" s="85"/>
      <c r="I880" s="85"/>
      <c r="J880" s="88"/>
      <c r="K880" s="92"/>
      <c r="L880" s="85"/>
      <c r="M880" s="88"/>
      <c r="N880" s="90"/>
      <c r="O880" s="85"/>
      <c r="P880" s="82"/>
    </row>
    <row r="881" hidden="1" spans="1:16">
      <c r="A881" s="83">
        <v>880</v>
      </c>
      <c r="B881" s="107"/>
      <c r="C881" s="85"/>
      <c r="D881" s="85" t="e">
        <v>#N/A</v>
      </c>
      <c r="E881" s="85"/>
      <c r="F881" s="85"/>
      <c r="G881" s="85"/>
      <c r="H881" s="85"/>
      <c r="I881" s="85"/>
      <c r="J881" s="88"/>
      <c r="K881" s="92"/>
      <c r="L881" s="85"/>
      <c r="M881" s="88"/>
      <c r="N881" s="90"/>
      <c r="O881" s="85"/>
      <c r="P881" s="82"/>
    </row>
    <row r="882" hidden="1" spans="1:16">
      <c r="A882" s="83">
        <v>881</v>
      </c>
      <c r="B882" s="107"/>
      <c r="C882" s="85"/>
      <c r="D882" s="85" t="e">
        <v>#N/A</v>
      </c>
      <c r="E882" s="85"/>
      <c r="F882" s="85"/>
      <c r="G882" s="85"/>
      <c r="H882" s="85"/>
      <c r="I882" s="85"/>
      <c r="J882" s="88"/>
      <c r="K882" s="92"/>
      <c r="L882" s="85"/>
      <c r="M882" s="88"/>
      <c r="N882" s="90"/>
      <c r="O882" s="85"/>
      <c r="P882" s="82"/>
    </row>
    <row r="883" hidden="1" spans="1:16">
      <c r="A883" s="83">
        <v>882</v>
      </c>
      <c r="B883" s="107"/>
      <c r="C883" s="85"/>
      <c r="D883" s="85" t="e">
        <v>#N/A</v>
      </c>
      <c r="E883" s="85"/>
      <c r="F883" s="85"/>
      <c r="G883" s="85"/>
      <c r="H883" s="85"/>
      <c r="I883" s="85"/>
      <c r="J883" s="88"/>
      <c r="K883" s="92"/>
      <c r="L883" s="85"/>
      <c r="M883" s="88"/>
      <c r="N883" s="90"/>
      <c r="O883" s="85"/>
      <c r="P883" s="82"/>
    </row>
    <row r="884" hidden="1" spans="1:16">
      <c r="A884" s="83">
        <v>883</v>
      </c>
      <c r="B884" s="107"/>
      <c r="C884" s="85"/>
      <c r="D884" s="85" t="e">
        <v>#N/A</v>
      </c>
      <c r="E884" s="85"/>
      <c r="F884" s="85"/>
      <c r="G884" s="85"/>
      <c r="H884" s="85"/>
      <c r="I884" s="85"/>
      <c r="J884" s="88"/>
      <c r="K884" s="92"/>
      <c r="L884" s="85"/>
      <c r="M884" s="88"/>
      <c r="N884" s="90"/>
      <c r="O884" s="85"/>
      <c r="P884" s="82"/>
    </row>
    <row r="885" hidden="1" spans="1:16">
      <c r="A885" s="83">
        <v>884</v>
      </c>
      <c r="B885" s="107"/>
      <c r="C885" s="85"/>
      <c r="D885" s="85" t="e">
        <v>#N/A</v>
      </c>
      <c r="E885" s="85"/>
      <c r="F885" s="85"/>
      <c r="G885" s="85"/>
      <c r="H885" s="85"/>
      <c r="I885" s="85"/>
      <c r="J885" s="88"/>
      <c r="K885" s="92"/>
      <c r="L885" s="85"/>
      <c r="M885" s="88"/>
      <c r="N885" s="90"/>
      <c r="O885" s="85"/>
      <c r="P885" s="82"/>
    </row>
    <row r="886" hidden="1" spans="1:16">
      <c r="A886" s="83">
        <v>885</v>
      </c>
      <c r="B886" s="107"/>
      <c r="C886" s="85"/>
      <c r="D886" s="85" t="e">
        <v>#N/A</v>
      </c>
      <c r="E886" s="85"/>
      <c r="F886" s="85"/>
      <c r="G886" s="85"/>
      <c r="H886" s="85"/>
      <c r="I886" s="85"/>
      <c r="J886" s="88"/>
      <c r="K886" s="92"/>
      <c r="L886" s="85"/>
      <c r="M886" s="88"/>
      <c r="N886" s="90"/>
      <c r="O886" s="85"/>
      <c r="P886" s="82"/>
    </row>
    <row r="887" hidden="1" spans="1:16">
      <c r="A887" s="83">
        <v>886</v>
      </c>
      <c r="B887" s="107"/>
      <c r="C887" s="85"/>
      <c r="D887" s="85" t="e">
        <v>#N/A</v>
      </c>
      <c r="E887" s="85"/>
      <c r="F887" s="85"/>
      <c r="G887" s="85"/>
      <c r="H887" s="85"/>
      <c r="I887" s="85"/>
      <c r="J887" s="88"/>
      <c r="K887" s="92"/>
      <c r="L887" s="85"/>
      <c r="M887" s="88"/>
      <c r="N887" s="90"/>
      <c r="O887" s="85"/>
      <c r="P887" s="82"/>
    </row>
    <row r="888" hidden="1" spans="1:16">
      <c r="A888" s="83">
        <v>887</v>
      </c>
      <c r="B888" s="107"/>
      <c r="C888" s="85"/>
      <c r="D888" s="85" t="e">
        <v>#N/A</v>
      </c>
      <c r="E888" s="85"/>
      <c r="F888" s="85"/>
      <c r="G888" s="85"/>
      <c r="H888" s="85"/>
      <c r="I888" s="85"/>
      <c r="J888" s="88"/>
      <c r="K888" s="92"/>
      <c r="L888" s="85"/>
      <c r="M888" s="88"/>
      <c r="N888" s="90"/>
      <c r="O888" s="85"/>
      <c r="P888" s="82"/>
    </row>
    <row r="889" hidden="1" spans="1:16">
      <c r="A889" s="83">
        <v>888</v>
      </c>
      <c r="B889" s="107"/>
      <c r="C889" s="85"/>
      <c r="D889" s="85" t="e">
        <v>#N/A</v>
      </c>
      <c r="E889" s="85"/>
      <c r="F889" s="85"/>
      <c r="G889" s="85"/>
      <c r="H889" s="85"/>
      <c r="I889" s="85"/>
      <c r="J889" s="88"/>
      <c r="K889" s="92"/>
      <c r="L889" s="85"/>
      <c r="M889" s="88"/>
      <c r="N889" s="90"/>
      <c r="O889" s="85"/>
      <c r="P889" s="82"/>
    </row>
    <row r="890" hidden="1" spans="1:16">
      <c r="A890" s="83">
        <v>889</v>
      </c>
      <c r="B890" s="107"/>
      <c r="C890" s="85"/>
      <c r="D890" s="85" t="e">
        <v>#N/A</v>
      </c>
      <c r="E890" s="85"/>
      <c r="F890" s="85"/>
      <c r="G890" s="85"/>
      <c r="H890" s="85"/>
      <c r="I890" s="85"/>
      <c r="J890" s="88"/>
      <c r="K890" s="92"/>
      <c r="L890" s="85"/>
      <c r="M890" s="88"/>
      <c r="N890" s="90"/>
      <c r="O890" s="85"/>
      <c r="P890" s="82"/>
    </row>
    <row r="891" hidden="1" spans="1:16">
      <c r="A891" s="83">
        <v>890</v>
      </c>
      <c r="B891" s="107"/>
      <c r="C891" s="85"/>
      <c r="D891" s="85" t="e">
        <v>#N/A</v>
      </c>
      <c r="E891" s="85"/>
      <c r="F891" s="85"/>
      <c r="G891" s="85"/>
      <c r="H891" s="85"/>
      <c r="I891" s="85"/>
      <c r="J891" s="88"/>
      <c r="K891" s="92"/>
      <c r="L891" s="85"/>
      <c r="M891" s="88"/>
      <c r="N891" s="90"/>
      <c r="O891" s="85"/>
      <c r="P891" s="82"/>
    </row>
    <row r="892" hidden="1" spans="1:16">
      <c r="A892" s="83">
        <v>891</v>
      </c>
      <c r="B892" s="107"/>
      <c r="C892" s="85"/>
      <c r="D892" s="85" t="e">
        <v>#N/A</v>
      </c>
      <c r="E892" s="85"/>
      <c r="F892" s="85"/>
      <c r="G892" s="85"/>
      <c r="H892" s="85"/>
      <c r="I892" s="85"/>
      <c r="J892" s="88"/>
      <c r="K892" s="92"/>
      <c r="L892" s="85"/>
      <c r="M892" s="88"/>
      <c r="N892" s="90"/>
      <c r="O892" s="85"/>
      <c r="P892" s="82"/>
    </row>
    <row r="893" hidden="1" spans="1:16">
      <c r="A893" s="83">
        <v>892</v>
      </c>
      <c r="B893" s="107"/>
      <c r="C893" s="85"/>
      <c r="D893" s="85" t="e">
        <v>#N/A</v>
      </c>
      <c r="E893" s="85"/>
      <c r="F893" s="85"/>
      <c r="G893" s="85"/>
      <c r="H893" s="85"/>
      <c r="I893" s="85"/>
      <c r="J893" s="88"/>
      <c r="K893" s="92"/>
      <c r="L893" s="85"/>
      <c r="M893" s="88"/>
      <c r="N893" s="90"/>
      <c r="O893" s="85"/>
      <c r="P893" s="82"/>
    </row>
    <row r="894" hidden="1" spans="1:16">
      <c r="A894" s="83">
        <v>893</v>
      </c>
      <c r="B894" s="107"/>
      <c r="C894" s="85"/>
      <c r="D894" s="85" t="e">
        <v>#N/A</v>
      </c>
      <c r="E894" s="85"/>
      <c r="F894" s="85"/>
      <c r="G894" s="85"/>
      <c r="H894" s="85"/>
      <c r="I894" s="85"/>
      <c r="J894" s="88"/>
      <c r="K894" s="92"/>
      <c r="L894" s="85"/>
      <c r="M894" s="88"/>
      <c r="N894" s="90"/>
      <c r="O894" s="85"/>
      <c r="P894" s="82"/>
    </row>
    <row r="895" hidden="1" spans="1:16">
      <c r="A895" s="83">
        <v>894</v>
      </c>
      <c r="B895" s="107"/>
      <c r="C895" s="85"/>
      <c r="D895" s="85" t="e">
        <v>#N/A</v>
      </c>
      <c r="E895" s="85"/>
      <c r="F895" s="85"/>
      <c r="G895" s="85"/>
      <c r="H895" s="85"/>
      <c r="I895" s="85"/>
      <c r="J895" s="88"/>
      <c r="K895" s="92"/>
      <c r="L895" s="85"/>
      <c r="M895" s="88"/>
      <c r="N895" s="90"/>
      <c r="O895" s="85"/>
      <c r="P895" s="82"/>
    </row>
    <row r="896" hidden="1" spans="1:16">
      <c r="A896" s="83">
        <v>895</v>
      </c>
      <c r="B896" s="107"/>
      <c r="C896" s="85"/>
      <c r="D896" s="85" t="e">
        <v>#N/A</v>
      </c>
      <c r="E896" s="85"/>
      <c r="F896" s="85"/>
      <c r="G896" s="85"/>
      <c r="H896" s="85"/>
      <c r="I896" s="85"/>
      <c r="J896" s="88"/>
      <c r="K896" s="92"/>
      <c r="L896" s="85"/>
      <c r="M896" s="88"/>
      <c r="N896" s="90"/>
      <c r="O896" s="85"/>
      <c r="P896" s="82"/>
    </row>
    <row r="897" hidden="1" spans="1:16">
      <c r="A897" s="83">
        <v>896</v>
      </c>
      <c r="B897" s="107"/>
      <c r="C897" s="85"/>
      <c r="D897" s="85" t="e">
        <v>#N/A</v>
      </c>
      <c r="E897" s="85"/>
      <c r="F897" s="85"/>
      <c r="G897" s="85"/>
      <c r="H897" s="85"/>
      <c r="I897" s="85"/>
      <c r="J897" s="88"/>
      <c r="K897" s="92"/>
      <c r="L897" s="85"/>
      <c r="M897" s="88"/>
      <c r="N897" s="90"/>
      <c r="O897" s="85"/>
      <c r="P897" s="82"/>
    </row>
    <row r="898" hidden="1" spans="1:16">
      <c r="A898" s="83">
        <v>897</v>
      </c>
      <c r="B898" s="107"/>
      <c r="C898" s="85"/>
      <c r="D898" s="85" t="e">
        <v>#N/A</v>
      </c>
      <c r="E898" s="85"/>
      <c r="F898" s="85"/>
      <c r="G898" s="85"/>
      <c r="H898" s="85"/>
      <c r="I898" s="85"/>
      <c r="J898" s="88"/>
      <c r="K898" s="92"/>
      <c r="L898" s="85"/>
      <c r="M898" s="88"/>
      <c r="N898" s="90"/>
      <c r="O898" s="85"/>
      <c r="P898" s="82"/>
    </row>
    <row r="899" hidden="1" spans="1:16">
      <c r="A899" s="83">
        <v>898</v>
      </c>
      <c r="B899" s="107"/>
      <c r="C899" s="85"/>
      <c r="D899" s="85" t="e">
        <v>#N/A</v>
      </c>
      <c r="E899" s="85"/>
      <c r="F899" s="85"/>
      <c r="G899" s="85"/>
      <c r="H899" s="85"/>
      <c r="I899" s="85"/>
      <c r="J899" s="88"/>
      <c r="K899" s="92"/>
      <c r="L899" s="85"/>
      <c r="M899" s="88"/>
      <c r="N899" s="90"/>
      <c r="O899" s="85"/>
      <c r="P899" s="82"/>
    </row>
    <row r="900" hidden="1" spans="1:16">
      <c r="A900" s="83">
        <v>899</v>
      </c>
      <c r="B900" s="107"/>
      <c r="C900" s="85"/>
      <c r="D900" s="85" t="e">
        <v>#N/A</v>
      </c>
      <c r="E900" s="85"/>
      <c r="F900" s="85"/>
      <c r="G900" s="85"/>
      <c r="H900" s="85"/>
      <c r="I900" s="85"/>
      <c r="J900" s="88"/>
      <c r="K900" s="92"/>
      <c r="L900" s="85"/>
      <c r="M900" s="88"/>
      <c r="N900" s="90"/>
      <c r="O900" s="85"/>
      <c r="P900" s="82"/>
    </row>
    <row r="901" hidden="1" spans="1:16">
      <c r="A901" s="83">
        <v>900</v>
      </c>
      <c r="B901" s="107"/>
      <c r="C901" s="85"/>
      <c r="D901" s="85" t="e">
        <v>#N/A</v>
      </c>
      <c r="E901" s="85"/>
      <c r="F901" s="85"/>
      <c r="G901" s="85"/>
      <c r="H901" s="85"/>
      <c r="I901" s="85"/>
      <c r="J901" s="88"/>
      <c r="K901" s="92"/>
      <c r="L901" s="85"/>
      <c r="M901" s="88"/>
      <c r="N901" s="90"/>
      <c r="O901" s="85"/>
      <c r="P901" s="82"/>
    </row>
    <row r="902" hidden="1" spans="1:16">
      <c r="A902" s="83">
        <v>901</v>
      </c>
      <c r="B902" s="107"/>
      <c r="C902" s="85"/>
      <c r="D902" s="85" t="e">
        <v>#N/A</v>
      </c>
      <c r="E902" s="85"/>
      <c r="F902" s="85"/>
      <c r="G902" s="85"/>
      <c r="H902" s="85"/>
      <c r="I902" s="85"/>
      <c r="J902" s="88"/>
      <c r="K902" s="92"/>
      <c r="L902" s="85"/>
      <c r="M902" s="88"/>
      <c r="N902" s="90"/>
      <c r="O902" s="85"/>
      <c r="P902" s="82"/>
    </row>
    <row r="903" hidden="1" spans="1:16">
      <c r="A903" s="83">
        <v>902</v>
      </c>
      <c r="B903" s="107"/>
      <c r="C903" s="85"/>
      <c r="D903" s="85" t="e">
        <v>#N/A</v>
      </c>
      <c r="E903" s="85"/>
      <c r="F903" s="85"/>
      <c r="G903" s="85"/>
      <c r="H903" s="85"/>
      <c r="I903" s="85"/>
      <c r="J903" s="88"/>
      <c r="K903" s="92"/>
      <c r="L903" s="85"/>
      <c r="M903" s="88"/>
      <c r="N903" s="90"/>
      <c r="O903" s="85"/>
      <c r="P903" s="82"/>
    </row>
    <row r="904" hidden="1" spans="1:16">
      <c r="A904" s="83">
        <v>903</v>
      </c>
      <c r="B904" s="107"/>
      <c r="C904" s="85"/>
      <c r="D904" s="85" t="e">
        <v>#N/A</v>
      </c>
      <c r="E904" s="85"/>
      <c r="F904" s="85"/>
      <c r="G904" s="85"/>
      <c r="H904" s="85"/>
      <c r="I904" s="85"/>
      <c r="J904" s="88"/>
      <c r="K904" s="92"/>
      <c r="L904" s="85"/>
      <c r="M904" s="88"/>
      <c r="N904" s="90"/>
      <c r="O904" s="85"/>
      <c r="P904" s="82"/>
    </row>
    <row r="905" hidden="1" spans="1:16">
      <c r="A905" s="83">
        <v>904</v>
      </c>
      <c r="B905" s="107"/>
      <c r="C905" s="85"/>
      <c r="D905" s="85" t="e">
        <v>#N/A</v>
      </c>
      <c r="E905" s="85"/>
      <c r="F905" s="85"/>
      <c r="G905" s="85"/>
      <c r="H905" s="85"/>
      <c r="I905" s="85"/>
      <c r="J905" s="88"/>
      <c r="K905" s="92"/>
      <c r="L905" s="85"/>
      <c r="M905" s="88"/>
      <c r="N905" s="90"/>
      <c r="O905" s="85"/>
      <c r="P905" s="82"/>
    </row>
    <row r="906" hidden="1" spans="1:16">
      <c r="A906" s="83">
        <v>905</v>
      </c>
      <c r="B906" s="107"/>
      <c r="C906" s="85"/>
      <c r="D906" s="85" t="e">
        <v>#N/A</v>
      </c>
      <c r="E906" s="85"/>
      <c r="F906" s="85"/>
      <c r="G906" s="85"/>
      <c r="H906" s="85"/>
      <c r="I906" s="85"/>
      <c r="J906" s="88"/>
      <c r="K906" s="92"/>
      <c r="L906" s="85"/>
      <c r="M906" s="88"/>
      <c r="N906" s="90"/>
      <c r="O906" s="85"/>
      <c r="P906" s="82"/>
    </row>
    <row r="907" hidden="1" spans="1:16">
      <c r="A907" s="83">
        <v>906</v>
      </c>
      <c r="B907" s="107"/>
      <c r="C907" s="85"/>
      <c r="D907" s="85" t="e">
        <v>#N/A</v>
      </c>
      <c r="E907" s="85"/>
      <c r="F907" s="85"/>
      <c r="G907" s="85"/>
      <c r="H907" s="85"/>
      <c r="I907" s="85"/>
      <c r="J907" s="88"/>
      <c r="K907" s="92"/>
      <c r="L907" s="85"/>
      <c r="M907" s="88"/>
      <c r="N907" s="90"/>
      <c r="O907" s="85"/>
      <c r="P907" s="82"/>
    </row>
    <row r="908" hidden="1" spans="1:16">
      <c r="A908" s="83">
        <v>907</v>
      </c>
      <c r="B908" s="107"/>
      <c r="C908" s="85"/>
      <c r="D908" s="85" t="e">
        <v>#N/A</v>
      </c>
      <c r="E908" s="85"/>
      <c r="F908" s="85"/>
      <c r="G908" s="85"/>
      <c r="H908" s="85"/>
      <c r="I908" s="85"/>
      <c r="J908" s="88"/>
      <c r="K908" s="92"/>
      <c r="L908" s="85"/>
      <c r="M908" s="88"/>
      <c r="N908" s="90"/>
      <c r="O908" s="85"/>
      <c r="P908" s="82"/>
    </row>
    <row r="909" hidden="1" spans="1:16">
      <c r="A909" s="83">
        <v>908</v>
      </c>
      <c r="B909" s="107"/>
      <c r="C909" s="85"/>
      <c r="D909" s="85" t="e">
        <v>#N/A</v>
      </c>
      <c r="E909" s="85"/>
      <c r="F909" s="85"/>
      <c r="G909" s="85"/>
      <c r="H909" s="85"/>
      <c r="I909" s="85"/>
      <c r="J909" s="88"/>
      <c r="K909" s="92"/>
      <c r="L909" s="85"/>
      <c r="M909" s="88"/>
      <c r="N909" s="90"/>
      <c r="O909" s="85"/>
      <c r="P909" s="82"/>
    </row>
    <row r="910" hidden="1" spans="1:16">
      <c r="A910" s="83">
        <v>909</v>
      </c>
      <c r="B910" s="107"/>
      <c r="C910" s="85"/>
      <c r="D910" s="85" t="e">
        <v>#N/A</v>
      </c>
      <c r="E910" s="85"/>
      <c r="F910" s="85"/>
      <c r="G910" s="85"/>
      <c r="H910" s="85"/>
      <c r="I910" s="85"/>
      <c r="J910" s="88"/>
      <c r="K910" s="92"/>
      <c r="L910" s="85"/>
      <c r="M910" s="88"/>
      <c r="N910" s="90"/>
      <c r="O910" s="85"/>
      <c r="P910" s="82"/>
    </row>
    <row r="911" hidden="1" spans="1:16">
      <c r="A911" s="83">
        <v>910</v>
      </c>
      <c r="B911" s="107"/>
      <c r="C911" s="85"/>
      <c r="D911" s="85" t="e">
        <v>#N/A</v>
      </c>
      <c r="E911" s="85"/>
      <c r="F911" s="85"/>
      <c r="G911" s="85"/>
      <c r="H911" s="85"/>
      <c r="I911" s="85"/>
      <c r="J911" s="88"/>
      <c r="K911" s="92"/>
      <c r="L911" s="85"/>
      <c r="M911" s="88"/>
      <c r="N911" s="90"/>
      <c r="O911" s="85"/>
      <c r="P911" s="82"/>
    </row>
    <row r="912" hidden="1" spans="1:16">
      <c r="A912" s="83">
        <v>911</v>
      </c>
      <c r="B912" s="107"/>
      <c r="C912" s="85"/>
      <c r="D912" s="85" t="e">
        <v>#N/A</v>
      </c>
      <c r="E912" s="85"/>
      <c r="F912" s="85"/>
      <c r="G912" s="85"/>
      <c r="H912" s="85"/>
      <c r="I912" s="85"/>
      <c r="J912" s="88"/>
      <c r="K912" s="92"/>
      <c r="L912" s="85"/>
      <c r="M912" s="88"/>
      <c r="N912" s="90"/>
      <c r="O912" s="85"/>
      <c r="P912" s="82"/>
    </row>
    <row r="913" hidden="1" spans="1:16">
      <c r="A913" s="83">
        <v>912</v>
      </c>
      <c r="B913" s="107"/>
      <c r="C913" s="85"/>
      <c r="D913" s="85" t="e">
        <v>#N/A</v>
      </c>
      <c r="E913" s="85"/>
      <c r="F913" s="85"/>
      <c r="G913" s="85"/>
      <c r="H913" s="85"/>
      <c r="I913" s="85"/>
      <c r="J913" s="88"/>
      <c r="K913" s="92"/>
      <c r="L913" s="85"/>
      <c r="M913" s="88"/>
      <c r="N913" s="90"/>
      <c r="O913" s="85"/>
      <c r="P913" s="82"/>
    </row>
    <row r="914" hidden="1" spans="1:16">
      <c r="A914" s="83">
        <v>913</v>
      </c>
      <c r="B914" s="107"/>
      <c r="C914" s="85"/>
      <c r="D914" s="85" t="e">
        <v>#N/A</v>
      </c>
      <c r="E914" s="85"/>
      <c r="F914" s="85"/>
      <c r="G914" s="85"/>
      <c r="H914" s="85"/>
      <c r="I914" s="85"/>
      <c r="J914" s="88"/>
      <c r="K914" s="92"/>
      <c r="L914" s="85"/>
      <c r="M914" s="88"/>
      <c r="N914" s="90"/>
      <c r="O914" s="85"/>
      <c r="P914" s="82"/>
    </row>
    <row r="915" hidden="1" spans="1:16">
      <c r="A915" s="83">
        <v>914</v>
      </c>
      <c r="B915" s="107"/>
      <c r="C915" s="85"/>
      <c r="D915" s="85" t="e">
        <v>#N/A</v>
      </c>
      <c r="E915" s="85"/>
      <c r="F915" s="85"/>
      <c r="G915" s="85"/>
      <c r="H915" s="85"/>
      <c r="I915" s="85"/>
      <c r="J915" s="88"/>
      <c r="K915" s="92"/>
      <c r="L915" s="85"/>
      <c r="M915" s="88"/>
      <c r="N915" s="90"/>
      <c r="O915" s="85"/>
      <c r="P915" s="82"/>
    </row>
    <row r="916" hidden="1" spans="1:16">
      <c r="A916" s="83">
        <v>915</v>
      </c>
      <c r="B916" s="107"/>
      <c r="C916" s="85"/>
      <c r="D916" s="85" t="e">
        <v>#N/A</v>
      </c>
      <c r="E916" s="85"/>
      <c r="F916" s="85"/>
      <c r="G916" s="85"/>
      <c r="H916" s="85"/>
      <c r="I916" s="85"/>
      <c r="J916" s="88"/>
      <c r="K916" s="92"/>
      <c r="L916" s="85"/>
      <c r="M916" s="88"/>
      <c r="N916" s="90"/>
      <c r="O916" s="85"/>
      <c r="P916" s="82"/>
    </row>
    <row r="917" hidden="1" spans="1:16">
      <c r="A917" s="83">
        <v>916</v>
      </c>
      <c r="B917" s="107"/>
      <c r="C917" s="85"/>
      <c r="D917" s="85" t="e">
        <v>#N/A</v>
      </c>
      <c r="E917" s="85"/>
      <c r="F917" s="85"/>
      <c r="G917" s="85"/>
      <c r="H917" s="85"/>
      <c r="I917" s="85"/>
      <c r="J917" s="88"/>
      <c r="K917" s="92"/>
      <c r="L917" s="85"/>
      <c r="M917" s="88"/>
      <c r="N917" s="90"/>
      <c r="O917" s="85"/>
      <c r="P917" s="82"/>
    </row>
    <row r="918" hidden="1" spans="1:16">
      <c r="A918" s="83">
        <v>917</v>
      </c>
      <c r="B918" s="107"/>
      <c r="C918" s="85"/>
      <c r="D918" s="85" t="e">
        <v>#N/A</v>
      </c>
      <c r="E918" s="85"/>
      <c r="F918" s="85"/>
      <c r="G918" s="85"/>
      <c r="H918" s="85"/>
      <c r="I918" s="85"/>
      <c r="J918" s="88"/>
      <c r="K918" s="92"/>
      <c r="L918" s="85"/>
      <c r="M918" s="88"/>
      <c r="N918" s="90"/>
      <c r="O918" s="85"/>
      <c r="P918" s="82"/>
    </row>
    <row r="919" hidden="1" spans="1:16">
      <c r="A919" s="83">
        <v>918</v>
      </c>
      <c r="B919" s="107"/>
      <c r="C919" s="85"/>
      <c r="D919" s="85" t="e">
        <v>#N/A</v>
      </c>
      <c r="E919" s="85"/>
      <c r="F919" s="85"/>
      <c r="G919" s="85"/>
      <c r="H919" s="85"/>
      <c r="I919" s="85"/>
      <c r="J919" s="88"/>
      <c r="K919" s="92"/>
      <c r="L919" s="85"/>
      <c r="M919" s="88"/>
      <c r="N919" s="90"/>
      <c r="O919" s="85"/>
      <c r="P919" s="82"/>
    </row>
  </sheetData>
  <sheetProtection formatCells="0" formatColumns="0" formatRows="0" insertRows="0" insertColumns="0" insertHyperlinks="0" deleteColumns="0" deleteRows="0" sort="0" autoFilter="0" pivotTables="0"/>
  <autoFilter xmlns:etc="http://www.wps.cn/officeDocument/2017/etCustomData" ref="A1:O919" etc:filterBottomFollowUsedRange="1">
    <filterColumn colId="13">
      <filters>
        <filter val="未闭环"/>
      </filters>
    </filterColumn>
    <extLst/>
  </autoFilter>
  <mergeCells count="5">
    <mergeCell ref="J9:J11"/>
    <mergeCell ref="J31:J36"/>
    <mergeCell ref="J53:J59"/>
    <mergeCell ref="J786:J789"/>
    <mergeCell ref="M786:M789"/>
  </mergeCells>
  <conditionalFormatting sqref="G$1:G$1048576">
    <cfRule type="expression" dxfId="0" priority="7">
      <formula>AND(SUMPRODUCT(IFERROR(1*(($G$1:$G$1048576&amp;"x")=(G1&amp;"x")),0))&gt;1,NOT(ISBLANK(G1)))</formula>
    </cfRule>
  </conditionalFormatting>
  <conditionalFormatting sqref="H$1:H$1048576">
    <cfRule type="expression" dxfId="0" priority="8">
      <formula>AND(SUMPRODUCT(IFERROR(1*(($H$1:$H$1048576&amp;"x")=(H1&amp;"x")),0))&gt;1,NOT(ISBLANK(H1)))</formula>
    </cfRule>
  </conditionalFormatting>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46"/>
  <sheetViews>
    <sheetView topLeftCell="A13" workbookViewId="0">
      <selection activeCell="C38" sqref="C38"/>
    </sheetView>
  </sheetViews>
  <sheetFormatPr defaultColWidth="9" defaultRowHeight="14.25" outlineLevelCol="2"/>
  <cols>
    <col min="1" max="1" width="38" style="62" customWidth="1"/>
    <col min="2" max="2" width="11.1083333333333" customWidth="1"/>
    <col min="3" max="3" width="25.5583333333333" customWidth="1"/>
  </cols>
  <sheetData>
    <row r="1" ht="16.5" spans="1:3">
      <c r="A1" s="63" t="s">
        <v>14</v>
      </c>
      <c r="B1" s="63" t="s">
        <v>13</v>
      </c>
      <c r="C1" s="64" t="s">
        <v>2835</v>
      </c>
    </row>
    <row r="2" ht="16.5" spans="1:3">
      <c r="A2" s="65" t="s">
        <v>2223</v>
      </c>
      <c r="B2" s="65" t="s">
        <v>317</v>
      </c>
      <c r="C2" s="65" t="s">
        <v>2836</v>
      </c>
    </row>
    <row r="3" ht="16.5" spans="1:3">
      <c r="A3" s="65" t="s">
        <v>2837</v>
      </c>
      <c r="B3" s="65" t="s">
        <v>317</v>
      </c>
      <c r="C3" s="65" t="s">
        <v>2836</v>
      </c>
    </row>
    <row r="4" ht="16.5" spans="1:3">
      <c r="A4" s="65" t="s">
        <v>2838</v>
      </c>
      <c r="B4" s="65" t="s">
        <v>317</v>
      </c>
      <c r="C4" s="65" t="s">
        <v>2836</v>
      </c>
    </row>
    <row r="5" ht="16.5" spans="1:3">
      <c r="A5" s="66" t="s">
        <v>490</v>
      </c>
      <c r="B5" s="65" t="s">
        <v>489</v>
      </c>
      <c r="C5" s="65" t="s">
        <v>2836</v>
      </c>
    </row>
    <row r="6" ht="16.5" spans="1:3">
      <c r="A6" s="65" t="s">
        <v>70</v>
      </c>
      <c r="B6" s="65" t="s">
        <v>69</v>
      </c>
      <c r="C6" s="65" t="s">
        <v>2839</v>
      </c>
    </row>
    <row r="7" ht="16.5" spans="1:3">
      <c r="A7" s="65" t="s">
        <v>295</v>
      </c>
      <c r="B7" s="65" t="s">
        <v>222</v>
      </c>
      <c r="C7" s="65" t="s">
        <v>2840</v>
      </c>
    </row>
    <row r="8" ht="16.5" spans="1:3">
      <c r="A8" s="65" t="s">
        <v>2841</v>
      </c>
      <c r="B8" s="65" t="s">
        <v>222</v>
      </c>
      <c r="C8" s="65" t="s">
        <v>2840</v>
      </c>
    </row>
    <row r="9" ht="16.5" spans="1:3">
      <c r="A9" s="65" t="s">
        <v>2842</v>
      </c>
      <c r="B9" s="65" t="s">
        <v>222</v>
      </c>
      <c r="C9" s="65" t="s">
        <v>2840</v>
      </c>
    </row>
    <row r="10" ht="16.5" spans="1:3">
      <c r="A10" s="65" t="s">
        <v>2843</v>
      </c>
      <c r="B10" s="65" t="s">
        <v>2844</v>
      </c>
      <c r="C10" s="65" t="s">
        <v>2845</v>
      </c>
    </row>
    <row r="11" ht="16.5" spans="1:3">
      <c r="A11" s="65" t="s">
        <v>2846</v>
      </c>
      <c r="B11" s="65" t="s">
        <v>2844</v>
      </c>
      <c r="C11" s="65" t="s">
        <v>2845</v>
      </c>
    </row>
    <row r="12" ht="16.5" spans="1:3">
      <c r="A12" s="65" t="s">
        <v>2847</v>
      </c>
      <c r="B12" s="65" t="s">
        <v>2844</v>
      </c>
      <c r="C12" s="65" t="s">
        <v>2845</v>
      </c>
    </row>
    <row r="13" ht="16.5" spans="1:3">
      <c r="A13" s="65" t="s">
        <v>2848</v>
      </c>
      <c r="B13" s="65" t="s">
        <v>2844</v>
      </c>
      <c r="C13" s="65" t="s">
        <v>2845</v>
      </c>
    </row>
    <row r="14" ht="16.5" spans="1:3">
      <c r="A14" s="65" t="s">
        <v>2849</v>
      </c>
      <c r="B14" s="65" t="s">
        <v>153</v>
      </c>
      <c r="C14" s="65" t="s">
        <v>2850</v>
      </c>
    </row>
    <row r="15" ht="16.5" spans="1:3">
      <c r="A15" s="65" t="s">
        <v>2851</v>
      </c>
      <c r="B15" s="65" t="s">
        <v>153</v>
      </c>
      <c r="C15" s="65" t="s">
        <v>2850</v>
      </c>
    </row>
    <row r="16" ht="16.5" spans="1:3">
      <c r="A16" s="65" t="s">
        <v>1920</v>
      </c>
      <c r="B16" s="65" t="s">
        <v>153</v>
      </c>
      <c r="C16" s="65" t="s">
        <v>2850</v>
      </c>
    </row>
    <row r="17" ht="16.5" spans="1:3">
      <c r="A17" s="65" t="s">
        <v>2852</v>
      </c>
      <c r="B17" s="65" t="s">
        <v>153</v>
      </c>
      <c r="C17" s="65" t="s">
        <v>2850</v>
      </c>
    </row>
    <row r="18" ht="16.5" spans="1:3">
      <c r="A18" s="65" t="s">
        <v>2853</v>
      </c>
      <c r="B18" s="65" t="s">
        <v>164</v>
      </c>
      <c r="C18" s="65" t="s">
        <v>2854</v>
      </c>
    </row>
    <row r="19" ht="16.5" spans="1:3">
      <c r="A19" s="65" t="s">
        <v>165</v>
      </c>
      <c r="B19" s="65" t="s">
        <v>164</v>
      </c>
      <c r="C19" s="65" t="s">
        <v>2854</v>
      </c>
    </row>
    <row r="20" ht="16.5" spans="1:3">
      <c r="A20" s="65" t="s">
        <v>2855</v>
      </c>
      <c r="B20" s="65" t="s">
        <v>164</v>
      </c>
      <c r="C20" s="65" t="s">
        <v>2854</v>
      </c>
    </row>
    <row r="21" ht="16.5" spans="1:3">
      <c r="A21" s="65" t="s">
        <v>2856</v>
      </c>
      <c r="B21" s="65" t="s">
        <v>164</v>
      </c>
      <c r="C21" s="65" t="s">
        <v>2854</v>
      </c>
    </row>
    <row r="22" ht="16.5" spans="1:3">
      <c r="A22" s="65" t="s">
        <v>2857</v>
      </c>
      <c r="B22" s="65" t="s">
        <v>164</v>
      </c>
      <c r="C22" s="65" t="s">
        <v>2858</v>
      </c>
    </row>
    <row r="23" ht="16.5" spans="1:3">
      <c r="A23" s="67" t="s">
        <v>2859</v>
      </c>
      <c r="B23" s="65" t="s">
        <v>164</v>
      </c>
      <c r="C23" s="65" t="s">
        <v>2858</v>
      </c>
    </row>
    <row r="24" ht="16.5" spans="1:3">
      <c r="A24" s="65" t="s">
        <v>469</v>
      </c>
      <c r="B24" s="65" t="s">
        <v>40</v>
      </c>
      <c r="C24" s="65" t="s">
        <v>2854</v>
      </c>
    </row>
    <row r="25" ht="16.5" spans="1:3">
      <c r="A25" s="65" t="s">
        <v>2860</v>
      </c>
      <c r="B25" s="65" t="s">
        <v>2844</v>
      </c>
      <c r="C25" s="65" t="s">
        <v>2845</v>
      </c>
    </row>
    <row r="26" ht="16.5" spans="1:3">
      <c r="A26" s="66" t="s">
        <v>108</v>
      </c>
      <c r="B26" s="65" t="s">
        <v>107</v>
      </c>
      <c r="C26" s="65" t="s">
        <v>2839</v>
      </c>
    </row>
    <row r="27" ht="16.5" spans="1:3">
      <c r="A27" s="68" t="s">
        <v>2861</v>
      </c>
      <c r="B27" s="65" t="s">
        <v>2862</v>
      </c>
      <c r="C27" s="65" t="s">
        <v>2839</v>
      </c>
    </row>
    <row r="28" ht="16.5" spans="1:3">
      <c r="A28" s="65" t="s">
        <v>2863</v>
      </c>
      <c r="B28" s="65" t="s">
        <v>69</v>
      </c>
      <c r="C28" s="65" t="s">
        <v>2858</v>
      </c>
    </row>
    <row r="29" ht="16.5" spans="1:3">
      <c r="A29" s="65" t="s">
        <v>2864</v>
      </c>
      <c r="B29" s="65" t="s">
        <v>2865</v>
      </c>
      <c r="C29" s="65" t="s">
        <v>2839</v>
      </c>
    </row>
    <row r="30" ht="16.5" spans="1:3">
      <c r="A30" s="65" t="s">
        <v>2866</v>
      </c>
      <c r="B30" s="65" t="s">
        <v>2867</v>
      </c>
      <c r="C30" s="65" t="s">
        <v>2854</v>
      </c>
    </row>
    <row r="31" ht="16.5" spans="1:3">
      <c r="A31" s="65" t="s">
        <v>223</v>
      </c>
      <c r="B31" s="65" t="s">
        <v>222</v>
      </c>
      <c r="C31" s="65" t="s">
        <v>2858</v>
      </c>
    </row>
    <row r="32" ht="16.5" spans="1:3">
      <c r="A32" s="65" t="s">
        <v>2868</v>
      </c>
      <c r="B32" s="65" t="s">
        <v>222</v>
      </c>
      <c r="C32" s="65" t="s">
        <v>2858</v>
      </c>
    </row>
    <row r="33" ht="16.5" spans="1:3">
      <c r="A33" s="65" t="s">
        <v>318</v>
      </c>
      <c r="B33" s="65" t="s">
        <v>317</v>
      </c>
      <c r="C33" s="65" t="s">
        <v>2869</v>
      </c>
    </row>
    <row r="34" ht="16.5" spans="1:3">
      <c r="A34" s="65" t="s">
        <v>2870</v>
      </c>
      <c r="B34" s="65" t="s">
        <v>317</v>
      </c>
      <c r="C34" s="65" t="s">
        <v>2869</v>
      </c>
    </row>
    <row r="35" ht="16.5" spans="1:3">
      <c r="A35" s="65" t="s">
        <v>411</v>
      </c>
      <c r="B35" s="65" t="s">
        <v>153</v>
      </c>
      <c r="C35" s="65" t="s">
        <v>2869</v>
      </c>
    </row>
    <row r="36" ht="16.5" spans="1:3">
      <c r="A36" s="65" t="s">
        <v>154</v>
      </c>
      <c r="B36" s="65" t="s">
        <v>153</v>
      </c>
      <c r="C36" s="65" t="s">
        <v>2869</v>
      </c>
    </row>
    <row r="37" ht="16.5" spans="1:3">
      <c r="A37" s="65" t="s">
        <v>2871</v>
      </c>
      <c r="B37" s="65" t="s">
        <v>164</v>
      </c>
      <c r="C37" s="65" t="s">
        <v>2858</v>
      </c>
    </row>
    <row r="38" ht="16.5" spans="1:3">
      <c r="A38" s="65" t="s">
        <v>416</v>
      </c>
      <c r="B38" s="65" t="s">
        <v>164</v>
      </c>
      <c r="C38" s="65" t="s">
        <v>2858</v>
      </c>
    </row>
    <row r="39" ht="16.5" spans="1:3">
      <c r="A39" s="65" t="s">
        <v>2872</v>
      </c>
      <c r="B39" s="65" t="s">
        <v>164</v>
      </c>
      <c r="C39" s="65" t="s">
        <v>2858</v>
      </c>
    </row>
    <row r="40" ht="16.5" spans="1:3">
      <c r="A40" s="65" t="s">
        <v>41</v>
      </c>
      <c r="B40" s="65" t="s">
        <v>40</v>
      </c>
      <c r="C40" s="65" t="s">
        <v>2869</v>
      </c>
    </row>
    <row r="41" ht="16.5" spans="1:3">
      <c r="A41" s="69" t="s">
        <v>148</v>
      </c>
      <c r="B41" s="65" t="s">
        <v>40</v>
      </c>
      <c r="C41" s="65" t="s">
        <v>2869</v>
      </c>
    </row>
    <row r="42" ht="16.5" spans="1:3">
      <c r="A42" s="65" t="s">
        <v>35</v>
      </c>
      <c r="B42" s="65" t="s">
        <v>26</v>
      </c>
      <c r="C42" s="65" t="s">
        <v>2873</v>
      </c>
    </row>
    <row r="43" ht="16.5" spans="1:3">
      <c r="A43" s="65" t="s">
        <v>27</v>
      </c>
      <c r="B43" s="65" t="s">
        <v>26</v>
      </c>
      <c r="C43" s="65" t="s">
        <v>2873</v>
      </c>
    </row>
    <row r="44" ht="16.5" spans="1:3">
      <c r="A44" s="65" t="s">
        <v>660</v>
      </c>
      <c r="B44" s="65" t="s">
        <v>26</v>
      </c>
      <c r="C44" s="65" t="s">
        <v>2873</v>
      </c>
    </row>
    <row r="45" ht="16.5" spans="1:3">
      <c r="A45" s="65" t="s">
        <v>2874</v>
      </c>
      <c r="B45" s="65" t="s">
        <v>164</v>
      </c>
      <c r="C45" s="65" t="s">
        <v>2858</v>
      </c>
    </row>
    <row r="46" ht="16.5" spans="1:3">
      <c r="A46" s="65" t="s">
        <v>2875</v>
      </c>
      <c r="B46" s="65" t="s">
        <v>2876</v>
      </c>
      <c r="C46" s="65" t="s">
        <v>2839</v>
      </c>
    </row>
  </sheetData>
  <sheetProtection formatCells="0" insertHyperlinks="0" autoFilter="0"/>
  <pageMargins left="0.7" right="0.7" top="0.75" bottom="0.75" header="0.3" footer="0.3"/>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60"/>
  <sheetViews>
    <sheetView workbookViewId="0">
      <pane ySplit="2" topLeftCell="A135" activePane="bottomLeft" state="frozen"/>
      <selection/>
      <selection pane="bottomLeft" activeCell="A135" sqref="$A135:$XFD135"/>
    </sheetView>
  </sheetViews>
  <sheetFormatPr defaultColWidth="8.88333333333333" defaultRowHeight="16.5" outlineLevelCol="4"/>
  <cols>
    <col min="1" max="1" width="17.775" style="57" customWidth="1"/>
    <col min="2" max="2" width="28.1083333333333" style="57" customWidth="1"/>
    <col min="3" max="4" width="21.6666666666667" style="57" customWidth="1"/>
    <col min="5" max="5" width="68.6333333333333" style="1" customWidth="1"/>
    <col min="6" max="16384" width="8.88333333333333" style="57"/>
  </cols>
  <sheetData>
    <row r="1" ht="29.4" customHeight="1" spans="1:5">
      <c r="A1" s="58" t="s">
        <v>0</v>
      </c>
      <c r="B1" s="58"/>
      <c r="C1" s="58"/>
      <c r="D1" s="58"/>
      <c r="E1" s="59"/>
    </row>
    <row r="2" ht="34.2" customHeight="1" spans="1:5">
      <c r="A2" s="60" t="s">
        <v>1</v>
      </c>
      <c r="B2" s="60" t="s">
        <v>2</v>
      </c>
      <c r="C2" s="60" t="s">
        <v>3</v>
      </c>
      <c r="D2" s="60" t="s">
        <v>4</v>
      </c>
      <c r="E2" s="61" t="s">
        <v>5</v>
      </c>
    </row>
    <row r="3" s="2" customFormat="1" ht="23" customHeight="1" spans="1:5">
      <c r="A3" s="14">
        <v>45784</v>
      </c>
      <c r="B3" s="27">
        <v>206</v>
      </c>
      <c r="C3" s="27">
        <v>206</v>
      </c>
      <c r="D3" s="27">
        <v>0</v>
      </c>
      <c r="E3" s="26" t="s">
        <v>6</v>
      </c>
    </row>
    <row r="4" s="2" customFormat="1" ht="23" customHeight="1" spans="1:5">
      <c r="A4" s="14">
        <v>45785</v>
      </c>
      <c r="B4" s="27">
        <v>188</v>
      </c>
      <c r="C4" s="27">
        <v>188</v>
      </c>
      <c r="D4" s="27">
        <v>0</v>
      </c>
      <c r="E4" s="26" t="s">
        <v>6</v>
      </c>
    </row>
    <row r="5" s="2" customFormat="1" ht="23" customHeight="1" spans="1:5">
      <c r="A5" s="14">
        <v>45786</v>
      </c>
      <c r="B5" s="27">
        <v>200</v>
      </c>
      <c r="C5" s="27">
        <v>200</v>
      </c>
      <c r="D5" s="27">
        <v>0</v>
      </c>
      <c r="E5" s="26" t="s">
        <v>6</v>
      </c>
    </row>
    <row r="6" s="2" customFormat="1" ht="23" customHeight="1" spans="1:5">
      <c r="A6" s="14">
        <v>45787</v>
      </c>
      <c r="B6" s="27">
        <v>37</v>
      </c>
      <c r="C6" s="27">
        <v>37</v>
      </c>
      <c r="D6" s="27">
        <v>0</v>
      </c>
      <c r="E6" s="26" t="s">
        <v>6</v>
      </c>
    </row>
    <row r="7" s="2" customFormat="1" ht="23" customHeight="1" spans="1:5">
      <c r="A7" s="14">
        <v>45788</v>
      </c>
      <c r="B7" s="27">
        <v>52</v>
      </c>
      <c r="C7" s="27">
        <v>52</v>
      </c>
      <c r="D7" s="27">
        <v>0</v>
      </c>
      <c r="E7" s="26" t="s">
        <v>6</v>
      </c>
    </row>
    <row r="8" s="2" customFormat="1" ht="23" customHeight="1" spans="1:5">
      <c r="A8" s="14">
        <v>45789</v>
      </c>
      <c r="B8" s="27">
        <v>336</v>
      </c>
      <c r="C8" s="27">
        <v>335</v>
      </c>
      <c r="D8" s="27">
        <v>0</v>
      </c>
      <c r="E8" s="26" t="s">
        <v>6</v>
      </c>
    </row>
    <row r="9" s="2" customFormat="1" ht="23" customHeight="1" spans="1:5">
      <c r="A9" s="14">
        <v>45790</v>
      </c>
      <c r="B9" s="27">
        <v>178</v>
      </c>
      <c r="C9" s="27">
        <v>178</v>
      </c>
      <c r="D9" s="27">
        <v>0</v>
      </c>
      <c r="E9" s="26" t="s">
        <v>6</v>
      </c>
    </row>
    <row r="10" s="2" customFormat="1" ht="23" customHeight="1" spans="1:5">
      <c r="A10" s="14">
        <v>45791</v>
      </c>
      <c r="B10" s="27">
        <v>224</v>
      </c>
      <c r="C10" s="27">
        <v>224</v>
      </c>
      <c r="D10" s="27">
        <v>0</v>
      </c>
      <c r="E10" s="26" t="s">
        <v>6</v>
      </c>
    </row>
    <row r="11" s="2" customFormat="1" ht="23" customHeight="1" spans="1:5">
      <c r="A11" s="14">
        <v>45792</v>
      </c>
      <c r="B11" s="27">
        <v>292</v>
      </c>
      <c r="C11" s="27">
        <v>292</v>
      </c>
      <c r="D11" s="27">
        <v>0</v>
      </c>
      <c r="E11" s="26" t="s">
        <v>6</v>
      </c>
    </row>
    <row r="12" s="2" customFormat="1" ht="23" customHeight="1" spans="1:5">
      <c r="A12" s="14">
        <v>45793</v>
      </c>
      <c r="B12" s="27">
        <v>279</v>
      </c>
      <c r="C12" s="27">
        <v>279</v>
      </c>
      <c r="D12" s="27">
        <v>0</v>
      </c>
      <c r="E12" s="26" t="s">
        <v>6</v>
      </c>
    </row>
    <row r="13" s="2" customFormat="1" ht="23" customHeight="1" spans="1:5">
      <c r="A13" s="14">
        <v>45794</v>
      </c>
      <c r="B13" s="27">
        <v>60</v>
      </c>
      <c r="C13" s="27">
        <v>60</v>
      </c>
      <c r="D13" s="27">
        <v>0</v>
      </c>
      <c r="E13" s="26" t="s">
        <v>6</v>
      </c>
    </row>
    <row r="14" s="2" customFormat="1" ht="23" customHeight="1" spans="1:5">
      <c r="A14" s="14">
        <v>45795</v>
      </c>
      <c r="B14" s="27">
        <v>25</v>
      </c>
      <c r="C14" s="27">
        <v>25</v>
      </c>
      <c r="D14" s="27">
        <v>0</v>
      </c>
      <c r="E14" s="26" t="s">
        <v>6</v>
      </c>
    </row>
    <row r="15" s="2" customFormat="1" ht="23" customHeight="1" spans="1:5">
      <c r="A15" s="14">
        <v>45796</v>
      </c>
      <c r="B15" s="27">
        <v>363</v>
      </c>
      <c r="C15" s="27">
        <v>361</v>
      </c>
      <c r="D15" s="27">
        <v>0</v>
      </c>
      <c r="E15" s="26" t="s">
        <v>6</v>
      </c>
    </row>
    <row r="16" s="2" customFormat="1" ht="23" customHeight="1" spans="1:5">
      <c r="A16" s="14">
        <v>45797</v>
      </c>
      <c r="B16" s="27">
        <v>220</v>
      </c>
      <c r="C16" s="27">
        <v>220</v>
      </c>
      <c r="D16" s="27">
        <v>0</v>
      </c>
      <c r="E16" s="26" t="s">
        <v>6</v>
      </c>
    </row>
    <row r="17" s="2" customFormat="1" ht="23" customHeight="1" spans="1:5">
      <c r="A17" s="14">
        <v>45798</v>
      </c>
      <c r="B17" s="27">
        <v>200</v>
      </c>
      <c r="C17" s="27">
        <v>200</v>
      </c>
      <c r="D17" s="27">
        <v>0</v>
      </c>
      <c r="E17" s="26" t="s">
        <v>6</v>
      </c>
    </row>
    <row r="18" s="2" customFormat="1" ht="23" customHeight="1" spans="1:5">
      <c r="A18" s="14">
        <v>45799</v>
      </c>
      <c r="B18" s="27">
        <v>251</v>
      </c>
      <c r="C18" s="27">
        <v>251</v>
      </c>
      <c r="D18" s="27">
        <v>0</v>
      </c>
      <c r="E18" s="26" t="s">
        <v>6</v>
      </c>
    </row>
    <row r="19" s="2" customFormat="1" ht="23" customHeight="1" spans="1:5">
      <c r="A19" s="14">
        <v>45800</v>
      </c>
      <c r="B19" s="27">
        <v>242</v>
      </c>
      <c r="C19" s="27">
        <v>242</v>
      </c>
      <c r="D19" s="27">
        <v>0</v>
      </c>
      <c r="E19" s="26" t="s">
        <v>6</v>
      </c>
    </row>
    <row r="20" s="2" customFormat="1" ht="23" customHeight="1" spans="1:5">
      <c r="A20" s="14">
        <v>45801</v>
      </c>
      <c r="B20" s="27">
        <v>50</v>
      </c>
      <c r="C20" s="27">
        <v>50</v>
      </c>
      <c r="D20" s="27">
        <v>0</v>
      </c>
      <c r="E20" s="26" t="s">
        <v>6</v>
      </c>
    </row>
    <row r="21" s="2" customFormat="1" ht="23" customHeight="1" spans="1:5">
      <c r="A21" s="14">
        <v>45802</v>
      </c>
      <c r="B21" s="27">
        <v>70</v>
      </c>
      <c r="C21" s="27">
        <v>70</v>
      </c>
      <c r="D21" s="27">
        <v>0</v>
      </c>
      <c r="E21" s="26" t="s">
        <v>6</v>
      </c>
    </row>
    <row r="22" s="2" customFormat="1" ht="23" customHeight="1" spans="1:5">
      <c r="A22" s="14">
        <v>45803</v>
      </c>
      <c r="B22" s="27">
        <v>426</v>
      </c>
      <c r="C22" s="27">
        <v>426</v>
      </c>
      <c r="D22" s="27">
        <v>0</v>
      </c>
      <c r="E22" s="26" t="s">
        <v>6</v>
      </c>
    </row>
    <row r="23" s="2" customFormat="1" ht="23" customHeight="1" spans="1:5">
      <c r="A23" s="14">
        <v>45804</v>
      </c>
      <c r="B23" s="27">
        <v>238</v>
      </c>
      <c r="C23" s="27">
        <v>238</v>
      </c>
      <c r="D23" s="27">
        <v>0</v>
      </c>
      <c r="E23" s="26" t="s">
        <v>6</v>
      </c>
    </row>
    <row r="24" s="2" customFormat="1" ht="23" customHeight="1" spans="1:5">
      <c r="A24" s="14">
        <v>45805</v>
      </c>
      <c r="B24" s="27">
        <v>235</v>
      </c>
      <c r="C24" s="27">
        <v>235</v>
      </c>
      <c r="D24" s="27">
        <v>0</v>
      </c>
      <c r="E24" s="26" t="s">
        <v>6</v>
      </c>
    </row>
    <row r="25" s="2" customFormat="1" ht="23" customHeight="1" spans="1:5">
      <c r="A25" s="14">
        <v>45806</v>
      </c>
      <c r="B25" s="27">
        <v>223</v>
      </c>
      <c r="C25" s="27">
        <v>223</v>
      </c>
      <c r="D25" s="27">
        <v>0</v>
      </c>
      <c r="E25" s="26" t="s">
        <v>6</v>
      </c>
    </row>
    <row r="26" s="2" customFormat="1" ht="23" customHeight="1" spans="1:5">
      <c r="A26" s="14">
        <v>45807</v>
      </c>
      <c r="B26" s="27">
        <v>407</v>
      </c>
      <c r="C26" s="27">
        <v>407</v>
      </c>
      <c r="D26" s="27">
        <v>0</v>
      </c>
      <c r="E26" s="26" t="s">
        <v>6</v>
      </c>
    </row>
    <row r="27" s="2" customFormat="1" ht="23" customHeight="1" spans="1:5">
      <c r="A27" s="14">
        <v>45808</v>
      </c>
      <c r="B27" s="27">
        <v>71</v>
      </c>
      <c r="C27" s="27">
        <v>71</v>
      </c>
      <c r="D27" s="27">
        <v>0</v>
      </c>
      <c r="E27" s="26" t="s">
        <v>6</v>
      </c>
    </row>
    <row r="28" s="2" customFormat="1" ht="23" customHeight="1" spans="1:5">
      <c r="A28" s="14">
        <v>45809</v>
      </c>
      <c r="B28" s="27">
        <v>59</v>
      </c>
      <c r="C28" s="27">
        <v>59</v>
      </c>
      <c r="D28" s="27">
        <v>0</v>
      </c>
      <c r="E28" s="26" t="s">
        <v>6</v>
      </c>
    </row>
    <row r="29" s="2" customFormat="1" ht="23" customHeight="1" spans="1:5">
      <c r="A29" s="14">
        <v>45810</v>
      </c>
      <c r="B29" s="27">
        <v>65</v>
      </c>
      <c r="C29" s="27">
        <v>65</v>
      </c>
      <c r="D29" s="27">
        <v>0</v>
      </c>
      <c r="E29" s="26" t="s">
        <v>6</v>
      </c>
    </row>
    <row r="30" s="2" customFormat="1" ht="23" customHeight="1" spans="1:5">
      <c r="A30" s="14">
        <v>45811</v>
      </c>
      <c r="B30" s="27">
        <v>377</v>
      </c>
      <c r="C30" s="27">
        <v>377</v>
      </c>
      <c r="D30" s="27">
        <v>0</v>
      </c>
      <c r="E30" s="26" t="s">
        <v>6</v>
      </c>
    </row>
    <row r="31" s="2" customFormat="1" ht="23" customHeight="1" spans="1:5">
      <c r="A31" s="14">
        <v>45812</v>
      </c>
      <c r="B31" s="27">
        <v>177</v>
      </c>
      <c r="C31" s="27">
        <v>177</v>
      </c>
      <c r="D31" s="27">
        <v>0</v>
      </c>
      <c r="E31" s="26" t="s">
        <v>6</v>
      </c>
    </row>
    <row r="32" s="2" customFormat="1" ht="23" customHeight="1" spans="1:5">
      <c r="A32" s="14">
        <v>45813</v>
      </c>
      <c r="B32" s="27">
        <v>203</v>
      </c>
      <c r="C32" s="27">
        <v>203</v>
      </c>
      <c r="D32" s="27">
        <v>0</v>
      </c>
      <c r="E32" s="26" t="s">
        <v>6</v>
      </c>
    </row>
    <row r="33" s="2" customFormat="1" ht="23" customHeight="1" spans="1:5">
      <c r="A33" s="14">
        <v>45814</v>
      </c>
      <c r="B33" s="27">
        <v>214</v>
      </c>
      <c r="C33" s="27">
        <v>214</v>
      </c>
      <c r="D33" s="27">
        <v>0</v>
      </c>
      <c r="E33" s="26" t="s">
        <v>6</v>
      </c>
    </row>
    <row r="34" s="2" customFormat="1" ht="23" customHeight="1" spans="1:5">
      <c r="A34" s="14">
        <v>45815</v>
      </c>
      <c r="B34" s="27">
        <v>46</v>
      </c>
      <c r="C34" s="27">
        <v>46</v>
      </c>
      <c r="D34" s="27">
        <v>0</v>
      </c>
      <c r="E34" s="26" t="s">
        <v>6</v>
      </c>
    </row>
    <row r="35" s="2" customFormat="1" ht="23" customHeight="1" spans="1:5">
      <c r="A35" s="14">
        <v>45816</v>
      </c>
      <c r="B35" s="27">
        <v>40</v>
      </c>
      <c r="C35" s="27">
        <v>40</v>
      </c>
      <c r="D35" s="27">
        <v>0</v>
      </c>
      <c r="E35" s="26" t="s">
        <v>6</v>
      </c>
    </row>
    <row r="36" s="2" customFormat="1" ht="23" customHeight="1" spans="1:5">
      <c r="A36" s="14">
        <v>45817</v>
      </c>
      <c r="B36" s="27">
        <v>297</v>
      </c>
      <c r="C36" s="27">
        <v>297</v>
      </c>
      <c r="D36" s="27">
        <v>0</v>
      </c>
      <c r="E36" s="26" t="s">
        <v>6</v>
      </c>
    </row>
    <row r="37" s="2" customFormat="1" ht="23" customHeight="1" spans="1:5">
      <c r="A37" s="14">
        <v>45818</v>
      </c>
      <c r="B37" s="27">
        <v>245</v>
      </c>
      <c r="C37" s="27">
        <v>245</v>
      </c>
      <c r="D37" s="27">
        <v>0</v>
      </c>
      <c r="E37" s="26" t="s">
        <v>6</v>
      </c>
    </row>
    <row r="38" s="2" customFormat="1" ht="23" customHeight="1" spans="1:5">
      <c r="A38" s="14">
        <v>45819</v>
      </c>
      <c r="B38" s="27">
        <v>250</v>
      </c>
      <c r="C38" s="27">
        <v>250</v>
      </c>
      <c r="D38" s="27">
        <v>0</v>
      </c>
      <c r="E38" s="26" t="s">
        <v>6</v>
      </c>
    </row>
    <row r="39" s="2" customFormat="1" ht="23" customHeight="1" spans="1:5">
      <c r="A39" s="14">
        <v>45820</v>
      </c>
      <c r="B39" s="27">
        <v>170</v>
      </c>
      <c r="C39" s="27">
        <v>170</v>
      </c>
      <c r="D39" s="27">
        <v>0</v>
      </c>
      <c r="E39" s="26" t="s">
        <v>6</v>
      </c>
    </row>
    <row r="40" s="2" customFormat="1" ht="23" customHeight="1" spans="1:5">
      <c r="A40" s="14">
        <v>45821</v>
      </c>
      <c r="B40" s="27">
        <v>252</v>
      </c>
      <c r="C40" s="27">
        <v>252</v>
      </c>
      <c r="D40" s="27">
        <v>0</v>
      </c>
      <c r="E40" s="26" t="s">
        <v>6</v>
      </c>
    </row>
    <row r="41" s="2" customFormat="1" ht="23" customHeight="1" spans="1:5">
      <c r="A41" s="14">
        <v>45822</v>
      </c>
      <c r="B41" s="27">
        <v>52</v>
      </c>
      <c r="C41" s="27">
        <v>52</v>
      </c>
      <c r="D41" s="27">
        <v>0</v>
      </c>
      <c r="E41" s="26" t="s">
        <v>6</v>
      </c>
    </row>
    <row r="42" s="2" customFormat="1" ht="23" customHeight="1" spans="1:5">
      <c r="A42" s="14">
        <v>45823</v>
      </c>
      <c r="B42" s="27">
        <v>66</v>
      </c>
      <c r="C42" s="27">
        <v>66</v>
      </c>
      <c r="D42" s="27">
        <v>0</v>
      </c>
      <c r="E42" s="26" t="s">
        <v>6</v>
      </c>
    </row>
    <row r="43" s="2" customFormat="1" ht="23" customHeight="1" spans="1:5">
      <c r="A43" s="14">
        <v>45824</v>
      </c>
      <c r="B43" s="27">
        <v>382</v>
      </c>
      <c r="C43" s="27">
        <v>382</v>
      </c>
      <c r="D43" s="27">
        <v>0</v>
      </c>
      <c r="E43" s="26" t="s">
        <v>6</v>
      </c>
    </row>
    <row r="44" s="2" customFormat="1" ht="23" customHeight="1" spans="1:5">
      <c r="A44" s="14">
        <v>45825</v>
      </c>
      <c r="B44" s="27">
        <v>245</v>
      </c>
      <c r="C44" s="27">
        <v>245</v>
      </c>
      <c r="D44" s="27">
        <v>0</v>
      </c>
      <c r="E44" s="26" t="s">
        <v>6</v>
      </c>
    </row>
    <row r="45" s="2" customFormat="1" ht="23" customHeight="1" spans="1:5">
      <c r="A45" s="14">
        <v>45826</v>
      </c>
      <c r="B45" s="27">
        <v>206</v>
      </c>
      <c r="C45" s="27">
        <v>206</v>
      </c>
      <c r="D45" s="27">
        <v>0</v>
      </c>
      <c r="E45" s="26" t="s">
        <v>6</v>
      </c>
    </row>
    <row r="46" s="2" customFormat="1" ht="23" customHeight="1" spans="1:5">
      <c r="A46" s="14">
        <v>45827</v>
      </c>
      <c r="B46" s="27">
        <v>243</v>
      </c>
      <c r="C46" s="27">
        <v>243</v>
      </c>
      <c r="D46" s="27">
        <v>0</v>
      </c>
      <c r="E46" s="26" t="s">
        <v>6</v>
      </c>
    </row>
    <row r="47" s="2" customFormat="1" ht="23" customHeight="1" spans="1:5">
      <c r="A47" s="14">
        <v>45828</v>
      </c>
      <c r="B47" s="27">
        <v>216</v>
      </c>
      <c r="C47" s="27">
        <v>214</v>
      </c>
      <c r="D47" s="27">
        <v>0</v>
      </c>
      <c r="E47" s="26" t="s">
        <v>6</v>
      </c>
    </row>
    <row r="48" s="2" customFormat="1" ht="23" customHeight="1" spans="1:5">
      <c r="A48" s="14">
        <v>45829</v>
      </c>
      <c r="B48" s="27">
        <v>45</v>
      </c>
      <c r="C48" s="27">
        <v>45</v>
      </c>
      <c r="D48" s="27">
        <v>0</v>
      </c>
      <c r="E48" s="26" t="s">
        <v>6</v>
      </c>
    </row>
    <row r="49" s="2" customFormat="1" ht="23" customHeight="1" spans="1:5">
      <c r="A49" s="14">
        <v>45830</v>
      </c>
      <c r="B49" s="27">
        <v>74</v>
      </c>
      <c r="C49" s="27">
        <v>74</v>
      </c>
      <c r="D49" s="27">
        <v>0</v>
      </c>
      <c r="E49" s="26" t="s">
        <v>6</v>
      </c>
    </row>
    <row r="50" s="2" customFormat="1" ht="23" customHeight="1" spans="1:5">
      <c r="A50" s="14">
        <v>45831</v>
      </c>
      <c r="B50" s="27">
        <v>362</v>
      </c>
      <c r="C50" s="27">
        <v>362</v>
      </c>
      <c r="D50" s="27">
        <v>0</v>
      </c>
      <c r="E50" s="26" t="s">
        <v>6</v>
      </c>
    </row>
    <row r="51" s="2" customFormat="1" ht="23" customHeight="1" spans="1:5">
      <c r="A51" s="14">
        <v>45832</v>
      </c>
      <c r="B51" s="27">
        <v>304</v>
      </c>
      <c r="C51" s="27">
        <v>304</v>
      </c>
      <c r="D51" s="27">
        <v>0</v>
      </c>
      <c r="E51" s="26" t="s">
        <v>6</v>
      </c>
    </row>
    <row r="52" s="2" customFormat="1" ht="23" customHeight="1" spans="1:5">
      <c r="A52" s="14">
        <v>45833</v>
      </c>
      <c r="B52" s="27">
        <v>237</v>
      </c>
      <c r="C52" s="27">
        <v>237</v>
      </c>
      <c r="D52" s="27">
        <v>0</v>
      </c>
      <c r="E52" s="26" t="s">
        <v>6</v>
      </c>
    </row>
    <row r="53" s="2" customFormat="1" ht="23" customHeight="1" spans="1:5">
      <c r="A53" s="14">
        <v>45834</v>
      </c>
      <c r="B53" s="27">
        <v>303</v>
      </c>
      <c r="C53" s="27">
        <v>303</v>
      </c>
      <c r="D53" s="27">
        <v>0</v>
      </c>
      <c r="E53" s="26" t="s">
        <v>6</v>
      </c>
    </row>
    <row r="54" s="2" customFormat="1" ht="23" customHeight="1" spans="1:5">
      <c r="A54" s="14">
        <v>45835</v>
      </c>
      <c r="B54" s="27">
        <v>299</v>
      </c>
      <c r="C54" s="27">
        <v>299</v>
      </c>
      <c r="D54" s="27">
        <v>0</v>
      </c>
      <c r="E54" s="26" t="s">
        <v>6</v>
      </c>
    </row>
    <row r="55" s="2" customFormat="1" ht="23" customHeight="1" spans="1:5">
      <c r="A55" s="14">
        <v>45836</v>
      </c>
      <c r="B55" s="27">
        <v>47</v>
      </c>
      <c r="C55" s="27">
        <v>47</v>
      </c>
      <c r="D55" s="27">
        <v>0</v>
      </c>
      <c r="E55" s="26" t="s">
        <v>6</v>
      </c>
    </row>
    <row r="56" s="2" customFormat="1" ht="23" customHeight="1" spans="1:5">
      <c r="A56" s="14">
        <v>45837</v>
      </c>
      <c r="B56" s="27">
        <v>80</v>
      </c>
      <c r="C56" s="27">
        <v>80</v>
      </c>
      <c r="D56" s="27">
        <v>0</v>
      </c>
      <c r="E56" s="26" t="s">
        <v>6</v>
      </c>
    </row>
    <row r="57" s="2" customFormat="1" ht="23" customHeight="1" spans="1:5">
      <c r="A57" s="14">
        <v>45838</v>
      </c>
      <c r="B57" s="27">
        <v>473</v>
      </c>
      <c r="C57" s="27">
        <f>B57-D57</f>
        <v>473</v>
      </c>
      <c r="D57" s="27">
        <v>0</v>
      </c>
      <c r="E57" s="26" t="s">
        <v>6</v>
      </c>
    </row>
    <row r="58" s="2" customFormat="1" ht="23" customHeight="1" spans="1:5">
      <c r="A58" s="14">
        <v>45839</v>
      </c>
      <c r="B58" s="27">
        <v>307</v>
      </c>
      <c r="C58" s="27">
        <f>B58-D58</f>
        <v>307</v>
      </c>
      <c r="D58" s="27">
        <v>0</v>
      </c>
      <c r="E58" s="26" t="s">
        <v>6</v>
      </c>
    </row>
    <row r="59" s="2" customFormat="1" ht="23" customHeight="1" spans="1:5">
      <c r="A59" s="14">
        <v>45840</v>
      </c>
      <c r="B59" s="27">
        <v>208</v>
      </c>
      <c r="C59" s="27">
        <f>B59-D59</f>
        <v>208</v>
      </c>
      <c r="D59" s="27">
        <v>0</v>
      </c>
      <c r="E59" s="26" t="s">
        <v>6</v>
      </c>
    </row>
    <row r="60" s="2" customFormat="1" ht="23" customHeight="1" spans="1:5">
      <c r="A60" s="14">
        <v>45841</v>
      </c>
      <c r="B60" s="27">
        <v>201</v>
      </c>
      <c r="C60" s="27">
        <v>201</v>
      </c>
      <c r="D60" s="27">
        <v>0</v>
      </c>
      <c r="E60" s="26" t="s">
        <v>6</v>
      </c>
    </row>
    <row r="61" s="2" customFormat="1" ht="23" customHeight="1" spans="1:5">
      <c r="A61" s="14">
        <v>45842</v>
      </c>
      <c r="B61" s="27">
        <v>280</v>
      </c>
      <c r="C61" s="27">
        <v>280</v>
      </c>
      <c r="D61" s="27">
        <v>0</v>
      </c>
      <c r="E61" s="26" t="s">
        <v>6</v>
      </c>
    </row>
    <row r="62" s="2" customFormat="1" ht="23" customHeight="1" spans="1:5">
      <c r="A62" s="14">
        <v>45843</v>
      </c>
      <c r="B62" s="27">
        <v>33</v>
      </c>
      <c r="C62" s="27">
        <v>33</v>
      </c>
      <c r="D62" s="27">
        <v>0</v>
      </c>
      <c r="E62" s="26" t="s">
        <v>6</v>
      </c>
    </row>
    <row r="63" s="2" customFormat="1" ht="23" customHeight="1" spans="1:5">
      <c r="A63" s="14">
        <v>45844</v>
      </c>
      <c r="B63" s="27">
        <v>83</v>
      </c>
      <c r="C63" s="27">
        <v>83</v>
      </c>
      <c r="D63" s="27">
        <v>0</v>
      </c>
      <c r="E63" s="26" t="s">
        <v>6</v>
      </c>
    </row>
    <row r="64" ht="23" customHeight="1" spans="1:5">
      <c r="A64" s="14">
        <v>45845</v>
      </c>
      <c r="B64" s="27">
        <v>214</v>
      </c>
      <c r="C64" s="27">
        <v>213</v>
      </c>
      <c r="D64" s="27">
        <v>0</v>
      </c>
      <c r="E64" s="26" t="s">
        <v>6</v>
      </c>
    </row>
    <row r="65" ht="23" customHeight="1" spans="1:5">
      <c r="A65" s="14">
        <v>45846</v>
      </c>
      <c r="B65" s="27">
        <v>185</v>
      </c>
      <c r="C65" s="27">
        <v>185</v>
      </c>
      <c r="D65" s="27">
        <v>0</v>
      </c>
      <c r="E65" s="26" t="s">
        <v>6</v>
      </c>
    </row>
    <row r="66" ht="23" customHeight="1" spans="1:5">
      <c r="A66" s="14">
        <v>45847</v>
      </c>
      <c r="B66" s="27">
        <v>130</v>
      </c>
      <c r="C66" s="27">
        <v>130</v>
      </c>
      <c r="D66" s="27">
        <v>0</v>
      </c>
      <c r="E66" s="26" t="s">
        <v>6</v>
      </c>
    </row>
    <row r="67" ht="23" customHeight="1" spans="1:5">
      <c r="A67" s="14">
        <v>45848</v>
      </c>
      <c r="B67" s="27">
        <v>222</v>
      </c>
      <c r="C67" s="27">
        <v>222</v>
      </c>
      <c r="D67" s="27">
        <v>0</v>
      </c>
      <c r="E67" s="26" t="s">
        <v>6</v>
      </c>
    </row>
    <row r="68" ht="23" customHeight="1" spans="1:5">
      <c r="A68" s="14">
        <v>45849</v>
      </c>
      <c r="B68" s="27">
        <v>240</v>
      </c>
      <c r="C68" s="27">
        <v>239</v>
      </c>
      <c r="D68" s="27">
        <v>0</v>
      </c>
      <c r="E68" s="26" t="s">
        <v>6</v>
      </c>
    </row>
    <row r="69" ht="23" customHeight="1" spans="1:5">
      <c r="A69" s="14">
        <v>45850</v>
      </c>
      <c r="B69" s="27">
        <v>32</v>
      </c>
      <c r="C69" s="27">
        <v>32</v>
      </c>
      <c r="D69" s="27">
        <v>0</v>
      </c>
      <c r="E69" s="26" t="s">
        <v>6</v>
      </c>
    </row>
    <row r="70" ht="23" customHeight="1" spans="1:5">
      <c r="A70" s="14">
        <v>45851</v>
      </c>
      <c r="B70" s="27">
        <v>49</v>
      </c>
      <c r="C70" s="27">
        <v>49</v>
      </c>
      <c r="D70" s="27">
        <v>0</v>
      </c>
      <c r="E70" s="26" t="s">
        <v>6</v>
      </c>
    </row>
    <row r="71" ht="23" customHeight="1" spans="1:5">
      <c r="A71" s="14">
        <v>45852</v>
      </c>
      <c r="B71" s="27">
        <v>292</v>
      </c>
      <c r="C71" s="27">
        <v>292</v>
      </c>
      <c r="D71" s="27">
        <v>0</v>
      </c>
      <c r="E71" s="26" t="s">
        <v>6</v>
      </c>
    </row>
    <row r="72" ht="23" customHeight="1" spans="1:5">
      <c r="A72" s="14">
        <v>45853</v>
      </c>
      <c r="B72" s="27">
        <v>202</v>
      </c>
      <c r="C72" s="27">
        <v>202</v>
      </c>
      <c r="D72" s="27">
        <v>0</v>
      </c>
      <c r="E72" s="26" t="s">
        <v>6</v>
      </c>
    </row>
    <row r="73" ht="23" customHeight="1" spans="1:5">
      <c r="A73" s="14">
        <v>45854</v>
      </c>
      <c r="B73" s="27">
        <v>231</v>
      </c>
      <c r="C73" s="27">
        <v>231</v>
      </c>
      <c r="D73" s="27">
        <v>0</v>
      </c>
      <c r="E73" s="26" t="s">
        <v>6</v>
      </c>
    </row>
    <row r="74" ht="23" customHeight="1" spans="1:5">
      <c r="A74" s="14">
        <v>45855</v>
      </c>
      <c r="B74" s="27">
        <v>217</v>
      </c>
      <c r="C74" s="27">
        <v>217</v>
      </c>
      <c r="D74" s="27">
        <v>0</v>
      </c>
      <c r="E74" s="26" t="s">
        <v>6</v>
      </c>
    </row>
    <row r="75" ht="23" customHeight="1" spans="1:5">
      <c r="A75" s="14">
        <v>45856</v>
      </c>
      <c r="B75" s="27">
        <v>227</v>
      </c>
      <c r="C75" s="27">
        <v>227</v>
      </c>
      <c r="D75" s="27">
        <v>0</v>
      </c>
      <c r="E75" s="26" t="s">
        <v>6</v>
      </c>
    </row>
    <row r="76" ht="23" customHeight="1" spans="1:5">
      <c r="A76" s="14">
        <v>45857</v>
      </c>
      <c r="B76" s="27">
        <v>47</v>
      </c>
      <c r="C76" s="27">
        <v>47</v>
      </c>
      <c r="D76" s="27">
        <v>0</v>
      </c>
      <c r="E76" s="26" t="s">
        <v>6</v>
      </c>
    </row>
    <row r="77" ht="23" customHeight="1" spans="1:5">
      <c r="A77" s="14">
        <v>45858</v>
      </c>
      <c r="B77" s="27">
        <v>54</v>
      </c>
      <c r="C77" s="27">
        <v>54</v>
      </c>
      <c r="D77" s="27">
        <v>0</v>
      </c>
      <c r="E77" s="26" t="s">
        <v>6</v>
      </c>
    </row>
    <row r="78" ht="23" customHeight="1" spans="1:5">
      <c r="A78" s="14">
        <v>45859</v>
      </c>
      <c r="B78" s="27">
        <v>420</v>
      </c>
      <c r="C78" s="27">
        <v>420</v>
      </c>
      <c r="D78" s="27">
        <v>0</v>
      </c>
      <c r="E78" s="26" t="s">
        <v>6</v>
      </c>
    </row>
    <row r="79" ht="23" customHeight="1" spans="1:5">
      <c r="A79" s="14">
        <v>45860</v>
      </c>
      <c r="B79" s="27">
        <v>213</v>
      </c>
      <c r="C79" s="27">
        <v>213</v>
      </c>
      <c r="D79" s="27">
        <v>0</v>
      </c>
      <c r="E79" s="26" t="s">
        <v>6</v>
      </c>
    </row>
    <row r="80" ht="23" customHeight="1" spans="1:5">
      <c r="A80" s="14">
        <v>45861</v>
      </c>
      <c r="B80" s="27">
        <v>259</v>
      </c>
      <c r="C80" s="27">
        <v>259</v>
      </c>
      <c r="D80" s="27">
        <v>0</v>
      </c>
      <c r="E80" s="26" t="s">
        <v>6</v>
      </c>
    </row>
    <row r="81" ht="23" customHeight="1" spans="1:5">
      <c r="A81" s="14">
        <v>45862</v>
      </c>
      <c r="B81" s="27">
        <v>274</v>
      </c>
      <c r="C81" s="27">
        <v>274</v>
      </c>
      <c r="D81" s="27">
        <v>0</v>
      </c>
      <c r="E81" s="26" t="s">
        <v>6</v>
      </c>
    </row>
    <row r="82" ht="23" customHeight="1" spans="1:5">
      <c r="A82" s="14">
        <v>45863</v>
      </c>
      <c r="B82" s="27">
        <v>351</v>
      </c>
      <c r="C82" s="27">
        <v>351</v>
      </c>
      <c r="D82" s="27">
        <v>0</v>
      </c>
      <c r="E82" s="26" t="s">
        <v>6</v>
      </c>
    </row>
    <row r="83" ht="23" customHeight="1" spans="1:5">
      <c r="A83" s="14">
        <v>45864</v>
      </c>
      <c r="B83" s="27">
        <v>41</v>
      </c>
      <c r="C83" s="27">
        <v>41</v>
      </c>
      <c r="D83" s="27">
        <v>0</v>
      </c>
      <c r="E83" s="26" t="s">
        <v>6</v>
      </c>
    </row>
    <row r="84" ht="23" customHeight="1" spans="1:5">
      <c r="A84" s="14">
        <v>45865</v>
      </c>
      <c r="B84" s="27">
        <v>65</v>
      </c>
      <c r="C84" s="27">
        <v>65</v>
      </c>
      <c r="D84" s="27">
        <v>0</v>
      </c>
      <c r="E84" s="26" t="s">
        <v>6</v>
      </c>
    </row>
    <row r="85" ht="23" customHeight="1" spans="1:5">
      <c r="A85" s="14">
        <v>45866</v>
      </c>
      <c r="B85" s="27">
        <v>371</v>
      </c>
      <c r="C85" s="27">
        <v>371</v>
      </c>
      <c r="D85" s="27">
        <v>0</v>
      </c>
      <c r="E85" s="26" t="s">
        <v>6</v>
      </c>
    </row>
    <row r="86" ht="23" customHeight="1" spans="1:5">
      <c r="A86" s="14">
        <v>45867</v>
      </c>
      <c r="B86" s="27">
        <v>241</v>
      </c>
      <c r="C86" s="27">
        <v>241</v>
      </c>
      <c r="D86" s="27">
        <v>0</v>
      </c>
      <c r="E86" s="26" t="s">
        <v>6</v>
      </c>
    </row>
    <row r="87" ht="23" customHeight="1" spans="1:5">
      <c r="A87" s="14">
        <v>45868</v>
      </c>
      <c r="B87" s="27">
        <v>226</v>
      </c>
      <c r="C87" s="27">
        <v>226</v>
      </c>
      <c r="D87" s="27">
        <v>0</v>
      </c>
      <c r="E87" s="26" t="s">
        <v>6</v>
      </c>
    </row>
    <row r="88" ht="23" customHeight="1" spans="1:5">
      <c r="A88" s="14">
        <v>45869</v>
      </c>
      <c r="B88" s="27">
        <v>273</v>
      </c>
      <c r="C88" s="27">
        <v>273</v>
      </c>
      <c r="D88" s="27">
        <v>0</v>
      </c>
      <c r="E88" s="26" t="s">
        <v>6</v>
      </c>
    </row>
    <row r="89" ht="23" customHeight="1" spans="1:5">
      <c r="A89" s="14">
        <v>45870</v>
      </c>
      <c r="B89" s="27">
        <v>351</v>
      </c>
      <c r="C89" s="27">
        <v>351</v>
      </c>
      <c r="D89" s="27">
        <v>0</v>
      </c>
      <c r="E89" s="26" t="s">
        <v>6</v>
      </c>
    </row>
    <row r="90" ht="23" customHeight="1" spans="1:5">
      <c r="A90" s="14">
        <v>45871</v>
      </c>
      <c r="B90" s="27">
        <v>57</v>
      </c>
      <c r="C90" s="27">
        <v>57</v>
      </c>
      <c r="D90" s="27">
        <v>0</v>
      </c>
      <c r="E90" s="26" t="s">
        <v>6</v>
      </c>
    </row>
    <row r="91" ht="23" customHeight="1" spans="1:5">
      <c r="A91" s="14">
        <v>45872</v>
      </c>
      <c r="B91" s="27">
        <v>95</v>
      </c>
      <c r="C91" s="27">
        <v>95</v>
      </c>
      <c r="D91" s="27">
        <v>0</v>
      </c>
      <c r="E91" s="26" t="s">
        <v>6</v>
      </c>
    </row>
    <row r="92" ht="23" customHeight="1" spans="1:5">
      <c r="A92" s="14">
        <v>45873</v>
      </c>
      <c r="B92" s="27">
        <v>434</v>
      </c>
      <c r="C92" s="27">
        <v>434</v>
      </c>
      <c r="D92" s="27">
        <v>0</v>
      </c>
      <c r="E92" s="26" t="s">
        <v>6</v>
      </c>
    </row>
    <row r="93" ht="23" customHeight="1" spans="1:5">
      <c r="A93" s="14">
        <v>45874</v>
      </c>
      <c r="B93" s="27">
        <v>207</v>
      </c>
      <c r="C93" s="27">
        <v>207</v>
      </c>
      <c r="D93" s="27">
        <v>0</v>
      </c>
      <c r="E93" s="26" t="s">
        <v>6</v>
      </c>
    </row>
    <row r="94" ht="23" customHeight="1" spans="1:5">
      <c r="A94" s="14">
        <v>45875</v>
      </c>
      <c r="B94" s="27">
        <v>188</v>
      </c>
      <c r="C94" s="27">
        <v>188</v>
      </c>
      <c r="D94" s="27">
        <v>0</v>
      </c>
      <c r="E94" s="26" t="s">
        <v>6</v>
      </c>
    </row>
    <row r="95" ht="23" customHeight="1" spans="1:5">
      <c r="A95" s="14">
        <v>45876</v>
      </c>
      <c r="B95" s="27">
        <v>226</v>
      </c>
      <c r="C95" s="27">
        <v>226</v>
      </c>
      <c r="D95" s="27">
        <v>0</v>
      </c>
      <c r="E95" s="26" t="s">
        <v>6</v>
      </c>
    </row>
    <row r="96" ht="23" customHeight="1" spans="1:5">
      <c r="A96" s="14">
        <v>45877</v>
      </c>
      <c r="B96" s="27">
        <v>247</v>
      </c>
      <c r="C96" s="27">
        <v>247</v>
      </c>
      <c r="D96" s="27">
        <v>0</v>
      </c>
      <c r="E96" s="26" t="s">
        <v>6</v>
      </c>
    </row>
    <row r="97" ht="23" customHeight="1" spans="1:5">
      <c r="A97" s="14">
        <v>45878</v>
      </c>
      <c r="B97" s="27">
        <v>84</v>
      </c>
      <c r="C97" s="27">
        <v>84</v>
      </c>
      <c r="D97" s="27">
        <v>0</v>
      </c>
      <c r="E97" s="26" t="s">
        <v>6</v>
      </c>
    </row>
    <row r="98" ht="23" customHeight="1" spans="1:5">
      <c r="A98" s="14">
        <v>45879</v>
      </c>
      <c r="B98" s="27">
        <v>43</v>
      </c>
      <c r="C98" s="27">
        <v>37</v>
      </c>
      <c r="D98" s="27">
        <v>0</v>
      </c>
      <c r="E98" s="26" t="s">
        <v>6</v>
      </c>
    </row>
    <row r="99" ht="23" customHeight="1" spans="1:5">
      <c r="A99" s="14">
        <v>45880</v>
      </c>
      <c r="B99" s="27">
        <v>347</v>
      </c>
      <c r="C99" s="27">
        <v>347</v>
      </c>
      <c r="D99" s="27">
        <v>0</v>
      </c>
      <c r="E99" s="26" t="s">
        <v>6</v>
      </c>
    </row>
    <row r="100" ht="23" customHeight="1" spans="1:5">
      <c r="A100" s="14">
        <v>45881</v>
      </c>
      <c r="B100" s="27">
        <v>221</v>
      </c>
      <c r="C100" s="27">
        <v>221</v>
      </c>
      <c r="D100" s="27">
        <v>0</v>
      </c>
      <c r="E100" s="26" t="s">
        <v>6</v>
      </c>
    </row>
    <row r="101" ht="23" customHeight="1" spans="1:5">
      <c r="A101" s="14">
        <v>45882</v>
      </c>
      <c r="B101" s="27">
        <v>256</v>
      </c>
      <c r="C101" s="27">
        <v>256</v>
      </c>
      <c r="D101" s="27">
        <v>0</v>
      </c>
      <c r="E101" s="26" t="s">
        <v>6</v>
      </c>
    </row>
    <row r="102" ht="23" customHeight="1" spans="1:5">
      <c r="A102" s="14">
        <v>45883</v>
      </c>
      <c r="B102" s="27">
        <v>288</v>
      </c>
      <c r="C102" s="27">
        <v>288</v>
      </c>
      <c r="D102" s="27">
        <v>0</v>
      </c>
      <c r="E102" s="26" t="s">
        <v>6</v>
      </c>
    </row>
    <row r="103" ht="23" customHeight="1" spans="1:5">
      <c r="A103" s="14">
        <v>45884</v>
      </c>
      <c r="B103" s="27">
        <v>330</v>
      </c>
      <c r="C103" s="27">
        <v>330</v>
      </c>
      <c r="D103" s="27">
        <v>0</v>
      </c>
      <c r="E103" s="26" t="s">
        <v>6</v>
      </c>
    </row>
    <row r="104" ht="23" customHeight="1" spans="1:5">
      <c r="A104" s="14">
        <v>45885</v>
      </c>
      <c r="B104" s="27">
        <v>59</v>
      </c>
      <c r="C104" s="27">
        <v>59</v>
      </c>
      <c r="D104" s="27">
        <v>0</v>
      </c>
      <c r="E104" s="26" t="s">
        <v>6</v>
      </c>
    </row>
    <row r="105" ht="23" customHeight="1" spans="1:5">
      <c r="A105" s="14">
        <v>45886</v>
      </c>
      <c r="B105" s="27">
        <v>57</v>
      </c>
      <c r="C105" s="27">
        <v>57</v>
      </c>
      <c r="D105" s="27">
        <v>0</v>
      </c>
      <c r="E105" s="26" t="s">
        <v>6</v>
      </c>
    </row>
    <row r="106" ht="23" customHeight="1" spans="1:5">
      <c r="A106" s="14">
        <v>45887</v>
      </c>
      <c r="B106" s="27">
        <v>329</v>
      </c>
      <c r="C106" s="27">
        <v>329</v>
      </c>
      <c r="D106" s="27">
        <v>0</v>
      </c>
      <c r="E106" s="26" t="s">
        <v>6</v>
      </c>
    </row>
    <row r="107" ht="23" customHeight="1" spans="1:5">
      <c r="A107" s="14">
        <v>45888</v>
      </c>
      <c r="B107" s="27">
        <v>240</v>
      </c>
      <c r="C107" s="27">
        <v>240</v>
      </c>
      <c r="D107" s="27">
        <v>0</v>
      </c>
      <c r="E107" s="26" t="s">
        <v>6</v>
      </c>
    </row>
    <row r="108" ht="23" customHeight="1" spans="1:5">
      <c r="A108" s="14">
        <v>45889</v>
      </c>
      <c r="B108" s="27">
        <v>261</v>
      </c>
      <c r="C108" s="27">
        <v>261</v>
      </c>
      <c r="D108" s="27">
        <v>0</v>
      </c>
      <c r="E108" s="26" t="s">
        <v>6</v>
      </c>
    </row>
    <row r="109" ht="23" customHeight="1" spans="1:5">
      <c r="A109" s="14">
        <v>45890</v>
      </c>
      <c r="B109" s="27">
        <v>313</v>
      </c>
      <c r="C109" s="27">
        <v>313</v>
      </c>
      <c r="D109" s="27">
        <v>0</v>
      </c>
      <c r="E109" s="26" t="s">
        <v>6</v>
      </c>
    </row>
    <row r="110" ht="23" customHeight="1" spans="1:5">
      <c r="A110" s="14">
        <v>45891</v>
      </c>
      <c r="B110" s="27">
        <v>331</v>
      </c>
      <c r="C110" s="27">
        <v>331</v>
      </c>
      <c r="D110" s="27">
        <v>0</v>
      </c>
      <c r="E110" s="26" t="s">
        <v>6</v>
      </c>
    </row>
    <row r="111" ht="23" customHeight="1" spans="1:5">
      <c r="A111" s="14">
        <v>45892</v>
      </c>
      <c r="B111" s="27">
        <v>122</v>
      </c>
      <c r="C111" s="27">
        <v>122</v>
      </c>
      <c r="D111" s="27">
        <v>0</v>
      </c>
      <c r="E111" s="26" t="s">
        <v>6</v>
      </c>
    </row>
    <row r="112" ht="23" customHeight="1" spans="1:5">
      <c r="A112" s="14">
        <v>45893</v>
      </c>
      <c r="B112" s="27">
        <v>55</v>
      </c>
      <c r="C112" s="27">
        <v>55</v>
      </c>
      <c r="D112" s="27">
        <v>0</v>
      </c>
      <c r="E112" s="26" t="s">
        <v>6</v>
      </c>
    </row>
    <row r="113" ht="23" customHeight="1" spans="1:5">
      <c r="A113" s="14">
        <v>45894</v>
      </c>
      <c r="B113" s="27">
        <v>406</v>
      </c>
      <c r="C113" s="27">
        <v>406</v>
      </c>
      <c r="D113" s="27">
        <v>0</v>
      </c>
      <c r="E113" s="26" t="s">
        <v>6</v>
      </c>
    </row>
    <row r="114" ht="23" customHeight="1" spans="1:5">
      <c r="A114" s="14">
        <v>45895</v>
      </c>
      <c r="B114" s="27">
        <v>268</v>
      </c>
      <c r="C114" s="27">
        <v>268</v>
      </c>
      <c r="D114" s="27">
        <v>0</v>
      </c>
      <c r="E114" s="26" t="s">
        <v>6</v>
      </c>
    </row>
    <row r="115" ht="23" customHeight="1" spans="1:5">
      <c r="A115" s="14">
        <v>45896</v>
      </c>
      <c r="B115" s="27">
        <v>220</v>
      </c>
      <c r="C115" s="27">
        <v>220</v>
      </c>
      <c r="D115" s="27">
        <v>0</v>
      </c>
      <c r="E115" s="26" t="s">
        <v>6</v>
      </c>
    </row>
    <row r="116" ht="23" customHeight="1" spans="1:5">
      <c r="A116" s="14">
        <v>45897</v>
      </c>
      <c r="B116" s="27">
        <v>267</v>
      </c>
      <c r="C116" s="27">
        <v>267</v>
      </c>
      <c r="D116" s="27">
        <v>0</v>
      </c>
      <c r="E116" s="26" t="s">
        <v>6</v>
      </c>
    </row>
    <row r="117" ht="23" customHeight="1" spans="1:5">
      <c r="A117" s="14">
        <v>45898</v>
      </c>
      <c r="B117" s="27">
        <v>314</v>
      </c>
      <c r="C117" s="27">
        <v>314</v>
      </c>
      <c r="D117" s="27">
        <v>0</v>
      </c>
      <c r="E117" s="26" t="s">
        <v>6</v>
      </c>
    </row>
    <row r="118" ht="23" customHeight="1" spans="1:5">
      <c r="A118" s="14">
        <v>45899</v>
      </c>
      <c r="B118" s="27">
        <v>81</v>
      </c>
      <c r="C118" s="27">
        <v>81</v>
      </c>
      <c r="D118" s="27">
        <v>0</v>
      </c>
      <c r="E118" s="26" t="s">
        <v>6</v>
      </c>
    </row>
    <row r="119" ht="23" customHeight="1" spans="1:5">
      <c r="A119" s="14">
        <v>45900</v>
      </c>
      <c r="B119" s="27">
        <v>133</v>
      </c>
      <c r="C119" s="27">
        <v>133</v>
      </c>
      <c r="D119" s="27">
        <v>0</v>
      </c>
      <c r="E119" s="26" t="s">
        <v>6</v>
      </c>
    </row>
    <row r="120" ht="23" customHeight="1" spans="1:5">
      <c r="A120" s="14">
        <v>45901</v>
      </c>
      <c r="B120" s="27">
        <v>541</v>
      </c>
      <c r="C120" s="27">
        <v>541</v>
      </c>
      <c r="D120" s="27">
        <v>0</v>
      </c>
      <c r="E120" s="26" t="s">
        <v>6</v>
      </c>
    </row>
    <row r="121" ht="23" customHeight="1" spans="1:5">
      <c r="A121" s="14">
        <v>45902</v>
      </c>
      <c r="B121" s="27">
        <v>306</v>
      </c>
      <c r="C121" s="27">
        <v>306</v>
      </c>
      <c r="D121" s="27">
        <v>0</v>
      </c>
      <c r="E121" s="26" t="s">
        <v>6</v>
      </c>
    </row>
    <row r="122" ht="23" customHeight="1" spans="1:5">
      <c r="A122" s="14">
        <v>45903</v>
      </c>
      <c r="B122" s="27">
        <v>233</v>
      </c>
      <c r="C122" s="27">
        <v>233</v>
      </c>
      <c r="D122" s="27">
        <v>0</v>
      </c>
      <c r="E122" s="26" t="s">
        <v>6</v>
      </c>
    </row>
    <row r="123" ht="23" customHeight="1" spans="1:5">
      <c r="A123" s="14">
        <v>45904</v>
      </c>
      <c r="B123" s="27">
        <v>321</v>
      </c>
      <c r="C123" s="27">
        <v>321</v>
      </c>
      <c r="D123" s="27">
        <v>0</v>
      </c>
      <c r="E123" s="26" t="s">
        <v>6</v>
      </c>
    </row>
    <row r="124" ht="23" customHeight="1" spans="1:5">
      <c r="A124" s="14">
        <v>45905</v>
      </c>
      <c r="B124" s="27">
        <v>253</v>
      </c>
      <c r="C124" s="27">
        <v>253</v>
      </c>
      <c r="D124" s="27">
        <v>0</v>
      </c>
      <c r="E124" s="26" t="s">
        <v>6</v>
      </c>
    </row>
    <row r="125" ht="23" customHeight="1" spans="1:5">
      <c r="A125" s="14">
        <v>45906</v>
      </c>
      <c r="B125" s="27">
        <v>77</v>
      </c>
      <c r="C125" s="27">
        <v>77</v>
      </c>
      <c r="D125" s="27">
        <v>0</v>
      </c>
      <c r="E125" s="26" t="s">
        <v>6</v>
      </c>
    </row>
    <row r="126" ht="23" customHeight="1" spans="1:5">
      <c r="A126" s="14">
        <v>45907</v>
      </c>
      <c r="B126" s="27">
        <v>85</v>
      </c>
      <c r="C126" s="27">
        <v>85</v>
      </c>
      <c r="D126" s="27">
        <v>0</v>
      </c>
      <c r="E126" s="26" t="s">
        <v>6</v>
      </c>
    </row>
    <row r="127" ht="23" customHeight="1" spans="1:5">
      <c r="A127" s="14">
        <v>45908</v>
      </c>
      <c r="B127" s="27">
        <v>388</v>
      </c>
      <c r="C127" s="27">
        <v>388</v>
      </c>
      <c r="D127" s="27">
        <v>0</v>
      </c>
      <c r="E127" s="26" t="s">
        <v>6</v>
      </c>
    </row>
    <row r="128" ht="23" customHeight="1" spans="1:5">
      <c r="A128" s="14">
        <v>45909</v>
      </c>
      <c r="B128" s="27">
        <v>233</v>
      </c>
      <c r="C128" s="27">
        <v>233</v>
      </c>
      <c r="D128" s="27">
        <v>0</v>
      </c>
      <c r="E128" s="26" t="s">
        <v>6</v>
      </c>
    </row>
    <row r="129" ht="23" customHeight="1" spans="1:5">
      <c r="A129" s="14">
        <v>45910</v>
      </c>
      <c r="B129" s="27">
        <v>236</v>
      </c>
      <c r="C129" s="27">
        <v>236</v>
      </c>
      <c r="D129" s="27">
        <v>0</v>
      </c>
      <c r="E129" s="26" t="s">
        <v>6</v>
      </c>
    </row>
    <row r="130" ht="23" customHeight="1" spans="1:5">
      <c r="A130" s="14">
        <v>45911</v>
      </c>
      <c r="B130" s="27">
        <v>341</v>
      </c>
      <c r="C130" s="27">
        <v>341</v>
      </c>
      <c r="D130" s="27">
        <v>0</v>
      </c>
      <c r="E130" s="26" t="s">
        <v>6</v>
      </c>
    </row>
    <row r="131" ht="23" customHeight="1" spans="1:5">
      <c r="A131" s="14">
        <v>45912</v>
      </c>
      <c r="B131" s="27">
        <v>308</v>
      </c>
      <c r="C131" s="27">
        <v>308</v>
      </c>
      <c r="D131" s="27">
        <v>0</v>
      </c>
      <c r="E131" s="26" t="s">
        <v>6</v>
      </c>
    </row>
    <row r="132" ht="23" customHeight="1" spans="1:5">
      <c r="A132" s="14">
        <v>45913</v>
      </c>
      <c r="B132" s="27">
        <v>89</v>
      </c>
      <c r="C132" s="27">
        <v>89</v>
      </c>
      <c r="D132" s="27">
        <v>0</v>
      </c>
      <c r="E132" s="26" t="s">
        <v>6</v>
      </c>
    </row>
    <row r="133" ht="23" customHeight="1" spans="1:5">
      <c r="A133" s="14">
        <v>45914</v>
      </c>
      <c r="B133" s="27">
        <v>49</v>
      </c>
      <c r="C133" s="27">
        <v>49</v>
      </c>
      <c r="D133" s="27">
        <v>0</v>
      </c>
      <c r="E133" s="26" t="s">
        <v>6</v>
      </c>
    </row>
    <row r="134" ht="23" customHeight="1" spans="1:5">
      <c r="A134" s="14">
        <v>45915</v>
      </c>
      <c r="B134" s="27">
        <v>442</v>
      </c>
      <c r="C134" s="27">
        <v>442</v>
      </c>
      <c r="D134" s="27">
        <v>0</v>
      </c>
      <c r="E134" s="26" t="s">
        <v>6</v>
      </c>
    </row>
    <row r="135" ht="23" customHeight="1" spans="1:5">
      <c r="A135" s="14">
        <v>45916</v>
      </c>
      <c r="B135" s="27">
        <v>256</v>
      </c>
      <c r="C135" s="27">
        <v>256</v>
      </c>
      <c r="D135" s="27">
        <v>0</v>
      </c>
      <c r="E135" s="26" t="s">
        <v>6</v>
      </c>
    </row>
    <row r="136" ht="23" customHeight="1" spans="1:5">
      <c r="A136" s="14">
        <v>45917</v>
      </c>
      <c r="B136" s="27">
        <v>253</v>
      </c>
      <c r="C136" s="27">
        <v>253</v>
      </c>
      <c r="D136" s="27">
        <v>0</v>
      </c>
      <c r="E136" s="26" t="s">
        <v>6</v>
      </c>
    </row>
    <row r="137" ht="23" customHeight="1" spans="1:5">
      <c r="A137" s="14">
        <v>45918</v>
      </c>
      <c r="B137" s="27">
        <v>320</v>
      </c>
      <c r="C137" s="27">
        <v>320</v>
      </c>
      <c r="D137" s="27">
        <v>0</v>
      </c>
      <c r="E137" s="26" t="s">
        <v>6</v>
      </c>
    </row>
    <row r="138" ht="23" customHeight="1" spans="1:5">
      <c r="A138" s="14">
        <v>45919</v>
      </c>
      <c r="B138" s="27">
        <v>310</v>
      </c>
      <c r="C138" s="27">
        <v>310</v>
      </c>
      <c r="D138" s="27">
        <v>0</v>
      </c>
      <c r="E138" s="26" t="s">
        <v>6</v>
      </c>
    </row>
    <row r="139" ht="23" customHeight="1" spans="1:5">
      <c r="A139" s="14">
        <v>45920</v>
      </c>
      <c r="B139" s="27">
        <v>50</v>
      </c>
      <c r="C139" s="27">
        <v>50</v>
      </c>
      <c r="D139" s="27">
        <v>0</v>
      </c>
      <c r="E139" s="26" t="s">
        <v>6</v>
      </c>
    </row>
    <row r="140" ht="23" customHeight="1" spans="1:5">
      <c r="A140" s="14">
        <v>45921</v>
      </c>
      <c r="B140" s="27">
        <v>87</v>
      </c>
      <c r="C140" s="27">
        <v>87</v>
      </c>
      <c r="D140" s="27">
        <v>0</v>
      </c>
      <c r="E140" s="26" t="s">
        <v>6</v>
      </c>
    </row>
    <row r="141" ht="23" customHeight="1" spans="1:5">
      <c r="A141" s="14">
        <v>45922</v>
      </c>
      <c r="B141" s="27">
        <v>478</v>
      </c>
      <c r="C141" s="27">
        <v>478</v>
      </c>
      <c r="D141" s="27">
        <v>0</v>
      </c>
      <c r="E141" s="26" t="s">
        <v>6</v>
      </c>
    </row>
    <row r="142" ht="23" customHeight="1" spans="1:5">
      <c r="A142" s="14">
        <v>45923</v>
      </c>
      <c r="B142" s="27">
        <v>282</v>
      </c>
      <c r="C142" s="27">
        <v>282</v>
      </c>
      <c r="D142" s="27">
        <v>0</v>
      </c>
      <c r="E142" s="26" t="s">
        <v>6</v>
      </c>
    </row>
    <row r="143" ht="23" customHeight="1" spans="1:5">
      <c r="A143" s="14">
        <v>45924</v>
      </c>
      <c r="B143" s="27">
        <v>275</v>
      </c>
      <c r="C143" s="27">
        <v>275</v>
      </c>
      <c r="D143" s="27">
        <v>0</v>
      </c>
      <c r="E143" s="26" t="s">
        <v>6</v>
      </c>
    </row>
    <row r="144" ht="23" customHeight="1" spans="1:5">
      <c r="A144" s="14">
        <v>45925</v>
      </c>
      <c r="B144" s="27">
        <v>320</v>
      </c>
      <c r="C144" s="27">
        <v>319</v>
      </c>
      <c r="D144" s="27">
        <v>0</v>
      </c>
      <c r="E144" s="26" t="s">
        <v>6</v>
      </c>
    </row>
    <row r="145" ht="23" customHeight="1" spans="1:5">
      <c r="A145" s="14">
        <v>45926</v>
      </c>
      <c r="B145" s="27">
        <v>461</v>
      </c>
      <c r="C145" s="27">
        <v>461</v>
      </c>
      <c r="D145" s="27">
        <v>0</v>
      </c>
      <c r="E145" s="26" t="s">
        <v>6</v>
      </c>
    </row>
    <row r="146" ht="23" customHeight="1" spans="1:5">
      <c r="A146" s="14">
        <v>45927</v>
      </c>
      <c r="B146" s="27">
        <v>80</v>
      </c>
      <c r="C146" s="27">
        <v>80</v>
      </c>
      <c r="D146" s="27">
        <v>0</v>
      </c>
      <c r="E146" s="26" t="s">
        <v>6</v>
      </c>
    </row>
    <row r="147" ht="23" customHeight="1" spans="1:5">
      <c r="A147" s="14">
        <v>45928</v>
      </c>
      <c r="B147" s="27">
        <v>381</v>
      </c>
      <c r="C147" s="27">
        <v>381</v>
      </c>
      <c r="D147" s="27">
        <v>0</v>
      </c>
      <c r="E147" s="26" t="s">
        <v>6</v>
      </c>
    </row>
    <row r="148" ht="23" customHeight="1" spans="1:5">
      <c r="A148" s="14">
        <v>45929</v>
      </c>
      <c r="B148" s="27">
        <v>417</v>
      </c>
      <c r="C148" s="27">
        <v>417</v>
      </c>
      <c r="D148" s="27">
        <v>0</v>
      </c>
      <c r="E148" s="26" t="s">
        <v>6</v>
      </c>
    </row>
    <row r="149" ht="23" customHeight="1" spans="1:5">
      <c r="A149" s="14">
        <v>45930</v>
      </c>
      <c r="B149" s="27">
        <v>325</v>
      </c>
      <c r="C149" s="27">
        <v>325</v>
      </c>
      <c r="D149" s="27">
        <v>0</v>
      </c>
      <c r="E149" s="26" t="s">
        <v>6</v>
      </c>
    </row>
    <row r="150" ht="23" customHeight="1" spans="1:5">
      <c r="A150" s="14">
        <v>45931</v>
      </c>
      <c r="B150" s="27">
        <v>55</v>
      </c>
      <c r="C150" s="27">
        <v>55</v>
      </c>
      <c r="D150" s="27">
        <v>0</v>
      </c>
      <c r="E150" s="26" t="s">
        <v>6</v>
      </c>
    </row>
    <row r="151" ht="23" customHeight="1" spans="1:5">
      <c r="A151" s="14">
        <v>45932</v>
      </c>
      <c r="B151" s="27">
        <v>137</v>
      </c>
      <c r="C151" s="27">
        <v>137</v>
      </c>
      <c r="D151" s="27">
        <v>0</v>
      </c>
      <c r="E151" s="26" t="s">
        <v>6</v>
      </c>
    </row>
    <row r="152" ht="23" customHeight="1" spans="1:5">
      <c r="A152" s="14">
        <v>45933</v>
      </c>
      <c r="B152" s="27">
        <v>57</v>
      </c>
      <c r="C152" s="27">
        <v>57</v>
      </c>
      <c r="D152" s="27">
        <v>0</v>
      </c>
      <c r="E152" s="26" t="s">
        <v>6</v>
      </c>
    </row>
    <row r="153" ht="23" customHeight="1" spans="1:5">
      <c r="A153" s="14">
        <v>45934</v>
      </c>
      <c r="B153" s="27">
        <v>123</v>
      </c>
      <c r="C153" s="27">
        <v>123</v>
      </c>
      <c r="D153" s="27">
        <v>0</v>
      </c>
      <c r="E153" s="26" t="s">
        <v>6</v>
      </c>
    </row>
    <row r="154" ht="23" customHeight="1" spans="1:5">
      <c r="A154" s="14">
        <v>45935</v>
      </c>
      <c r="B154" s="27">
        <v>64</v>
      </c>
      <c r="C154" s="27">
        <v>64</v>
      </c>
      <c r="D154" s="27">
        <v>0</v>
      </c>
      <c r="E154" s="26" t="s">
        <v>6</v>
      </c>
    </row>
    <row r="155" ht="23" customHeight="1" spans="1:5">
      <c r="A155" s="14">
        <v>45936</v>
      </c>
      <c r="B155" s="27">
        <v>54</v>
      </c>
      <c r="C155" s="27">
        <v>54</v>
      </c>
      <c r="D155" s="27">
        <v>0</v>
      </c>
      <c r="E155" s="26" t="s">
        <v>6</v>
      </c>
    </row>
    <row r="156" ht="23" customHeight="1" spans="1:5">
      <c r="A156" s="14">
        <v>45937</v>
      </c>
      <c r="B156" s="27">
        <v>34</v>
      </c>
      <c r="C156" s="27">
        <v>34</v>
      </c>
      <c r="D156" s="27">
        <v>0</v>
      </c>
      <c r="E156" s="26" t="s">
        <v>6</v>
      </c>
    </row>
    <row r="157" ht="23" customHeight="1" spans="1:5">
      <c r="A157" s="14">
        <v>45938</v>
      </c>
      <c r="B157" s="27">
        <v>25</v>
      </c>
      <c r="C157" s="27">
        <v>25</v>
      </c>
      <c r="D157" s="27">
        <v>0</v>
      </c>
      <c r="E157" s="26" t="s">
        <v>6</v>
      </c>
    </row>
    <row r="158" ht="23" customHeight="1" spans="1:5">
      <c r="A158" s="14">
        <v>45939</v>
      </c>
      <c r="B158" s="27">
        <v>390</v>
      </c>
      <c r="C158" s="27">
        <v>390</v>
      </c>
      <c r="D158" s="27">
        <v>0</v>
      </c>
      <c r="E158" s="26" t="s">
        <v>6</v>
      </c>
    </row>
    <row r="159" ht="23" customHeight="1" spans="1:5">
      <c r="A159" s="14">
        <v>45940</v>
      </c>
      <c r="B159" s="27">
        <v>342</v>
      </c>
      <c r="C159" s="27">
        <v>342</v>
      </c>
      <c r="D159" s="27">
        <v>0</v>
      </c>
      <c r="E159" s="26" t="s">
        <v>6</v>
      </c>
    </row>
    <row r="160" ht="23" customHeight="1" spans="1:5">
      <c r="A160" s="14">
        <v>45941</v>
      </c>
      <c r="B160" s="27">
        <v>136</v>
      </c>
      <c r="C160" s="27">
        <v>136</v>
      </c>
      <c r="D160" s="27">
        <v>0</v>
      </c>
      <c r="E160" s="26" t="s">
        <v>6</v>
      </c>
    </row>
    <row r="161" ht="23" customHeight="1" spans="1:5">
      <c r="A161" s="14">
        <v>45942</v>
      </c>
      <c r="B161" s="27">
        <v>43</v>
      </c>
      <c r="C161" s="27">
        <v>43</v>
      </c>
      <c r="D161" s="27">
        <v>0</v>
      </c>
      <c r="E161" s="26" t="s">
        <v>6</v>
      </c>
    </row>
    <row r="162" ht="23" customHeight="1" spans="1:5">
      <c r="A162" s="14">
        <v>45943</v>
      </c>
      <c r="B162" s="27">
        <v>292</v>
      </c>
      <c r="C162" s="27">
        <v>288</v>
      </c>
      <c r="D162" s="27">
        <v>0</v>
      </c>
      <c r="E162" s="26" t="s">
        <v>6</v>
      </c>
    </row>
    <row r="163" ht="23" customHeight="1" spans="1:5">
      <c r="A163" s="14">
        <v>45944</v>
      </c>
      <c r="B163" s="27">
        <v>232</v>
      </c>
      <c r="C163" s="27">
        <v>232</v>
      </c>
      <c r="D163" s="27">
        <v>0</v>
      </c>
      <c r="E163" s="26" t="s">
        <v>6</v>
      </c>
    </row>
    <row r="164" ht="23" customHeight="1" spans="1:5">
      <c r="A164" s="14">
        <v>45945</v>
      </c>
      <c r="B164" s="27">
        <v>212</v>
      </c>
      <c r="C164" s="27">
        <v>212</v>
      </c>
      <c r="D164" s="27">
        <v>0</v>
      </c>
      <c r="E164" s="26" t="s">
        <v>6</v>
      </c>
    </row>
    <row r="165" ht="23" customHeight="1" spans="1:5">
      <c r="A165" s="14">
        <v>45946</v>
      </c>
      <c r="B165" s="27">
        <v>281</v>
      </c>
      <c r="C165" s="27">
        <v>281</v>
      </c>
      <c r="D165" s="27">
        <v>0</v>
      </c>
      <c r="E165" s="26" t="s">
        <v>6</v>
      </c>
    </row>
    <row r="166" ht="23" customHeight="1" spans="1:5">
      <c r="A166" s="14">
        <v>45947</v>
      </c>
      <c r="B166" s="27">
        <v>280</v>
      </c>
      <c r="C166" s="27">
        <v>280</v>
      </c>
      <c r="D166" s="27">
        <v>0</v>
      </c>
      <c r="E166" s="26" t="s">
        <v>6</v>
      </c>
    </row>
    <row r="167" ht="23" customHeight="1" spans="1:5">
      <c r="A167" s="14">
        <v>45948</v>
      </c>
      <c r="B167" s="27">
        <v>58</v>
      </c>
      <c r="C167" s="27">
        <v>58</v>
      </c>
      <c r="D167" s="27">
        <v>0</v>
      </c>
      <c r="E167" s="26" t="s">
        <v>6</v>
      </c>
    </row>
    <row r="168" ht="23" customHeight="1" spans="1:5">
      <c r="A168" s="14">
        <v>45949</v>
      </c>
      <c r="B168" s="27">
        <v>64</v>
      </c>
      <c r="C168" s="27">
        <v>64</v>
      </c>
      <c r="D168" s="27">
        <v>0</v>
      </c>
      <c r="E168" s="26" t="s">
        <v>6</v>
      </c>
    </row>
    <row r="169" ht="23" customHeight="1" spans="1:5">
      <c r="A169" s="14">
        <v>45950</v>
      </c>
      <c r="B169" s="27">
        <v>432</v>
      </c>
      <c r="C169" s="27">
        <v>432</v>
      </c>
      <c r="D169" s="27">
        <v>0</v>
      </c>
      <c r="E169" s="26" t="s">
        <v>6</v>
      </c>
    </row>
    <row r="170" ht="23" customHeight="1" spans="1:5">
      <c r="A170" s="14">
        <v>45951</v>
      </c>
      <c r="B170" s="27">
        <v>227</v>
      </c>
      <c r="C170" s="27">
        <v>227</v>
      </c>
      <c r="D170" s="27">
        <v>0</v>
      </c>
      <c r="E170" s="26" t="s">
        <v>6</v>
      </c>
    </row>
    <row r="171" ht="23" customHeight="1" spans="1:5">
      <c r="A171" s="14">
        <v>45952</v>
      </c>
      <c r="B171" s="27">
        <v>268</v>
      </c>
      <c r="C171" s="27">
        <v>268</v>
      </c>
      <c r="D171" s="27">
        <v>0</v>
      </c>
      <c r="E171" s="26" t="s">
        <v>6</v>
      </c>
    </row>
    <row r="172" ht="23" customHeight="1" spans="1:5">
      <c r="A172" s="14">
        <v>45953</v>
      </c>
      <c r="B172" s="27">
        <v>311</v>
      </c>
      <c r="C172" s="27">
        <v>311</v>
      </c>
      <c r="D172" s="27">
        <v>0</v>
      </c>
      <c r="E172" s="26" t="s">
        <v>6</v>
      </c>
    </row>
    <row r="173" ht="23" customHeight="1" spans="1:5">
      <c r="A173" s="14">
        <v>45954</v>
      </c>
      <c r="B173" s="27">
        <v>263</v>
      </c>
      <c r="C173" s="27">
        <v>263</v>
      </c>
      <c r="D173" s="27">
        <v>0</v>
      </c>
      <c r="E173" s="26" t="s">
        <v>6</v>
      </c>
    </row>
    <row r="174" ht="23" customHeight="1" spans="1:5">
      <c r="A174" s="14">
        <v>45955</v>
      </c>
      <c r="B174" s="27">
        <v>49</v>
      </c>
      <c r="C174" s="27">
        <v>48</v>
      </c>
      <c r="D174" s="27">
        <v>0</v>
      </c>
      <c r="E174" s="26" t="s">
        <v>6</v>
      </c>
    </row>
    <row r="175" ht="23" customHeight="1" spans="1:5">
      <c r="A175" s="14">
        <v>45956</v>
      </c>
      <c r="B175" s="27">
        <v>51</v>
      </c>
      <c r="C175" s="27">
        <v>51</v>
      </c>
      <c r="D175" s="27">
        <v>0</v>
      </c>
      <c r="E175" s="26" t="s">
        <v>6</v>
      </c>
    </row>
    <row r="176" ht="23" customHeight="1" spans="1:5">
      <c r="A176" s="14">
        <v>45957</v>
      </c>
      <c r="B176" s="27">
        <v>368</v>
      </c>
      <c r="C176" s="27">
        <v>368</v>
      </c>
      <c r="D176" s="27">
        <v>0</v>
      </c>
      <c r="E176" s="26" t="s">
        <v>6</v>
      </c>
    </row>
    <row r="177" ht="23" customHeight="1" spans="1:5">
      <c r="A177" s="14">
        <v>45958</v>
      </c>
      <c r="B177" s="27">
        <v>234</v>
      </c>
      <c r="C177" s="27">
        <v>234</v>
      </c>
      <c r="D177" s="27">
        <v>0</v>
      </c>
      <c r="E177" s="26" t="s">
        <v>6</v>
      </c>
    </row>
    <row r="178" ht="23" customHeight="1" spans="1:5">
      <c r="A178" s="14">
        <v>45959</v>
      </c>
      <c r="B178" s="27">
        <v>279</v>
      </c>
      <c r="C178" s="27">
        <v>279</v>
      </c>
      <c r="D178" s="27">
        <v>0</v>
      </c>
      <c r="E178" s="26" t="s">
        <v>6</v>
      </c>
    </row>
    <row r="179" ht="23" customHeight="1" spans="1:5">
      <c r="A179" s="14">
        <v>45960</v>
      </c>
      <c r="B179" s="27">
        <v>311</v>
      </c>
      <c r="C179" s="27">
        <v>311</v>
      </c>
      <c r="D179" s="27">
        <v>0</v>
      </c>
      <c r="E179" s="26" t="s">
        <v>6</v>
      </c>
    </row>
    <row r="180" ht="23" customHeight="1" spans="1:5">
      <c r="A180" s="14">
        <v>45961</v>
      </c>
      <c r="B180" s="27">
        <v>358</v>
      </c>
      <c r="C180" s="27">
        <v>356</v>
      </c>
      <c r="D180" s="27">
        <v>0</v>
      </c>
      <c r="E180" s="26" t="s">
        <v>6</v>
      </c>
    </row>
    <row r="181" ht="23" customHeight="1" spans="1:5">
      <c r="A181" s="14">
        <v>45962</v>
      </c>
      <c r="B181" s="27">
        <v>58</v>
      </c>
      <c r="C181" s="27">
        <v>58</v>
      </c>
      <c r="D181" s="27">
        <v>0</v>
      </c>
      <c r="E181" s="26" t="s">
        <v>6</v>
      </c>
    </row>
    <row r="182" ht="23" customHeight="1" spans="1:5">
      <c r="A182" s="14">
        <v>45963</v>
      </c>
      <c r="B182" s="27">
        <v>60</v>
      </c>
      <c r="C182" s="27">
        <v>60</v>
      </c>
      <c r="D182" s="27">
        <v>0</v>
      </c>
      <c r="E182" s="26" t="s">
        <v>6</v>
      </c>
    </row>
    <row r="183" ht="23" customHeight="1" spans="1:5">
      <c r="A183" s="14">
        <v>45964</v>
      </c>
      <c r="B183" s="27">
        <v>345</v>
      </c>
      <c r="C183" s="27">
        <v>345</v>
      </c>
      <c r="D183" s="27">
        <v>0</v>
      </c>
      <c r="E183" s="26" t="s">
        <v>6</v>
      </c>
    </row>
    <row r="184" ht="23" customHeight="1" spans="1:5">
      <c r="A184" s="14">
        <v>45965</v>
      </c>
      <c r="B184" s="27">
        <v>275</v>
      </c>
      <c r="C184" s="27">
        <v>275</v>
      </c>
      <c r="D184" s="27">
        <v>0</v>
      </c>
      <c r="E184" s="26" t="s">
        <v>6</v>
      </c>
    </row>
    <row r="185" ht="23" customHeight="1" spans="1:5">
      <c r="A185" s="14">
        <v>45966</v>
      </c>
      <c r="B185" s="27">
        <v>185</v>
      </c>
      <c r="C185" s="27">
        <v>185</v>
      </c>
      <c r="D185" s="27">
        <v>0</v>
      </c>
      <c r="E185" s="26" t="s">
        <v>6</v>
      </c>
    </row>
    <row r="186" ht="23" customHeight="1" spans="1:5">
      <c r="A186" s="14">
        <v>45967</v>
      </c>
      <c r="B186" s="27">
        <v>219</v>
      </c>
      <c r="C186" s="27">
        <v>219</v>
      </c>
      <c r="D186" s="27">
        <v>0</v>
      </c>
      <c r="E186" s="26" t="s">
        <v>6</v>
      </c>
    </row>
    <row r="187" ht="23" customHeight="1" spans="1:5">
      <c r="A187" s="14">
        <v>45968</v>
      </c>
      <c r="B187" s="27">
        <v>312</v>
      </c>
      <c r="C187" s="27">
        <v>312</v>
      </c>
      <c r="D187" s="27">
        <v>0</v>
      </c>
      <c r="E187" s="26" t="s">
        <v>6</v>
      </c>
    </row>
    <row r="188" ht="23" customHeight="1" spans="1:5">
      <c r="A188" s="14">
        <v>45969</v>
      </c>
      <c r="B188" s="27">
        <v>84</v>
      </c>
      <c r="C188" s="27">
        <v>84</v>
      </c>
      <c r="D188" s="27">
        <v>0</v>
      </c>
      <c r="E188" s="26" t="s">
        <v>6</v>
      </c>
    </row>
    <row r="189" ht="23" customHeight="1" spans="1:5">
      <c r="A189" s="14">
        <v>45970</v>
      </c>
      <c r="B189" s="27">
        <v>59</v>
      </c>
      <c r="C189" s="27">
        <v>59</v>
      </c>
      <c r="D189" s="27">
        <v>0</v>
      </c>
      <c r="E189" s="26" t="s">
        <v>6</v>
      </c>
    </row>
    <row r="190" ht="23" customHeight="1" spans="1:5">
      <c r="A190" s="14">
        <v>45971</v>
      </c>
      <c r="B190" s="27">
        <v>350</v>
      </c>
      <c r="C190" s="27">
        <v>350</v>
      </c>
      <c r="D190" s="27">
        <v>0</v>
      </c>
      <c r="E190" s="26" t="s">
        <v>6</v>
      </c>
    </row>
    <row r="191" ht="23" customHeight="1" spans="1:5">
      <c r="A191" s="14">
        <v>45972</v>
      </c>
      <c r="B191" s="27">
        <v>223</v>
      </c>
      <c r="C191" s="27">
        <v>223</v>
      </c>
      <c r="D191" s="27">
        <v>0</v>
      </c>
      <c r="E191" s="26" t="s">
        <v>6</v>
      </c>
    </row>
    <row r="192" ht="23" customHeight="1" spans="1:5">
      <c r="A192" s="14">
        <v>45973</v>
      </c>
      <c r="B192" s="27">
        <v>158</v>
      </c>
      <c r="C192" s="27">
        <v>158</v>
      </c>
      <c r="D192" s="27">
        <v>0</v>
      </c>
      <c r="E192" s="26" t="s">
        <v>6</v>
      </c>
    </row>
    <row r="193" ht="23" customHeight="1" spans="1:5">
      <c r="A193" s="14">
        <v>45974</v>
      </c>
      <c r="B193" s="27">
        <v>326</v>
      </c>
      <c r="C193" s="27">
        <v>326</v>
      </c>
      <c r="D193" s="27">
        <v>0</v>
      </c>
      <c r="E193" s="26" t="s">
        <v>6</v>
      </c>
    </row>
    <row r="194" ht="23" customHeight="1" spans="1:5">
      <c r="A194" s="14">
        <v>45975</v>
      </c>
      <c r="B194" s="27">
        <v>334</v>
      </c>
      <c r="C194" s="27">
        <v>334</v>
      </c>
      <c r="D194" s="27">
        <v>0</v>
      </c>
      <c r="E194" s="26" t="s">
        <v>6</v>
      </c>
    </row>
    <row r="195" ht="23" customHeight="1" spans="1:5">
      <c r="A195" s="14">
        <v>45976</v>
      </c>
      <c r="B195" s="27">
        <v>88</v>
      </c>
      <c r="C195" s="27">
        <v>88</v>
      </c>
      <c r="D195" s="27">
        <v>0</v>
      </c>
      <c r="E195" s="26" t="s">
        <v>6</v>
      </c>
    </row>
    <row r="196" ht="23" customHeight="1" spans="1:5">
      <c r="A196" s="14">
        <v>45977</v>
      </c>
      <c r="B196" s="27">
        <v>35</v>
      </c>
      <c r="C196" s="27">
        <v>35</v>
      </c>
      <c r="D196" s="27">
        <v>0</v>
      </c>
      <c r="E196" s="26" t="s">
        <v>6</v>
      </c>
    </row>
    <row r="197" ht="23" customHeight="1" spans="1:5">
      <c r="A197" s="14">
        <v>45978</v>
      </c>
      <c r="B197" s="27">
        <v>385</v>
      </c>
      <c r="C197" s="27">
        <v>385</v>
      </c>
      <c r="D197" s="27">
        <v>0</v>
      </c>
      <c r="E197" s="26" t="s">
        <v>6</v>
      </c>
    </row>
    <row r="198" ht="23" customHeight="1" spans="1:5">
      <c r="A198" s="14">
        <v>45979</v>
      </c>
      <c r="B198" s="27">
        <v>172</v>
      </c>
      <c r="C198" s="27">
        <v>172</v>
      </c>
      <c r="D198" s="27">
        <v>0</v>
      </c>
      <c r="E198" s="26" t="s">
        <v>6</v>
      </c>
    </row>
    <row r="199" ht="23" customHeight="1" spans="1:5">
      <c r="A199" s="14">
        <v>45980</v>
      </c>
      <c r="B199" s="27">
        <v>138</v>
      </c>
      <c r="C199" s="27">
        <v>138</v>
      </c>
      <c r="D199" s="27">
        <v>0</v>
      </c>
      <c r="E199" s="26" t="s">
        <v>6</v>
      </c>
    </row>
    <row r="200" ht="23" customHeight="1" spans="1:5">
      <c r="A200" s="14">
        <v>45981</v>
      </c>
      <c r="B200" s="27">
        <v>334</v>
      </c>
      <c r="C200" s="27">
        <v>334</v>
      </c>
      <c r="D200" s="27">
        <v>0</v>
      </c>
      <c r="E200" s="26" t="s">
        <v>6</v>
      </c>
    </row>
    <row r="201" ht="23" customHeight="1" spans="1:5">
      <c r="A201" s="14">
        <v>45982</v>
      </c>
      <c r="B201" s="27">
        <v>254</v>
      </c>
      <c r="C201" s="27">
        <v>254</v>
      </c>
      <c r="D201" s="27">
        <v>0</v>
      </c>
      <c r="E201" s="26" t="s">
        <v>6</v>
      </c>
    </row>
    <row r="202" ht="23" customHeight="1" spans="1:5">
      <c r="A202" s="14">
        <v>45983</v>
      </c>
      <c r="B202" s="27">
        <v>57</v>
      </c>
      <c r="C202" s="27">
        <v>57</v>
      </c>
      <c r="D202" s="27">
        <v>0</v>
      </c>
      <c r="E202" s="26" t="s">
        <v>6</v>
      </c>
    </row>
    <row r="203" ht="23" customHeight="1" spans="1:5">
      <c r="A203" s="14">
        <v>45984</v>
      </c>
      <c r="B203" s="27">
        <v>87</v>
      </c>
      <c r="C203" s="27">
        <v>87</v>
      </c>
      <c r="D203" s="27">
        <v>0</v>
      </c>
      <c r="E203" s="26" t="s">
        <v>6</v>
      </c>
    </row>
    <row r="204" ht="23" customHeight="1" spans="1:5">
      <c r="A204" s="14">
        <v>45985</v>
      </c>
      <c r="B204" s="27">
        <v>399</v>
      </c>
      <c r="C204" s="27">
        <v>399</v>
      </c>
      <c r="D204" s="27">
        <v>0</v>
      </c>
      <c r="E204" s="26" t="s">
        <v>6</v>
      </c>
    </row>
    <row r="205" ht="23" customHeight="1" spans="1:5">
      <c r="A205" s="14">
        <v>45986</v>
      </c>
      <c r="B205" s="27">
        <v>167</v>
      </c>
      <c r="C205" s="27">
        <v>167</v>
      </c>
      <c r="D205" s="27">
        <v>0</v>
      </c>
      <c r="E205" s="26" t="s">
        <v>6</v>
      </c>
    </row>
    <row r="206" ht="23" customHeight="1" spans="1:5">
      <c r="A206" s="14">
        <v>45987</v>
      </c>
      <c r="B206" s="27">
        <v>236</v>
      </c>
      <c r="C206" s="27">
        <v>236</v>
      </c>
      <c r="D206" s="27">
        <v>0</v>
      </c>
      <c r="E206" s="26" t="s">
        <v>6</v>
      </c>
    </row>
    <row r="207" ht="23" customHeight="1" spans="1:5">
      <c r="A207" s="14">
        <v>45988</v>
      </c>
      <c r="B207" s="27">
        <v>275</v>
      </c>
      <c r="C207" s="27">
        <v>274</v>
      </c>
      <c r="D207" s="27">
        <v>0</v>
      </c>
      <c r="E207" s="26" t="s">
        <v>6</v>
      </c>
    </row>
    <row r="208" ht="23" customHeight="1" spans="1:5">
      <c r="A208" s="14">
        <v>45989</v>
      </c>
      <c r="B208" s="27">
        <v>401</v>
      </c>
      <c r="C208" s="27">
        <v>401</v>
      </c>
      <c r="D208" s="27">
        <v>0</v>
      </c>
      <c r="E208" s="26" t="s">
        <v>6</v>
      </c>
    </row>
    <row r="209" ht="23" customHeight="1" spans="1:5">
      <c r="A209" s="14">
        <v>45990</v>
      </c>
      <c r="B209" s="27">
        <v>56</v>
      </c>
      <c r="C209" s="27">
        <v>56</v>
      </c>
      <c r="D209" s="27">
        <v>0</v>
      </c>
      <c r="E209" s="26" t="s">
        <v>6</v>
      </c>
    </row>
    <row r="210" ht="23" customHeight="1" spans="1:5">
      <c r="A210" s="14">
        <v>45991</v>
      </c>
      <c r="B210" s="27">
        <v>75</v>
      </c>
      <c r="C210" s="27">
        <v>75</v>
      </c>
      <c r="D210" s="27">
        <v>0</v>
      </c>
      <c r="E210" s="26" t="s">
        <v>6</v>
      </c>
    </row>
    <row r="211" ht="23" customHeight="1" spans="1:5">
      <c r="A211" s="14">
        <v>45992</v>
      </c>
      <c r="B211" s="27">
        <v>337</v>
      </c>
      <c r="C211" s="27">
        <v>337</v>
      </c>
      <c r="D211" s="27">
        <v>0</v>
      </c>
      <c r="E211" s="26" t="s">
        <v>6</v>
      </c>
    </row>
    <row r="212" ht="23" customHeight="1" spans="1:5">
      <c r="A212" s="14">
        <v>45993</v>
      </c>
      <c r="B212" s="27">
        <v>294</v>
      </c>
      <c r="C212" s="27">
        <v>294</v>
      </c>
      <c r="D212" s="27">
        <v>0</v>
      </c>
      <c r="E212" s="26" t="s">
        <v>6</v>
      </c>
    </row>
    <row r="213" ht="23" customHeight="1" spans="1:5">
      <c r="A213" s="14">
        <v>45994</v>
      </c>
      <c r="B213" s="27">
        <v>192</v>
      </c>
      <c r="C213" s="27">
        <v>192</v>
      </c>
      <c r="D213" s="27">
        <v>0</v>
      </c>
      <c r="E213" s="26" t="s">
        <v>6</v>
      </c>
    </row>
    <row r="214" ht="23" customHeight="1" spans="1:5">
      <c r="A214" s="14">
        <v>45995</v>
      </c>
      <c r="B214" s="27">
        <v>181</v>
      </c>
      <c r="C214" s="27">
        <v>181</v>
      </c>
      <c r="D214" s="27">
        <v>0</v>
      </c>
      <c r="E214" s="26" t="s">
        <v>6</v>
      </c>
    </row>
    <row r="215" ht="23" customHeight="1" spans="1:5">
      <c r="A215" s="14">
        <v>45996</v>
      </c>
      <c r="B215" s="27">
        <v>332</v>
      </c>
      <c r="C215" s="27">
        <v>332</v>
      </c>
      <c r="D215" s="27">
        <v>0</v>
      </c>
      <c r="E215" s="26" t="s">
        <v>6</v>
      </c>
    </row>
    <row r="216" ht="23" customHeight="1" spans="1:5">
      <c r="A216" s="14">
        <v>45997</v>
      </c>
      <c r="B216" s="27">
        <v>67</v>
      </c>
      <c r="C216" s="27">
        <v>67</v>
      </c>
      <c r="D216" s="27">
        <v>0</v>
      </c>
      <c r="E216" s="26" t="s">
        <v>6</v>
      </c>
    </row>
    <row r="217" ht="23" customHeight="1" spans="1:5">
      <c r="A217" s="14">
        <v>45998</v>
      </c>
      <c r="B217" s="27">
        <v>68</v>
      </c>
      <c r="C217" s="27">
        <v>68</v>
      </c>
      <c r="D217" s="27">
        <v>0</v>
      </c>
      <c r="E217" s="26" t="s">
        <v>6</v>
      </c>
    </row>
    <row r="218" ht="23" customHeight="1" spans="1:5">
      <c r="A218" s="14">
        <v>45999</v>
      </c>
      <c r="B218" s="27">
        <v>353</v>
      </c>
      <c r="C218" s="27">
        <v>353</v>
      </c>
      <c r="D218" s="27">
        <v>0</v>
      </c>
      <c r="E218" s="26" t="s">
        <v>6</v>
      </c>
    </row>
    <row r="219" ht="23" customHeight="1" spans="1:5">
      <c r="A219" s="14">
        <v>46000</v>
      </c>
      <c r="B219" s="27">
        <v>241</v>
      </c>
      <c r="C219" s="27">
        <v>241</v>
      </c>
      <c r="D219" s="27">
        <v>0</v>
      </c>
      <c r="E219" s="26" t="s">
        <v>6</v>
      </c>
    </row>
    <row r="220" ht="23" customHeight="1" spans="1:5">
      <c r="A220" s="14">
        <v>46001</v>
      </c>
      <c r="B220" s="27">
        <v>198</v>
      </c>
      <c r="C220" s="27">
        <v>198</v>
      </c>
      <c r="D220" s="27">
        <v>0</v>
      </c>
      <c r="E220" s="26" t="s">
        <v>6</v>
      </c>
    </row>
    <row r="221" ht="23" customHeight="1" spans="1:5">
      <c r="A221" s="14">
        <v>46002</v>
      </c>
      <c r="B221" s="27">
        <v>205</v>
      </c>
      <c r="C221" s="27">
        <v>205</v>
      </c>
      <c r="D221" s="27">
        <v>0</v>
      </c>
      <c r="E221" s="26" t="s">
        <v>6</v>
      </c>
    </row>
    <row r="222" ht="23" customHeight="1" spans="1:5">
      <c r="A222" s="14">
        <v>46003</v>
      </c>
      <c r="B222" s="27">
        <v>269</v>
      </c>
      <c r="C222" s="27">
        <v>269</v>
      </c>
      <c r="D222" s="27">
        <v>0</v>
      </c>
      <c r="E222" s="26" t="s">
        <v>6</v>
      </c>
    </row>
    <row r="223" ht="23" customHeight="1" spans="1:5">
      <c r="A223" s="14">
        <v>46004</v>
      </c>
      <c r="B223" s="27">
        <v>48</v>
      </c>
      <c r="C223" s="27">
        <v>48</v>
      </c>
      <c r="D223" s="27">
        <v>0</v>
      </c>
      <c r="E223" s="26" t="s">
        <v>6</v>
      </c>
    </row>
    <row r="224" ht="23" customHeight="1" spans="1:5">
      <c r="A224" s="14">
        <v>46005</v>
      </c>
      <c r="B224" s="27">
        <v>62</v>
      </c>
      <c r="C224" s="27">
        <v>62</v>
      </c>
      <c r="D224" s="27">
        <v>0</v>
      </c>
      <c r="E224" s="26" t="s">
        <v>6</v>
      </c>
    </row>
    <row r="225" ht="23" customHeight="1" spans="1:5">
      <c r="A225" s="14">
        <v>46006</v>
      </c>
      <c r="B225" s="27">
        <v>259</v>
      </c>
      <c r="C225" s="27">
        <v>259</v>
      </c>
      <c r="D225" s="27">
        <v>0</v>
      </c>
      <c r="E225" s="26" t="s">
        <v>6</v>
      </c>
    </row>
    <row r="226" ht="23" customHeight="1" spans="1:5">
      <c r="A226" s="14">
        <v>46007</v>
      </c>
      <c r="B226" s="27">
        <v>237</v>
      </c>
      <c r="C226" s="27">
        <v>237</v>
      </c>
      <c r="D226" s="27">
        <v>0</v>
      </c>
      <c r="E226" s="26" t="s">
        <v>6</v>
      </c>
    </row>
    <row r="227" ht="23" customHeight="1" spans="1:5">
      <c r="A227" s="14">
        <v>46008</v>
      </c>
      <c r="B227" s="27">
        <v>241</v>
      </c>
      <c r="C227" s="27">
        <v>241</v>
      </c>
      <c r="D227" s="27">
        <v>0</v>
      </c>
      <c r="E227" s="26" t="s">
        <v>6</v>
      </c>
    </row>
    <row r="228" ht="23" customHeight="1" spans="1:5">
      <c r="A228" s="14">
        <v>46009</v>
      </c>
      <c r="B228" s="27">
        <v>249</v>
      </c>
      <c r="C228" s="27">
        <v>249</v>
      </c>
      <c r="D228" s="27">
        <v>0</v>
      </c>
      <c r="E228" s="26" t="s">
        <v>6</v>
      </c>
    </row>
    <row r="229" ht="23" customHeight="1" spans="1:5">
      <c r="A229" s="14">
        <v>46010</v>
      </c>
      <c r="B229" s="27">
        <v>197</v>
      </c>
      <c r="C229" s="27">
        <v>197</v>
      </c>
      <c r="D229" s="27">
        <v>0</v>
      </c>
      <c r="E229" s="26" t="s">
        <v>6</v>
      </c>
    </row>
    <row r="230" ht="23" customHeight="1" spans="1:5">
      <c r="A230" s="14">
        <v>46011</v>
      </c>
      <c r="B230" s="27">
        <v>45</v>
      </c>
      <c r="C230" s="27">
        <v>45</v>
      </c>
      <c r="D230" s="27">
        <v>0</v>
      </c>
      <c r="E230" s="26" t="s">
        <v>6</v>
      </c>
    </row>
    <row r="231" ht="23" customHeight="1" spans="1:5">
      <c r="A231" s="14">
        <v>46012</v>
      </c>
      <c r="B231" s="27">
        <v>53</v>
      </c>
      <c r="C231" s="27">
        <v>53</v>
      </c>
      <c r="D231" s="27">
        <v>0</v>
      </c>
      <c r="E231" s="26" t="s">
        <v>6</v>
      </c>
    </row>
    <row r="232" ht="23" customHeight="1" spans="1:5">
      <c r="A232" s="14">
        <v>46013</v>
      </c>
      <c r="B232" s="27">
        <v>317</v>
      </c>
      <c r="C232" s="27">
        <v>317</v>
      </c>
      <c r="D232" s="27">
        <v>0</v>
      </c>
      <c r="E232" s="26" t="s">
        <v>6</v>
      </c>
    </row>
    <row r="233" ht="23" customHeight="1" spans="1:5">
      <c r="A233" s="14">
        <v>46014</v>
      </c>
      <c r="B233" s="27">
        <v>128</v>
      </c>
      <c r="C233" s="27">
        <v>128</v>
      </c>
      <c r="D233" s="27">
        <v>0</v>
      </c>
      <c r="E233" s="26" t="s">
        <v>6</v>
      </c>
    </row>
    <row r="234" ht="23" customHeight="1" spans="1:5">
      <c r="A234" s="14">
        <v>46015</v>
      </c>
      <c r="B234" s="27">
        <v>232</v>
      </c>
      <c r="C234" s="27">
        <v>232</v>
      </c>
      <c r="D234" s="27">
        <v>0</v>
      </c>
      <c r="E234" s="26" t="s">
        <v>6</v>
      </c>
    </row>
    <row r="235" ht="23" customHeight="1" spans="1:5">
      <c r="A235" s="14">
        <v>46016</v>
      </c>
      <c r="B235" s="27">
        <v>180</v>
      </c>
      <c r="C235" s="27">
        <v>180</v>
      </c>
      <c r="D235" s="27">
        <v>0</v>
      </c>
      <c r="E235" s="26" t="s">
        <v>6</v>
      </c>
    </row>
    <row r="236" ht="23" customHeight="1" spans="1:5">
      <c r="A236" s="14">
        <v>46017</v>
      </c>
      <c r="B236" s="27">
        <v>234</v>
      </c>
      <c r="C236" s="27">
        <v>234</v>
      </c>
      <c r="D236" s="27">
        <v>0</v>
      </c>
      <c r="E236" s="26" t="s">
        <v>6</v>
      </c>
    </row>
    <row r="237" ht="23" customHeight="1" spans="1:5">
      <c r="A237" s="14">
        <v>46018</v>
      </c>
      <c r="B237" s="27">
        <v>47</v>
      </c>
      <c r="C237" s="27">
        <v>47</v>
      </c>
      <c r="D237" s="27">
        <v>0</v>
      </c>
      <c r="E237" s="26" t="s">
        <v>6</v>
      </c>
    </row>
    <row r="238" ht="23" customHeight="1" spans="1:5">
      <c r="A238" s="14">
        <v>46019</v>
      </c>
      <c r="B238" s="27">
        <v>54</v>
      </c>
      <c r="C238" s="27">
        <v>54</v>
      </c>
      <c r="D238" s="27">
        <v>0</v>
      </c>
      <c r="E238" s="26" t="s">
        <v>6</v>
      </c>
    </row>
    <row r="239" ht="23" customHeight="1" spans="1:5">
      <c r="A239" s="14">
        <v>46020</v>
      </c>
      <c r="B239" s="27">
        <v>336</v>
      </c>
      <c r="C239" s="27">
        <v>336</v>
      </c>
      <c r="D239" s="27">
        <v>0</v>
      </c>
      <c r="E239" s="26" t="s">
        <v>6</v>
      </c>
    </row>
    <row r="240" ht="23" customHeight="1" spans="1:5">
      <c r="A240" s="14">
        <v>46021</v>
      </c>
      <c r="B240" s="27">
        <v>273</v>
      </c>
      <c r="C240" s="27">
        <v>273</v>
      </c>
      <c r="D240" s="27">
        <v>0</v>
      </c>
      <c r="E240" s="26" t="s">
        <v>6</v>
      </c>
    </row>
    <row r="241" spans="1:5">
      <c r="A241" s="14">
        <v>46022</v>
      </c>
      <c r="B241" s="27">
        <v>159</v>
      </c>
      <c r="C241" s="27">
        <v>159</v>
      </c>
      <c r="D241" s="27">
        <v>0</v>
      </c>
      <c r="E241" s="26" t="s">
        <v>6</v>
      </c>
    </row>
    <row r="242" spans="1:5">
      <c r="A242" s="36"/>
      <c r="B242" s="36"/>
      <c r="C242" s="36"/>
      <c r="D242" s="36"/>
      <c r="E242" s="16"/>
    </row>
    <row r="243" spans="1:5">
      <c r="A243" s="36"/>
      <c r="B243" s="36"/>
      <c r="C243" s="36"/>
      <c r="D243" s="36"/>
      <c r="E243" s="16"/>
    </row>
    <row r="244" spans="1:5">
      <c r="A244" s="36"/>
      <c r="B244" s="36"/>
      <c r="C244" s="36"/>
      <c r="D244" s="36"/>
      <c r="E244" s="16"/>
    </row>
    <row r="245" spans="1:5">
      <c r="A245" s="36"/>
      <c r="B245" s="36"/>
      <c r="C245" s="36"/>
      <c r="D245" s="36"/>
      <c r="E245" s="16"/>
    </row>
    <row r="246" spans="1:5">
      <c r="A246" s="36"/>
      <c r="B246" s="36"/>
      <c r="C246" s="36"/>
      <c r="D246" s="36"/>
      <c r="E246" s="16"/>
    </row>
    <row r="247" spans="1:5">
      <c r="A247" s="36"/>
      <c r="B247" s="36"/>
      <c r="C247" s="36"/>
      <c r="D247" s="36"/>
      <c r="E247" s="16"/>
    </row>
    <row r="248" spans="1:5">
      <c r="A248" s="36"/>
      <c r="B248" s="36"/>
      <c r="C248" s="36"/>
      <c r="D248" s="36"/>
      <c r="E248" s="16"/>
    </row>
    <row r="249" spans="1:5">
      <c r="A249" s="36"/>
      <c r="B249" s="36"/>
      <c r="C249" s="36"/>
      <c r="D249" s="36"/>
      <c r="E249" s="16"/>
    </row>
    <row r="250" spans="1:5">
      <c r="A250" s="36"/>
      <c r="B250" s="36"/>
      <c r="C250" s="36"/>
      <c r="D250" s="36"/>
      <c r="E250" s="16"/>
    </row>
    <row r="251" spans="1:5">
      <c r="A251" s="36"/>
      <c r="B251" s="36"/>
      <c r="C251" s="36"/>
      <c r="D251" s="36"/>
      <c r="E251" s="16"/>
    </row>
    <row r="252" spans="1:5">
      <c r="A252" s="36"/>
      <c r="B252" s="36"/>
      <c r="C252" s="36"/>
      <c r="D252" s="36"/>
      <c r="E252" s="16"/>
    </row>
    <row r="253" spans="1:5">
      <c r="A253" s="36"/>
      <c r="B253" s="36"/>
      <c r="C253" s="36"/>
      <c r="D253" s="36"/>
      <c r="E253" s="16"/>
    </row>
    <row r="254" spans="1:5">
      <c r="A254" s="36"/>
      <c r="B254" s="36"/>
      <c r="C254" s="36"/>
      <c r="D254" s="36"/>
      <c r="E254" s="16"/>
    </row>
    <row r="255" spans="1:5">
      <c r="A255" s="36"/>
      <c r="B255" s="36"/>
      <c r="C255" s="36"/>
      <c r="D255" s="36"/>
      <c r="E255" s="16"/>
    </row>
    <row r="256" spans="1:5">
      <c r="A256" s="36"/>
      <c r="B256" s="36"/>
      <c r="C256" s="36"/>
      <c r="D256" s="36"/>
      <c r="E256" s="16"/>
    </row>
    <row r="257" spans="1:5">
      <c r="A257" s="36"/>
      <c r="B257" s="36"/>
      <c r="C257" s="36"/>
      <c r="D257" s="36"/>
      <c r="E257" s="16"/>
    </row>
    <row r="258" spans="1:5">
      <c r="A258" s="36"/>
      <c r="B258" s="36"/>
      <c r="C258" s="36"/>
      <c r="D258" s="36"/>
      <c r="E258" s="16"/>
    </row>
    <row r="259" spans="1:5">
      <c r="A259" s="36"/>
      <c r="B259" s="36"/>
      <c r="C259" s="36"/>
      <c r="D259" s="36"/>
      <c r="E259" s="16"/>
    </row>
    <row r="260" spans="1:5">
      <c r="A260" s="36"/>
      <c r="B260" s="36"/>
      <c r="C260" s="36"/>
      <c r="D260" s="36"/>
      <c r="E260" s="16"/>
    </row>
  </sheetData>
  <sheetProtection formatCells="0" insertHyperlinks="0" autoFilter="0"/>
  <mergeCells count="1">
    <mergeCell ref="A1:E1"/>
  </mergeCells>
  <pageMargins left="0.7" right="0.7" top="0.75" bottom="0.75" header="0.3" footer="0.3"/>
  <pageSetup paperSize="9" orientation="portrait"/>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802"/>
  <sheetViews>
    <sheetView zoomScale="90" zoomScaleNormal="90" topLeftCell="H1" workbookViewId="0">
      <pane ySplit="1" topLeftCell="A173" activePane="bottomLeft" state="frozen"/>
      <selection/>
      <selection pane="bottomLeft" activeCell="H372" sqref="H372"/>
    </sheetView>
  </sheetViews>
  <sheetFormatPr defaultColWidth="8.88333333333333" defaultRowHeight="16.5"/>
  <cols>
    <col min="1" max="1" width="5" style="1" customWidth="1"/>
    <col min="2" max="2" width="8.975" style="2" customWidth="1"/>
    <col min="3" max="3" width="6.025" style="1" customWidth="1"/>
    <col min="4" max="4" width="8.525" style="1" customWidth="1"/>
    <col min="5" max="5" width="26.4666666666667" style="1" customWidth="1"/>
    <col min="6" max="6" width="7" style="1" customWidth="1"/>
    <col min="7" max="7" width="21.95" style="1" customWidth="1"/>
    <col min="8" max="8" width="22.7916666666667" style="3" customWidth="1"/>
    <col min="9" max="9" width="2.35" style="1" customWidth="1"/>
    <col min="10" max="10" width="45.1166666666667" style="1" customWidth="1"/>
    <col min="11" max="11" width="11.4666666666667" style="2" customWidth="1"/>
    <col min="12" max="12" width="5.25" style="1" customWidth="1"/>
    <col min="13" max="13" width="56.625" style="1" customWidth="1"/>
    <col min="14" max="16384" width="8.88333333333333" style="1"/>
  </cols>
  <sheetData>
    <row r="1" ht="30" customHeight="1" spans="1:15">
      <c r="A1" s="4" t="s">
        <v>10</v>
      </c>
      <c r="B1" s="5" t="s">
        <v>11</v>
      </c>
      <c r="C1" s="6" t="s">
        <v>12</v>
      </c>
      <c r="D1" s="6" t="s">
        <v>13</v>
      </c>
      <c r="E1" s="6" t="s">
        <v>14</v>
      </c>
      <c r="F1" s="7" t="s">
        <v>15</v>
      </c>
      <c r="G1" s="6" t="s">
        <v>16</v>
      </c>
      <c r="H1" s="6" t="s">
        <v>17</v>
      </c>
      <c r="I1" s="6" t="s">
        <v>18</v>
      </c>
      <c r="J1" s="8" t="s">
        <v>19</v>
      </c>
      <c r="K1" s="9" t="s">
        <v>20</v>
      </c>
      <c r="L1" s="10" t="s">
        <v>2877</v>
      </c>
      <c r="M1" s="10" t="s">
        <v>22</v>
      </c>
      <c r="N1" s="11" t="s">
        <v>23</v>
      </c>
      <c r="O1" s="12" t="s">
        <v>24</v>
      </c>
    </row>
    <row r="2" ht="30" customHeight="1" spans="1:15">
      <c r="A2" s="13">
        <v>1</v>
      </c>
      <c r="B2" s="14">
        <v>45763</v>
      </c>
      <c r="C2" s="15" t="s">
        <v>25</v>
      </c>
      <c r="D2" s="16" t="str">
        <f>VLOOKUP(E2,[1]Sheet3!A:B,2,0)</f>
        <v>洗衣机</v>
      </c>
      <c r="E2" s="15" t="s">
        <v>35</v>
      </c>
      <c r="F2" s="15" t="s">
        <v>28</v>
      </c>
      <c r="G2" s="17" t="s">
        <v>2878</v>
      </c>
      <c r="H2" s="16" t="s">
        <v>2879</v>
      </c>
      <c r="I2" s="15"/>
      <c r="J2" s="18" t="s">
        <v>2880</v>
      </c>
      <c r="K2" s="19" t="s">
        <v>355</v>
      </c>
      <c r="L2" s="20"/>
      <c r="M2" s="20" t="s">
        <v>2881</v>
      </c>
      <c r="N2" s="21" t="s">
        <v>34</v>
      </c>
      <c r="O2" s="22"/>
    </row>
    <row r="3" ht="30" customHeight="1" spans="1:15">
      <c r="A3" s="13">
        <v>2</v>
      </c>
      <c r="B3" s="14">
        <v>45764</v>
      </c>
      <c r="C3" s="15" t="s">
        <v>25</v>
      </c>
      <c r="D3" s="16" t="str">
        <f>VLOOKUP(E3,[1]Sheet3!A:B,2,0)</f>
        <v>冰箱</v>
      </c>
      <c r="E3" s="15" t="s">
        <v>41</v>
      </c>
      <c r="F3" s="15" t="s">
        <v>28</v>
      </c>
      <c r="G3" s="17" t="s">
        <v>2882</v>
      </c>
      <c r="H3" s="16" t="s">
        <v>2883</v>
      </c>
      <c r="I3" s="15"/>
      <c r="J3" s="18" t="s">
        <v>2884</v>
      </c>
      <c r="K3" s="19" t="s">
        <v>355</v>
      </c>
      <c r="L3" s="20"/>
      <c r="M3" s="20" t="s">
        <v>2885</v>
      </c>
      <c r="N3" s="21" t="s">
        <v>34</v>
      </c>
      <c r="O3" s="22"/>
    </row>
    <row r="4" ht="30" customHeight="1" spans="1:15">
      <c r="A4" s="13">
        <v>3</v>
      </c>
      <c r="B4" s="14">
        <v>45765</v>
      </c>
      <c r="C4" s="15" t="s">
        <v>25</v>
      </c>
      <c r="D4" s="16" t="str">
        <f>VLOOKUP(E4,[1]Sheet3!A:B,2,0)</f>
        <v>洗衣机</v>
      </c>
      <c r="E4" s="16" t="s">
        <v>27</v>
      </c>
      <c r="F4" s="15" t="s">
        <v>28</v>
      </c>
      <c r="G4" s="17" t="s">
        <v>2886</v>
      </c>
      <c r="H4" s="16" t="s">
        <v>2887</v>
      </c>
      <c r="I4" s="15"/>
      <c r="J4" s="18" t="s">
        <v>2888</v>
      </c>
      <c r="K4" s="19" t="s">
        <v>355</v>
      </c>
      <c r="L4" s="20"/>
      <c r="M4" s="20" t="s">
        <v>2889</v>
      </c>
      <c r="N4" s="21" t="s">
        <v>34</v>
      </c>
      <c r="O4" s="22"/>
    </row>
    <row r="5" ht="30" customHeight="1" spans="1:15">
      <c r="A5" s="13">
        <v>4</v>
      </c>
      <c r="B5" s="14">
        <v>45765</v>
      </c>
      <c r="C5" s="15" t="s">
        <v>25</v>
      </c>
      <c r="D5" s="16" t="str">
        <f>VLOOKUP(E5,[1]Sheet3!A:B,2,0)</f>
        <v>洗衣机</v>
      </c>
      <c r="E5" s="16" t="s">
        <v>27</v>
      </c>
      <c r="F5" s="15" t="s">
        <v>28</v>
      </c>
      <c r="G5" s="17" t="s">
        <v>2890</v>
      </c>
      <c r="H5" s="16" t="s">
        <v>2891</v>
      </c>
      <c r="I5" s="15"/>
      <c r="J5" s="18" t="s">
        <v>2892</v>
      </c>
      <c r="K5" s="19" t="s">
        <v>355</v>
      </c>
      <c r="L5" s="20"/>
      <c r="M5" s="20" t="s">
        <v>2893</v>
      </c>
      <c r="N5" s="21" t="s">
        <v>34</v>
      </c>
      <c r="O5" s="22"/>
    </row>
    <row r="6" ht="30" customHeight="1" spans="1:15">
      <c r="A6" s="13">
        <v>5</v>
      </c>
      <c r="B6" s="14">
        <v>45765</v>
      </c>
      <c r="C6" s="15" t="s">
        <v>68</v>
      </c>
      <c r="D6" s="16" t="str">
        <f>VLOOKUP(E6,[1]Sheet3!A:B,2,0)</f>
        <v>洗衣机</v>
      </c>
      <c r="E6" s="16" t="s">
        <v>35</v>
      </c>
      <c r="F6" s="15" t="s">
        <v>28</v>
      </c>
      <c r="G6" s="17" t="s">
        <v>2894</v>
      </c>
      <c r="H6" s="16" t="s">
        <v>2895</v>
      </c>
      <c r="I6" s="15"/>
      <c r="J6" s="18" t="s">
        <v>2896</v>
      </c>
      <c r="K6" s="19"/>
      <c r="L6" s="20"/>
      <c r="M6" s="20"/>
      <c r="N6" s="23" t="s">
        <v>34</v>
      </c>
      <c r="O6" s="22"/>
    </row>
    <row r="7" spans="1:15">
      <c r="A7" s="13">
        <v>6</v>
      </c>
      <c r="B7" s="14">
        <v>45765</v>
      </c>
      <c r="C7" s="15" t="s">
        <v>68</v>
      </c>
      <c r="D7" s="16" t="str">
        <f>VLOOKUP(E7,[1]Sheet3!A:B,2,0)</f>
        <v>厨热</v>
      </c>
      <c r="E7" s="16" t="s">
        <v>154</v>
      </c>
      <c r="F7" s="15" t="s">
        <v>28</v>
      </c>
      <c r="G7" s="17" t="s">
        <v>2897</v>
      </c>
      <c r="H7" s="16" t="s">
        <v>2898</v>
      </c>
      <c r="I7" s="15"/>
      <c r="J7" s="18" t="s">
        <v>2899</v>
      </c>
      <c r="K7" s="19" t="s">
        <v>355</v>
      </c>
      <c r="L7" s="20"/>
      <c r="M7" s="20" t="s">
        <v>2900</v>
      </c>
      <c r="N7" s="21" t="s">
        <v>34</v>
      </c>
      <c r="O7" s="22"/>
    </row>
    <row r="8" ht="30" customHeight="1" spans="1:15">
      <c r="A8" s="13">
        <v>7</v>
      </c>
      <c r="B8" s="14">
        <v>45767</v>
      </c>
      <c r="C8" s="15" t="s">
        <v>25</v>
      </c>
      <c r="D8" s="16" t="str">
        <f>VLOOKUP(E8,[1]Sheet3!A:B,2,0)</f>
        <v>洗衣机</v>
      </c>
      <c r="E8" s="16" t="s">
        <v>35</v>
      </c>
      <c r="F8" s="15" t="s">
        <v>28</v>
      </c>
      <c r="G8" s="17" t="s">
        <v>2901</v>
      </c>
      <c r="H8" s="16" t="s">
        <v>2902</v>
      </c>
      <c r="I8" s="15"/>
      <c r="J8" s="18" t="s">
        <v>2903</v>
      </c>
      <c r="K8" s="19" t="s">
        <v>24</v>
      </c>
      <c r="L8" s="20"/>
      <c r="M8" s="20" t="s">
        <v>2889</v>
      </c>
      <c r="N8" s="23" t="s">
        <v>34</v>
      </c>
      <c r="O8" s="24" t="s">
        <v>2904</v>
      </c>
    </row>
    <row r="9" ht="30" customHeight="1" spans="1:15">
      <c r="A9" s="13">
        <v>8</v>
      </c>
      <c r="B9" s="14">
        <v>45767</v>
      </c>
      <c r="C9" s="15" t="s">
        <v>25</v>
      </c>
      <c r="D9" s="16" t="str">
        <f>VLOOKUP(E9,[1]Sheet3!A:B,2,0)</f>
        <v>洗衣机</v>
      </c>
      <c r="E9" s="16" t="s">
        <v>27</v>
      </c>
      <c r="F9" s="15" t="s">
        <v>28</v>
      </c>
      <c r="G9" s="17" t="s">
        <v>2905</v>
      </c>
      <c r="H9" s="16" t="s">
        <v>2906</v>
      </c>
      <c r="I9" s="15"/>
      <c r="J9" s="18" t="s">
        <v>2907</v>
      </c>
      <c r="K9" s="19" t="s">
        <v>2908</v>
      </c>
      <c r="L9" s="20"/>
      <c r="M9" s="20" t="s">
        <v>2909</v>
      </c>
      <c r="N9" s="23" t="s">
        <v>34</v>
      </c>
      <c r="O9" s="22"/>
    </row>
    <row r="10" ht="30" customHeight="1" spans="1:15">
      <c r="A10" s="13">
        <v>9</v>
      </c>
      <c r="B10" s="14">
        <v>45768</v>
      </c>
      <c r="C10" s="15" t="s">
        <v>25</v>
      </c>
      <c r="D10" s="16" t="str">
        <f>VLOOKUP(E10,[1]Sheet3!A:B,2,0)</f>
        <v>洗衣机</v>
      </c>
      <c r="E10" s="16" t="s">
        <v>27</v>
      </c>
      <c r="F10" s="15" t="s">
        <v>28</v>
      </c>
      <c r="G10" s="17" t="s">
        <v>2910</v>
      </c>
      <c r="H10" s="16" t="s">
        <v>2911</v>
      </c>
      <c r="I10" s="15"/>
      <c r="J10" s="18" t="s">
        <v>2912</v>
      </c>
      <c r="K10" s="19" t="s">
        <v>355</v>
      </c>
      <c r="L10" s="20"/>
      <c r="M10" s="20" t="s">
        <v>2893</v>
      </c>
      <c r="N10" s="21" t="s">
        <v>34</v>
      </c>
      <c r="O10" s="22"/>
    </row>
    <row r="11" ht="30" customHeight="1" spans="1:15">
      <c r="A11" s="13">
        <v>10</v>
      </c>
      <c r="B11" s="14">
        <v>45769</v>
      </c>
      <c r="C11" s="15" t="s">
        <v>25</v>
      </c>
      <c r="D11" s="16" t="str">
        <f>VLOOKUP(E11,[1]Sheet3!A:B,2,0)</f>
        <v>冰箱</v>
      </c>
      <c r="E11" s="15" t="s">
        <v>41</v>
      </c>
      <c r="F11" s="15" t="s">
        <v>28</v>
      </c>
      <c r="G11" s="17" t="s">
        <v>2913</v>
      </c>
      <c r="H11" s="16" t="s">
        <v>2914</v>
      </c>
      <c r="I11" s="15"/>
      <c r="J11" s="18" t="s">
        <v>2915</v>
      </c>
      <c r="K11" s="19" t="s">
        <v>355</v>
      </c>
      <c r="L11" s="20"/>
      <c r="M11" s="20" t="s">
        <v>2916</v>
      </c>
      <c r="N11" s="21" t="s">
        <v>34</v>
      </c>
      <c r="O11" s="22"/>
    </row>
    <row r="12" ht="30" customHeight="1" spans="1:15">
      <c r="A12" s="13">
        <v>11</v>
      </c>
      <c r="B12" s="14">
        <v>45771</v>
      </c>
      <c r="C12" s="15" t="s">
        <v>68</v>
      </c>
      <c r="D12" s="16" t="str">
        <f>VLOOKUP(E12,[1]Sheet3!A:B,2,0)</f>
        <v>洗衣机</v>
      </c>
      <c r="E12" s="16" t="s">
        <v>27</v>
      </c>
      <c r="F12" s="15" t="s">
        <v>28</v>
      </c>
      <c r="G12" s="17" t="s">
        <v>2917</v>
      </c>
      <c r="H12" s="16" t="s">
        <v>2918</v>
      </c>
      <c r="I12" s="15"/>
      <c r="J12" s="18" t="s">
        <v>2919</v>
      </c>
      <c r="K12" s="19"/>
      <c r="L12" s="20"/>
      <c r="M12" s="20"/>
      <c r="N12" s="23" t="s">
        <v>34</v>
      </c>
      <c r="O12" s="22"/>
    </row>
    <row r="13" ht="30" customHeight="1" spans="1:15">
      <c r="A13" s="13">
        <v>12</v>
      </c>
      <c r="B13" s="14">
        <v>45771</v>
      </c>
      <c r="C13" s="15" t="s">
        <v>68</v>
      </c>
      <c r="D13" s="16" t="str">
        <f>VLOOKUP(E13,[1]Sheet3!A:B,2,0)</f>
        <v>洗衣机</v>
      </c>
      <c r="E13" s="16" t="s">
        <v>27</v>
      </c>
      <c r="F13" s="15" t="s">
        <v>28</v>
      </c>
      <c r="G13" s="17" t="s">
        <v>2920</v>
      </c>
      <c r="H13" s="16" t="s">
        <v>2921</v>
      </c>
      <c r="I13" s="15"/>
      <c r="J13" s="18" t="s">
        <v>2922</v>
      </c>
      <c r="K13" s="19"/>
      <c r="L13" s="20"/>
      <c r="M13" s="20"/>
      <c r="N13" s="23" t="s">
        <v>34</v>
      </c>
      <c r="O13" s="22"/>
    </row>
    <row r="14" ht="30" customHeight="1" spans="1:15">
      <c r="A14" s="13">
        <v>13</v>
      </c>
      <c r="B14" s="14">
        <v>45771</v>
      </c>
      <c r="C14" s="15" t="s">
        <v>68</v>
      </c>
      <c r="D14" s="16" t="str">
        <f>VLOOKUP(E14,[1]Sheet3!A:B,2,0)</f>
        <v>洗衣机</v>
      </c>
      <c r="E14" s="16" t="s">
        <v>27</v>
      </c>
      <c r="F14" s="15" t="s">
        <v>28</v>
      </c>
      <c r="G14" s="17" t="s">
        <v>2923</v>
      </c>
      <c r="H14" s="16" t="s">
        <v>2924</v>
      </c>
      <c r="I14" s="15"/>
      <c r="J14" s="18" t="s">
        <v>2925</v>
      </c>
      <c r="K14" s="19"/>
      <c r="L14" s="20"/>
      <c r="M14" s="20"/>
      <c r="N14" s="23" t="s">
        <v>34</v>
      </c>
      <c r="O14" s="22"/>
    </row>
    <row r="15" ht="30" customHeight="1" spans="1:15">
      <c r="A15" s="13">
        <v>14</v>
      </c>
      <c r="B15" s="14">
        <v>45771</v>
      </c>
      <c r="C15" s="15" t="s">
        <v>25</v>
      </c>
      <c r="D15" s="16" t="str">
        <f>VLOOKUP(E15,[1]Sheet3!A:B,2,0)</f>
        <v>洗衣机</v>
      </c>
      <c r="E15" s="16" t="s">
        <v>35</v>
      </c>
      <c r="F15" s="15" t="s">
        <v>28</v>
      </c>
      <c r="G15" s="17" t="s">
        <v>2926</v>
      </c>
      <c r="H15" s="16" t="s">
        <v>2927</v>
      </c>
      <c r="I15" s="15"/>
      <c r="J15" s="18" t="s">
        <v>2928</v>
      </c>
      <c r="K15" s="19" t="s">
        <v>24</v>
      </c>
      <c r="L15" s="20"/>
      <c r="M15" s="20"/>
      <c r="N15" s="23" t="s">
        <v>34</v>
      </c>
      <c r="O15" s="24" t="s">
        <v>2929</v>
      </c>
    </row>
    <row r="16" ht="30" customHeight="1" spans="1:15">
      <c r="A16" s="13">
        <v>15</v>
      </c>
      <c r="B16" s="14">
        <v>45772</v>
      </c>
      <c r="C16" s="15" t="s">
        <v>25</v>
      </c>
      <c r="D16" s="16" t="str">
        <f>VLOOKUP(E16,[1]Sheet3!A:B,2,0)</f>
        <v>厨热</v>
      </c>
      <c r="E16" s="16" t="s">
        <v>154</v>
      </c>
      <c r="F16" s="15" t="s">
        <v>28</v>
      </c>
      <c r="G16" s="17" t="s">
        <v>2930</v>
      </c>
      <c r="H16" s="16" t="s">
        <v>2931</v>
      </c>
      <c r="I16" s="15"/>
      <c r="J16" s="18" t="s">
        <v>2932</v>
      </c>
      <c r="K16" s="19" t="s">
        <v>2559</v>
      </c>
      <c r="L16" s="20"/>
      <c r="M16" s="20" t="s">
        <v>2933</v>
      </c>
      <c r="N16" s="23" t="s">
        <v>34</v>
      </c>
      <c r="O16" s="22"/>
    </row>
    <row r="17" ht="30" customHeight="1" spans="1:15">
      <c r="A17" s="13">
        <v>16</v>
      </c>
      <c r="B17" s="14">
        <v>45774</v>
      </c>
      <c r="C17" s="15" t="s">
        <v>25</v>
      </c>
      <c r="D17" s="16" t="str">
        <f>VLOOKUP(E17,[1]Sheet3!A:B,2,0)</f>
        <v>家用空调</v>
      </c>
      <c r="E17" s="16" t="s">
        <v>318</v>
      </c>
      <c r="F17" s="15" t="s">
        <v>28</v>
      </c>
      <c r="G17" s="17" t="s">
        <v>2934</v>
      </c>
      <c r="H17" s="16" t="s">
        <v>2935</v>
      </c>
      <c r="I17" s="15"/>
      <c r="J17" s="18" t="s">
        <v>2936</v>
      </c>
      <c r="K17" s="19" t="s">
        <v>2559</v>
      </c>
      <c r="L17" s="20"/>
      <c r="M17" s="20" t="s">
        <v>2933</v>
      </c>
      <c r="N17" s="23" t="s">
        <v>34</v>
      </c>
      <c r="O17" s="22"/>
    </row>
    <row r="18" ht="30" customHeight="1" spans="1:15">
      <c r="A18" s="13">
        <v>17</v>
      </c>
      <c r="B18" s="14">
        <v>45774</v>
      </c>
      <c r="C18" s="15" t="s">
        <v>25</v>
      </c>
      <c r="D18" s="16" t="str">
        <f>VLOOKUP(E18,[1]Sheet3!A:B,2,0)</f>
        <v>家用空调</v>
      </c>
      <c r="E18" s="16" t="s">
        <v>318</v>
      </c>
      <c r="F18" s="15" t="s">
        <v>28</v>
      </c>
      <c r="G18" s="17" t="s">
        <v>2937</v>
      </c>
      <c r="H18" s="16" t="s">
        <v>2938</v>
      </c>
      <c r="I18" s="15"/>
      <c r="J18" s="18" t="s">
        <v>2939</v>
      </c>
      <c r="K18" s="19" t="s">
        <v>32</v>
      </c>
      <c r="L18" s="20"/>
      <c r="M18" s="20" t="s">
        <v>2940</v>
      </c>
      <c r="N18" s="23" t="s">
        <v>34</v>
      </c>
      <c r="O18" s="22"/>
    </row>
    <row r="19" ht="30" customHeight="1" spans="1:15">
      <c r="A19" s="13">
        <v>18</v>
      </c>
      <c r="B19" s="14">
        <v>45775</v>
      </c>
      <c r="C19" s="15" t="s">
        <v>25</v>
      </c>
      <c r="D19" s="16" t="str">
        <f>VLOOKUP(E19,[1]Sheet3!A:B,2,0)</f>
        <v>微波和清洁</v>
      </c>
      <c r="E19" s="16" t="s">
        <v>223</v>
      </c>
      <c r="F19" s="15" t="s">
        <v>28</v>
      </c>
      <c r="G19" s="17" t="s">
        <v>2941</v>
      </c>
      <c r="H19" s="16" t="s">
        <v>2942</v>
      </c>
      <c r="I19" s="15"/>
      <c r="J19" s="18" t="s">
        <v>2943</v>
      </c>
      <c r="K19" s="19" t="s">
        <v>355</v>
      </c>
      <c r="L19" s="20"/>
      <c r="M19" s="20" t="s">
        <v>2944</v>
      </c>
      <c r="N19" s="21" t="s">
        <v>34</v>
      </c>
      <c r="O19" s="22"/>
    </row>
    <row r="20" ht="30" customHeight="1" spans="1:15">
      <c r="A20" s="13">
        <v>19</v>
      </c>
      <c r="B20" s="14">
        <v>45783</v>
      </c>
      <c r="C20" s="15" t="s">
        <v>25</v>
      </c>
      <c r="D20" s="16" t="str">
        <f>VLOOKUP(E20,[1]Sheet3!A:B,2,0)</f>
        <v>冰箱</v>
      </c>
      <c r="E20" s="15" t="s">
        <v>41</v>
      </c>
      <c r="F20" s="15" t="s">
        <v>28</v>
      </c>
      <c r="G20" s="17" t="s">
        <v>2945</v>
      </c>
      <c r="H20" s="16" t="s">
        <v>2946</v>
      </c>
      <c r="I20" s="15"/>
      <c r="J20" s="18" t="s">
        <v>2947</v>
      </c>
      <c r="K20" s="19" t="s">
        <v>355</v>
      </c>
      <c r="L20" s="20"/>
      <c r="M20" s="20" t="s">
        <v>2948</v>
      </c>
      <c r="N20" s="21" t="s">
        <v>34</v>
      </c>
      <c r="O20" s="22"/>
    </row>
    <row r="21" ht="30" customHeight="1" spans="1:15">
      <c r="A21" s="13">
        <v>20</v>
      </c>
      <c r="B21" s="14">
        <v>45783</v>
      </c>
      <c r="C21" s="15" t="s">
        <v>25</v>
      </c>
      <c r="D21" s="16" t="str">
        <f>VLOOKUP(E21,[1]Sheet3!A:B,2,0)</f>
        <v>洗衣机</v>
      </c>
      <c r="E21" s="16" t="s">
        <v>35</v>
      </c>
      <c r="F21" s="15" t="s">
        <v>28</v>
      </c>
      <c r="G21" s="17" t="s">
        <v>2949</v>
      </c>
      <c r="H21" s="16" t="s">
        <v>2950</v>
      </c>
      <c r="I21" s="15"/>
      <c r="J21" s="18" t="s">
        <v>2951</v>
      </c>
      <c r="K21" s="19" t="s">
        <v>355</v>
      </c>
      <c r="L21" s="20"/>
      <c r="M21" s="20" t="s">
        <v>2948</v>
      </c>
      <c r="N21" s="21" t="s">
        <v>34</v>
      </c>
      <c r="O21" s="22"/>
    </row>
    <row r="22" ht="33" spans="1:15">
      <c r="A22" s="13">
        <v>21</v>
      </c>
      <c r="B22" s="14">
        <v>45784</v>
      </c>
      <c r="C22" s="16" t="s">
        <v>25</v>
      </c>
      <c r="D22" s="16" t="str">
        <f>VLOOKUP(E22,[1]Sheet3!A:B,2,0)</f>
        <v>冰箱</v>
      </c>
      <c r="E22" s="16" t="s">
        <v>41</v>
      </c>
      <c r="F22" s="16" t="s">
        <v>28</v>
      </c>
      <c r="G22" s="25" t="s">
        <v>2952</v>
      </c>
      <c r="H22" s="16" t="s">
        <v>2953</v>
      </c>
      <c r="I22" s="16"/>
      <c r="J22" s="26" t="s">
        <v>2954</v>
      </c>
      <c r="K22" s="27" t="s">
        <v>2955</v>
      </c>
      <c r="L22" s="16"/>
      <c r="M22" s="26" t="s">
        <v>2956</v>
      </c>
      <c r="N22" s="23" t="s">
        <v>34</v>
      </c>
      <c r="O22" s="22"/>
    </row>
    <row r="23" ht="49.5" spans="1:15">
      <c r="A23" s="13">
        <v>22</v>
      </c>
      <c r="B23" s="14">
        <v>45784</v>
      </c>
      <c r="C23" s="16" t="s">
        <v>68</v>
      </c>
      <c r="D23" s="16" t="str">
        <f>VLOOKUP(E23,[1]Sheet3!A:B,2,0)</f>
        <v>冰箱</v>
      </c>
      <c r="E23" s="16" t="s">
        <v>41</v>
      </c>
      <c r="F23" s="16" t="s">
        <v>28</v>
      </c>
      <c r="G23" s="25" t="s">
        <v>2957</v>
      </c>
      <c r="H23" s="16" t="s">
        <v>2958</v>
      </c>
      <c r="I23" s="16"/>
      <c r="J23" s="26" t="s">
        <v>2959</v>
      </c>
      <c r="K23" s="27" t="s">
        <v>355</v>
      </c>
      <c r="L23" s="16">
        <v>1350</v>
      </c>
      <c r="M23" s="26" t="s">
        <v>2960</v>
      </c>
      <c r="N23" s="23" t="s">
        <v>113</v>
      </c>
      <c r="O23" s="22"/>
    </row>
    <row r="24" ht="33" spans="1:15">
      <c r="A24" s="13">
        <v>23</v>
      </c>
      <c r="B24" s="14">
        <v>45784</v>
      </c>
      <c r="C24" s="16" t="s">
        <v>25</v>
      </c>
      <c r="D24" s="16" t="str">
        <f>VLOOKUP(E24,[1]Sheet3!A:B,2,0)</f>
        <v>微波和清洁</v>
      </c>
      <c r="E24" s="16" t="s">
        <v>223</v>
      </c>
      <c r="F24" s="16" t="s">
        <v>28</v>
      </c>
      <c r="G24" s="25" t="s">
        <v>2961</v>
      </c>
      <c r="H24" s="16" t="s">
        <v>2962</v>
      </c>
      <c r="I24" s="16"/>
      <c r="J24" s="26" t="s">
        <v>2963</v>
      </c>
      <c r="K24" s="27" t="s">
        <v>2559</v>
      </c>
      <c r="L24" s="16"/>
      <c r="M24" s="26" t="s">
        <v>2964</v>
      </c>
      <c r="N24" s="23" t="s">
        <v>34</v>
      </c>
      <c r="O24" s="22"/>
    </row>
    <row r="25" ht="33" spans="1:15">
      <c r="A25" s="13">
        <v>24</v>
      </c>
      <c r="B25" s="14">
        <v>45784</v>
      </c>
      <c r="C25" s="16" t="s">
        <v>25</v>
      </c>
      <c r="D25" s="16" t="str">
        <f>VLOOKUP(E25,[1]Sheet3!A:B,2,0)</f>
        <v>洗衣机</v>
      </c>
      <c r="E25" s="16" t="s">
        <v>35</v>
      </c>
      <c r="F25" s="16" t="s">
        <v>28</v>
      </c>
      <c r="G25" s="25" t="s">
        <v>2965</v>
      </c>
      <c r="H25" s="16" t="s">
        <v>2966</v>
      </c>
      <c r="I25" s="16"/>
      <c r="J25" s="26" t="s">
        <v>2967</v>
      </c>
      <c r="K25" s="27" t="s">
        <v>2559</v>
      </c>
      <c r="L25" s="16"/>
      <c r="M25" s="26" t="s">
        <v>2968</v>
      </c>
      <c r="N25" s="23" t="s">
        <v>34</v>
      </c>
      <c r="O25" s="22"/>
    </row>
    <row r="26" ht="33" spans="1:15">
      <c r="A26" s="13">
        <v>25</v>
      </c>
      <c r="B26" s="14">
        <v>45784</v>
      </c>
      <c r="C26" s="16" t="s">
        <v>25</v>
      </c>
      <c r="D26" s="16" t="str">
        <f>VLOOKUP(E26,[1]Sheet3!A:B,2,0)</f>
        <v>洗衣机</v>
      </c>
      <c r="E26" s="16" t="s">
        <v>35</v>
      </c>
      <c r="F26" s="16" t="s">
        <v>28</v>
      </c>
      <c r="G26" s="25" t="s">
        <v>2969</v>
      </c>
      <c r="H26" s="16" t="s">
        <v>2970</v>
      </c>
      <c r="I26" s="16"/>
      <c r="J26" s="26" t="s">
        <v>2971</v>
      </c>
      <c r="K26" s="27" t="s">
        <v>2559</v>
      </c>
      <c r="L26" s="16"/>
      <c r="M26" s="26" t="s">
        <v>2968</v>
      </c>
      <c r="N26" s="23" t="s">
        <v>34</v>
      </c>
      <c r="O26" s="22"/>
    </row>
    <row r="27" ht="49.5" spans="1:15">
      <c r="A27" s="13">
        <v>26</v>
      </c>
      <c r="B27" s="14">
        <v>45784</v>
      </c>
      <c r="C27" s="16" t="s">
        <v>25</v>
      </c>
      <c r="D27" s="16" t="str">
        <f>VLOOKUP(E27,[1]Sheet3!A:B,2,0)</f>
        <v>冰箱</v>
      </c>
      <c r="E27" s="16" t="s">
        <v>41</v>
      </c>
      <c r="F27" s="16" t="s">
        <v>28</v>
      </c>
      <c r="G27" s="25" t="s">
        <v>2972</v>
      </c>
      <c r="H27" s="16" t="s">
        <v>2973</v>
      </c>
      <c r="I27" s="16"/>
      <c r="J27" s="26" t="s">
        <v>2974</v>
      </c>
      <c r="K27" s="27" t="s">
        <v>280</v>
      </c>
      <c r="L27" s="16"/>
      <c r="M27" s="26" t="s">
        <v>2975</v>
      </c>
      <c r="N27" s="23" t="s">
        <v>34</v>
      </c>
      <c r="O27" s="22"/>
    </row>
    <row r="28" ht="49.5" spans="1:15">
      <c r="A28" s="13">
        <v>27</v>
      </c>
      <c r="B28" s="14">
        <v>45785</v>
      </c>
      <c r="C28" s="16" t="s">
        <v>25</v>
      </c>
      <c r="D28" s="16" t="str">
        <f>VLOOKUP(E28,[1]Sheet3!A:B,2,0)</f>
        <v>洗衣机</v>
      </c>
      <c r="E28" s="16" t="s">
        <v>27</v>
      </c>
      <c r="F28" s="16" t="s">
        <v>28</v>
      </c>
      <c r="G28" s="25" t="s">
        <v>2976</v>
      </c>
      <c r="H28" s="16" t="s">
        <v>2977</v>
      </c>
      <c r="I28" s="16"/>
      <c r="J28" s="26" t="s">
        <v>2978</v>
      </c>
      <c r="K28" s="27" t="s">
        <v>24</v>
      </c>
      <c r="L28" s="16"/>
      <c r="M28" s="26" t="s">
        <v>2979</v>
      </c>
      <c r="N28" s="23" t="s">
        <v>34</v>
      </c>
      <c r="O28" s="24" t="s">
        <v>2072</v>
      </c>
    </row>
    <row r="29" ht="33" spans="1:15">
      <c r="A29" s="13">
        <v>28</v>
      </c>
      <c r="B29" s="14">
        <v>45785</v>
      </c>
      <c r="C29" s="16" t="s">
        <v>25</v>
      </c>
      <c r="D29" s="16" t="str">
        <f>VLOOKUP(E29,[1]Sheet3!A:B,2,0)</f>
        <v>家用空调</v>
      </c>
      <c r="E29" s="16" t="s">
        <v>318</v>
      </c>
      <c r="F29" s="16" t="s">
        <v>28</v>
      </c>
      <c r="G29" s="25" t="s">
        <v>2980</v>
      </c>
      <c r="H29" s="16">
        <v>285750046</v>
      </c>
      <c r="I29" s="16"/>
      <c r="J29" s="26" t="s">
        <v>2981</v>
      </c>
      <c r="K29" s="27" t="s">
        <v>2559</v>
      </c>
      <c r="L29" s="16"/>
      <c r="M29" s="26" t="s">
        <v>2982</v>
      </c>
      <c r="N29" s="23" t="s">
        <v>34</v>
      </c>
      <c r="O29" s="22"/>
    </row>
    <row r="30" ht="33" spans="1:15">
      <c r="A30" s="13">
        <v>29</v>
      </c>
      <c r="B30" s="14">
        <v>45785</v>
      </c>
      <c r="C30" s="16" t="s">
        <v>25</v>
      </c>
      <c r="D30" s="16" t="str">
        <f>VLOOKUP(E30,[1]Sheet3!A:B,2,0)</f>
        <v>工业技术</v>
      </c>
      <c r="E30" s="16" t="s">
        <v>416</v>
      </c>
      <c r="F30" s="16" t="s">
        <v>28</v>
      </c>
      <c r="G30" s="25" t="s">
        <v>2983</v>
      </c>
      <c r="H30" s="16" t="s">
        <v>2984</v>
      </c>
      <c r="I30" s="16"/>
      <c r="J30" s="26" t="s">
        <v>2985</v>
      </c>
      <c r="K30" s="27" t="s">
        <v>2559</v>
      </c>
      <c r="L30" s="16"/>
      <c r="M30" s="26" t="s">
        <v>2986</v>
      </c>
      <c r="N30" s="23" t="s">
        <v>34</v>
      </c>
      <c r="O30" s="22"/>
    </row>
    <row r="31" spans="1:15">
      <c r="A31" s="13">
        <v>30</v>
      </c>
      <c r="B31" s="14">
        <v>45785</v>
      </c>
      <c r="C31" s="16" t="s">
        <v>25</v>
      </c>
      <c r="D31" s="16" t="str">
        <f>VLOOKUP(E31,[1]Sheet3!A:B,2,0)</f>
        <v>冰箱</v>
      </c>
      <c r="E31" s="16" t="s">
        <v>41</v>
      </c>
      <c r="F31" s="16" t="s">
        <v>28</v>
      </c>
      <c r="G31" s="25" t="s">
        <v>2987</v>
      </c>
      <c r="H31" s="16" t="s">
        <v>2988</v>
      </c>
      <c r="I31" s="16"/>
      <c r="J31" s="26" t="s">
        <v>2989</v>
      </c>
      <c r="K31" s="27" t="s">
        <v>2955</v>
      </c>
      <c r="L31" s="16"/>
      <c r="M31" s="26" t="s">
        <v>2990</v>
      </c>
      <c r="N31" s="23" t="s">
        <v>34</v>
      </c>
      <c r="O31" s="22"/>
    </row>
    <row r="32" ht="49.5" spans="1:15">
      <c r="A32" s="13">
        <v>31</v>
      </c>
      <c r="B32" s="14">
        <v>45785</v>
      </c>
      <c r="C32" s="16" t="s">
        <v>68</v>
      </c>
      <c r="D32" s="16" t="str">
        <f>VLOOKUP(E32,[1]Sheet3!A:B,2,0)</f>
        <v>冰箱</v>
      </c>
      <c r="E32" s="16" t="s">
        <v>41</v>
      </c>
      <c r="F32" s="16" t="s">
        <v>28</v>
      </c>
      <c r="G32" s="25" t="s">
        <v>2991</v>
      </c>
      <c r="H32" s="16" t="s">
        <v>2992</v>
      </c>
      <c r="I32" s="16"/>
      <c r="J32" s="26" t="s">
        <v>2993</v>
      </c>
      <c r="K32" s="27" t="s">
        <v>2559</v>
      </c>
      <c r="L32" s="16"/>
      <c r="M32" s="26" t="s">
        <v>2994</v>
      </c>
      <c r="N32" s="23" t="s">
        <v>34</v>
      </c>
      <c r="O32" s="22"/>
    </row>
    <row r="33" ht="49.5" spans="1:15">
      <c r="A33" s="13">
        <v>32</v>
      </c>
      <c r="B33" s="14">
        <v>45785</v>
      </c>
      <c r="C33" s="16" t="s">
        <v>68</v>
      </c>
      <c r="D33" s="16" t="str">
        <f>VLOOKUP(E33,[1]Sheet3!A:B,2,0)</f>
        <v>冰箱</v>
      </c>
      <c r="E33" s="16" t="s">
        <v>41</v>
      </c>
      <c r="F33" s="16" t="s">
        <v>28</v>
      </c>
      <c r="G33" s="25" t="s">
        <v>2995</v>
      </c>
      <c r="H33" s="16" t="s">
        <v>2996</v>
      </c>
      <c r="I33" s="16"/>
      <c r="J33" s="26" t="s">
        <v>2997</v>
      </c>
      <c r="K33" s="27" t="s">
        <v>2559</v>
      </c>
      <c r="L33" s="16"/>
      <c r="M33" s="26" t="s">
        <v>2994</v>
      </c>
      <c r="N33" s="23" t="s">
        <v>34</v>
      </c>
      <c r="O33" s="22"/>
    </row>
    <row r="34" spans="1:15">
      <c r="A34" s="13">
        <v>33</v>
      </c>
      <c r="B34" s="14">
        <v>45785</v>
      </c>
      <c r="C34" s="16" t="s">
        <v>68</v>
      </c>
      <c r="D34" s="16" t="str">
        <f>VLOOKUP(E34,[1]Sheet3!A:B,2,0)</f>
        <v>冰箱</v>
      </c>
      <c r="E34" s="16" t="s">
        <v>41</v>
      </c>
      <c r="F34" s="16" t="s">
        <v>28</v>
      </c>
      <c r="G34" s="25" t="s">
        <v>2998</v>
      </c>
      <c r="H34" s="16" t="s">
        <v>2999</v>
      </c>
      <c r="I34" s="16"/>
      <c r="J34" s="26" t="s">
        <v>3000</v>
      </c>
      <c r="K34" s="27" t="s">
        <v>49</v>
      </c>
      <c r="L34" s="16"/>
      <c r="M34" s="26" t="s">
        <v>2994</v>
      </c>
      <c r="N34" s="23" t="s">
        <v>34</v>
      </c>
      <c r="O34" s="22"/>
    </row>
    <row r="35" ht="33" spans="1:15">
      <c r="A35" s="13">
        <v>34</v>
      </c>
      <c r="B35" s="14">
        <v>45785</v>
      </c>
      <c r="C35" s="16" t="s">
        <v>68</v>
      </c>
      <c r="D35" s="16" t="str">
        <f>VLOOKUP(E35,[1]Sheet3!A:B,2,0)</f>
        <v>洗衣机</v>
      </c>
      <c r="E35" s="16" t="s">
        <v>35</v>
      </c>
      <c r="F35" s="16" t="s">
        <v>28</v>
      </c>
      <c r="G35" s="25" t="s">
        <v>3001</v>
      </c>
      <c r="H35" s="16" t="s">
        <v>3002</v>
      </c>
      <c r="I35" s="16"/>
      <c r="J35" s="26" t="s">
        <v>3003</v>
      </c>
      <c r="K35" s="27" t="s">
        <v>2559</v>
      </c>
      <c r="L35" s="16"/>
      <c r="M35" s="26" t="s">
        <v>2994</v>
      </c>
      <c r="N35" s="23" t="s">
        <v>34</v>
      </c>
      <c r="O35" s="22"/>
    </row>
    <row r="36" ht="33" spans="1:15">
      <c r="A36" s="13">
        <v>35</v>
      </c>
      <c r="B36" s="14">
        <v>45785</v>
      </c>
      <c r="C36" s="16" t="s">
        <v>68</v>
      </c>
      <c r="D36" s="16" t="str">
        <f>VLOOKUP(E36,[1]Sheet3!A:B,2,0)</f>
        <v>洗衣机</v>
      </c>
      <c r="E36" s="16" t="s">
        <v>35</v>
      </c>
      <c r="F36" s="16" t="s">
        <v>28</v>
      </c>
      <c r="G36" s="25" t="s">
        <v>3004</v>
      </c>
      <c r="H36" s="16" t="s">
        <v>3005</v>
      </c>
      <c r="I36" s="16"/>
      <c r="J36" s="26" t="s">
        <v>3006</v>
      </c>
      <c r="K36" s="27" t="s">
        <v>2559</v>
      </c>
      <c r="L36" s="16"/>
      <c r="M36" s="26" t="s">
        <v>2994</v>
      </c>
      <c r="N36" s="23" t="s">
        <v>34</v>
      </c>
      <c r="O36" s="22"/>
    </row>
    <row r="37" ht="49.5" spans="1:15">
      <c r="A37" s="13">
        <v>36</v>
      </c>
      <c r="B37" s="14">
        <v>45786</v>
      </c>
      <c r="C37" s="16" t="s">
        <v>68</v>
      </c>
      <c r="D37" s="16" t="str">
        <f>VLOOKUP(E37,[1]Sheet3!A:B,2,0)</f>
        <v>采购中心</v>
      </c>
      <c r="E37" s="16" t="s">
        <v>108</v>
      </c>
      <c r="F37" s="16" t="s">
        <v>28</v>
      </c>
      <c r="G37" s="28" t="s">
        <v>3007</v>
      </c>
      <c r="H37" s="16" t="s">
        <v>3008</v>
      </c>
      <c r="I37" s="16"/>
      <c r="J37" s="26" t="s">
        <v>3009</v>
      </c>
      <c r="K37" s="27" t="s">
        <v>2559</v>
      </c>
      <c r="L37" s="16"/>
      <c r="M37" s="26" t="s">
        <v>3010</v>
      </c>
      <c r="N37" s="23" t="s">
        <v>34</v>
      </c>
      <c r="O37" s="22"/>
    </row>
    <row r="38" ht="33" spans="1:15">
      <c r="A38" s="13">
        <v>37</v>
      </c>
      <c r="B38" s="14">
        <v>45786</v>
      </c>
      <c r="C38" s="16" t="s">
        <v>68</v>
      </c>
      <c r="D38" s="16" t="str">
        <f>VLOOKUP(E38,[1]Sheet3!A:B,2,0)</f>
        <v>冰箱</v>
      </c>
      <c r="E38" s="16" t="s">
        <v>41</v>
      </c>
      <c r="F38" s="16" t="s">
        <v>28</v>
      </c>
      <c r="G38" s="25" t="s">
        <v>3011</v>
      </c>
      <c r="H38" s="16" t="s">
        <v>3012</v>
      </c>
      <c r="I38" s="16"/>
      <c r="J38" s="26" t="s">
        <v>3013</v>
      </c>
      <c r="K38" s="27" t="s">
        <v>2559</v>
      </c>
      <c r="L38" s="16"/>
      <c r="M38" s="26" t="s">
        <v>2994</v>
      </c>
      <c r="N38" s="23" t="s">
        <v>34</v>
      </c>
      <c r="O38" s="22"/>
    </row>
    <row r="39" spans="1:15">
      <c r="A39" s="13">
        <v>38</v>
      </c>
      <c r="B39" s="14">
        <v>45786</v>
      </c>
      <c r="C39" s="16" t="s">
        <v>68</v>
      </c>
      <c r="D39" s="16" t="str">
        <f>VLOOKUP(E39,[1]Sheet3!A:B,2,0)</f>
        <v>冰箱</v>
      </c>
      <c r="E39" s="16" t="s">
        <v>41</v>
      </c>
      <c r="F39" s="16" t="s">
        <v>28</v>
      </c>
      <c r="G39" s="25" t="s">
        <v>3014</v>
      </c>
      <c r="H39" s="16" t="s">
        <v>3015</v>
      </c>
      <c r="I39" s="16"/>
      <c r="J39" s="26" t="s">
        <v>3016</v>
      </c>
      <c r="K39" s="27" t="s">
        <v>2559</v>
      </c>
      <c r="L39" s="16"/>
      <c r="M39" s="26" t="s">
        <v>2994</v>
      </c>
      <c r="N39" s="23" t="s">
        <v>34</v>
      </c>
      <c r="O39" s="22"/>
    </row>
    <row r="40" spans="1:15">
      <c r="A40" s="13">
        <v>39</v>
      </c>
      <c r="B40" s="14">
        <v>45786</v>
      </c>
      <c r="C40" s="16" t="s">
        <v>68</v>
      </c>
      <c r="D40" s="16" t="str">
        <f>VLOOKUP(E40,[1]Sheet3!A:B,2,0)</f>
        <v>冰箱</v>
      </c>
      <c r="E40" s="16" t="s">
        <v>41</v>
      </c>
      <c r="F40" s="16" t="s">
        <v>28</v>
      </c>
      <c r="G40" s="25" t="s">
        <v>3017</v>
      </c>
      <c r="H40" s="16" t="s">
        <v>3018</v>
      </c>
      <c r="I40" s="16"/>
      <c r="J40" s="26" t="s">
        <v>3016</v>
      </c>
      <c r="K40" s="27" t="s">
        <v>2559</v>
      </c>
      <c r="L40" s="16"/>
      <c r="M40" s="26" t="s">
        <v>2994</v>
      </c>
      <c r="N40" s="23" t="s">
        <v>34</v>
      </c>
      <c r="O40" s="22"/>
    </row>
    <row r="41" spans="1:15">
      <c r="A41" s="13">
        <v>40</v>
      </c>
      <c r="B41" s="14">
        <v>45789</v>
      </c>
      <c r="C41" s="16" t="s">
        <v>68</v>
      </c>
      <c r="D41" s="16" t="str">
        <f>VLOOKUP(E41,[1]Sheet3!A:B,2,0)</f>
        <v>洗衣机</v>
      </c>
      <c r="E41" s="16" t="s">
        <v>35</v>
      </c>
      <c r="F41" s="16" t="s">
        <v>28</v>
      </c>
      <c r="G41" s="25" t="s">
        <v>3019</v>
      </c>
      <c r="H41" s="16">
        <v>285354953</v>
      </c>
      <c r="I41" s="16"/>
      <c r="J41" s="26" t="s">
        <v>3020</v>
      </c>
      <c r="K41" s="27" t="s">
        <v>2559</v>
      </c>
      <c r="L41" s="16"/>
      <c r="M41" s="26" t="s">
        <v>3021</v>
      </c>
      <c r="N41" s="23" t="s">
        <v>34</v>
      </c>
      <c r="O41" s="22"/>
    </row>
    <row r="42" spans="1:15">
      <c r="A42" s="13">
        <v>41</v>
      </c>
      <c r="B42" s="14">
        <v>45789</v>
      </c>
      <c r="C42" s="16" t="s">
        <v>68</v>
      </c>
      <c r="D42" s="16" t="str">
        <f>VLOOKUP(E42,[1]Sheet3!A:B,2,0)</f>
        <v>冰箱</v>
      </c>
      <c r="E42" s="16" t="s">
        <v>41</v>
      </c>
      <c r="F42" s="16" t="s">
        <v>28</v>
      </c>
      <c r="G42" s="25" t="s">
        <v>3022</v>
      </c>
      <c r="H42" s="16">
        <v>252200398</v>
      </c>
      <c r="I42" s="16"/>
      <c r="J42" s="26" t="s">
        <v>3020</v>
      </c>
      <c r="K42" s="27" t="s">
        <v>2559</v>
      </c>
      <c r="L42" s="16"/>
      <c r="M42" s="26" t="s">
        <v>3021</v>
      </c>
      <c r="N42" s="23" t="s">
        <v>34</v>
      </c>
      <c r="O42" s="22"/>
    </row>
    <row r="43" spans="1:15">
      <c r="A43" s="13">
        <v>42</v>
      </c>
      <c r="B43" s="14">
        <v>45789</v>
      </c>
      <c r="C43" s="16" t="s">
        <v>68</v>
      </c>
      <c r="D43" s="16" t="str">
        <f>VLOOKUP(E43,[1]Sheet3!A:B,2,0)</f>
        <v>冰箱</v>
      </c>
      <c r="E43" s="16" t="s">
        <v>41</v>
      </c>
      <c r="F43" s="16" t="s">
        <v>28</v>
      </c>
      <c r="G43" s="25" t="s">
        <v>3023</v>
      </c>
      <c r="H43" s="16">
        <v>252372059</v>
      </c>
      <c r="I43" s="16"/>
      <c r="J43" s="26" t="s">
        <v>3020</v>
      </c>
      <c r="K43" s="27" t="s">
        <v>2559</v>
      </c>
      <c r="L43" s="16"/>
      <c r="M43" s="26" t="s">
        <v>3021</v>
      </c>
      <c r="N43" s="23" t="s">
        <v>34</v>
      </c>
      <c r="O43" s="22"/>
    </row>
    <row r="44" spans="1:15">
      <c r="A44" s="13">
        <v>43</v>
      </c>
      <c r="B44" s="14">
        <v>45789</v>
      </c>
      <c r="C44" s="16" t="s">
        <v>68</v>
      </c>
      <c r="D44" s="16" t="str">
        <f>VLOOKUP(E44,[1]Sheet3!A:B,2,0)</f>
        <v>冰箱</v>
      </c>
      <c r="E44" s="16" t="s">
        <v>41</v>
      </c>
      <c r="F44" s="16" t="s">
        <v>28</v>
      </c>
      <c r="G44" s="25" t="s">
        <v>3024</v>
      </c>
      <c r="H44" s="16">
        <v>252372096</v>
      </c>
      <c r="I44" s="16"/>
      <c r="J44" s="26" t="s">
        <v>3020</v>
      </c>
      <c r="K44" s="27" t="s">
        <v>2559</v>
      </c>
      <c r="L44" s="16"/>
      <c r="M44" s="26" t="s">
        <v>3021</v>
      </c>
      <c r="N44" s="23" t="s">
        <v>34</v>
      </c>
      <c r="O44" s="22"/>
    </row>
    <row r="45" ht="33" spans="1:15">
      <c r="A45" s="13">
        <v>44</v>
      </c>
      <c r="B45" s="14">
        <v>45789</v>
      </c>
      <c r="C45" s="16" t="s">
        <v>25</v>
      </c>
      <c r="D45" s="16" t="str">
        <f>VLOOKUP(E45,[1]Sheet3!A:B,2,0)</f>
        <v>冰箱</v>
      </c>
      <c r="E45" s="16" t="s">
        <v>41</v>
      </c>
      <c r="F45" s="16" t="s">
        <v>28</v>
      </c>
      <c r="G45" s="25" t="s">
        <v>3025</v>
      </c>
      <c r="H45" s="16" t="s">
        <v>3026</v>
      </c>
      <c r="I45" s="16"/>
      <c r="J45" s="26" t="s">
        <v>3027</v>
      </c>
      <c r="K45" s="27" t="s">
        <v>355</v>
      </c>
      <c r="L45" s="16"/>
      <c r="M45" s="26" t="s">
        <v>3028</v>
      </c>
      <c r="N45" s="23" t="s">
        <v>34</v>
      </c>
      <c r="O45" s="22"/>
    </row>
    <row r="46" spans="1:15">
      <c r="A46" s="13">
        <v>45</v>
      </c>
      <c r="B46" s="14">
        <v>45789</v>
      </c>
      <c r="C46" s="16" t="s">
        <v>25</v>
      </c>
      <c r="D46" s="16" t="str">
        <f>VLOOKUP(E46,[1]Sheet3!A:B,2,0)</f>
        <v>厨热</v>
      </c>
      <c r="E46" s="16" t="s">
        <v>154</v>
      </c>
      <c r="F46" s="16" t="s">
        <v>28</v>
      </c>
      <c r="G46" s="25" t="s">
        <v>3029</v>
      </c>
      <c r="H46" s="16">
        <v>252422502</v>
      </c>
      <c r="I46" s="16"/>
      <c r="J46" s="26" t="s">
        <v>3030</v>
      </c>
      <c r="K46" s="27" t="s">
        <v>2559</v>
      </c>
      <c r="L46" s="16"/>
      <c r="M46" s="26" t="s">
        <v>3031</v>
      </c>
      <c r="N46" s="23" t="s">
        <v>34</v>
      </c>
      <c r="O46" s="22"/>
    </row>
    <row r="47" spans="1:15">
      <c r="A47" s="13">
        <v>46</v>
      </c>
      <c r="B47" s="14">
        <v>45789</v>
      </c>
      <c r="C47" s="16" t="s">
        <v>49</v>
      </c>
      <c r="D47" s="16" t="str">
        <f>VLOOKUP(E47,[1]Sheet3!A:B,2,0)</f>
        <v>洗衣机</v>
      </c>
      <c r="E47" s="16" t="s">
        <v>35</v>
      </c>
      <c r="F47" s="16" t="s">
        <v>28</v>
      </c>
      <c r="G47" s="25" t="s">
        <v>3032</v>
      </c>
      <c r="H47" s="16" t="s">
        <v>3033</v>
      </c>
      <c r="I47" s="16"/>
      <c r="J47" s="26" t="s">
        <v>3034</v>
      </c>
      <c r="K47" s="27" t="s">
        <v>49</v>
      </c>
      <c r="L47" s="16"/>
      <c r="M47" s="26" t="s">
        <v>3035</v>
      </c>
      <c r="N47" s="23" t="s">
        <v>34</v>
      </c>
      <c r="O47" s="22"/>
    </row>
    <row r="48" ht="49.5" spans="1:15">
      <c r="A48" s="13">
        <v>47</v>
      </c>
      <c r="B48" s="14">
        <v>45789</v>
      </c>
      <c r="C48" s="16" t="s">
        <v>49</v>
      </c>
      <c r="D48" s="16" t="str">
        <f>VLOOKUP(E48,[1]Sheet3!A:B,2,0)</f>
        <v>采购中心</v>
      </c>
      <c r="E48" s="16" t="s">
        <v>108</v>
      </c>
      <c r="F48" s="16" t="s">
        <v>28</v>
      </c>
      <c r="G48" s="25" t="s">
        <v>3036</v>
      </c>
      <c r="H48" s="16" t="s">
        <v>3037</v>
      </c>
      <c r="I48" s="16"/>
      <c r="J48" s="26" t="s">
        <v>3038</v>
      </c>
      <c r="K48" s="27" t="s">
        <v>49</v>
      </c>
      <c r="L48" s="16"/>
      <c r="M48" s="26" t="s">
        <v>3039</v>
      </c>
      <c r="N48" s="23" t="s">
        <v>34</v>
      </c>
      <c r="O48" s="22"/>
    </row>
    <row r="49" ht="33" spans="1:15">
      <c r="A49" s="13">
        <v>48</v>
      </c>
      <c r="B49" s="14">
        <v>45790</v>
      </c>
      <c r="C49" s="16" t="s">
        <v>25</v>
      </c>
      <c r="D49" s="16" t="str">
        <f>VLOOKUP(E49,[1]Sheet3!A:B,2,0)</f>
        <v>洗衣机</v>
      </c>
      <c r="E49" s="16" t="s">
        <v>27</v>
      </c>
      <c r="F49" s="16" t="s">
        <v>28</v>
      </c>
      <c r="G49" s="25" t="s">
        <v>3040</v>
      </c>
      <c r="H49" s="16" t="s">
        <v>3041</v>
      </c>
      <c r="I49" s="16"/>
      <c r="J49" s="26" t="s">
        <v>3042</v>
      </c>
      <c r="K49" s="27" t="s">
        <v>342</v>
      </c>
      <c r="L49" s="16"/>
      <c r="M49" s="26" t="s">
        <v>3043</v>
      </c>
      <c r="N49" s="23" t="s">
        <v>34</v>
      </c>
      <c r="O49" s="22"/>
    </row>
    <row r="50" spans="1:15">
      <c r="A50" s="13">
        <v>49</v>
      </c>
      <c r="B50" s="14">
        <v>45790</v>
      </c>
      <c r="C50" s="16" t="s">
        <v>49</v>
      </c>
      <c r="D50" s="16" t="str">
        <f>VLOOKUP(E50,[1]Sheet3!A:B,2,0)</f>
        <v>冰箱</v>
      </c>
      <c r="E50" s="16" t="s">
        <v>41</v>
      </c>
      <c r="F50" s="16" t="s">
        <v>28</v>
      </c>
      <c r="G50" s="25" t="s">
        <v>3044</v>
      </c>
      <c r="H50" s="16" t="s">
        <v>3045</v>
      </c>
      <c r="I50" s="16"/>
      <c r="J50" s="26" t="s">
        <v>3034</v>
      </c>
      <c r="K50" s="27" t="s">
        <v>49</v>
      </c>
      <c r="L50" s="16"/>
      <c r="M50" s="26" t="s">
        <v>3046</v>
      </c>
      <c r="N50" s="23" t="s">
        <v>34</v>
      </c>
      <c r="O50" s="22"/>
    </row>
    <row r="51" ht="49.5" spans="1:15">
      <c r="A51" s="13">
        <v>50</v>
      </c>
      <c r="B51" s="14">
        <v>45792</v>
      </c>
      <c r="C51" s="16" t="s">
        <v>68</v>
      </c>
      <c r="D51" s="16" t="str">
        <f>VLOOKUP(E51,[1]Sheet3!A:B,2,0)</f>
        <v>冰箱</v>
      </c>
      <c r="E51" s="16" t="s">
        <v>41</v>
      </c>
      <c r="F51" s="16" t="s">
        <v>28</v>
      </c>
      <c r="G51" s="115" t="s">
        <v>3047</v>
      </c>
      <c r="H51" s="16" t="s">
        <v>3048</v>
      </c>
      <c r="I51" s="16"/>
      <c r="J51" s="29" t="s">
        <v>3049</v>
      </c>
      <c r="K51" s="27" t="s">
        <v>355</v>
      </c>
      <c r="L51" s="16">
        <v>1055.5</v>
      </c>
      <c r="M51" s="26" t="s">
        <v>2960</v>
      </c>
      <c r="N51" s="23" t="s">
        <v>113</v>
      </c>
      <c r="O51" s="22"/>
    </row>
    <row r="52" spans="1:15">
      <c r="A52" s="13">
        <v>51</v>
      </c>
      <c r="B52" s="14">
        <v>45792</v>
      </c>
      <c r="C52" s="16" t="s">
        <v>49</v>
      </c>
      <c r="D52" s="16" t="str">
        <f>VLOOKUP(E52,[1]Sheet3!A:B,2,0)</f>
        <v>洗衣机</v>
      </c>
      <c r="E52" s="16" t="s">
        <v>35</v>
      </c>
      <c r="F52" s="16" t="s">
        <v>28</v>
      </c>
      <c r="G52" s="25" t="s">
        <v>3050</v>
      </c>
      <c r="H52" s="16" t="s">
        <v>3051</v>
      </c>
      <c r="I52" s="16"/>
      <c r="J52" s="26" t="s">
        <v>3034</v>
      </c>
      <c r="K52" s="27" t="s">
        <v>49</v>
      </c>
      <c r="L52" s="16"/>
      <c r="M52" s="26" t="s">
        <v>3052</v>
      </c>
      <c r="N52" s="23" t="s">
        <v>34</v>
      </c>
      <c r="O52" s="22"/>
    </row>
    <row r="53" spans="1:15">
      <c r="A53" s="13">
        <v>52</v>
      </c>
      <c r="B53" s="14">
        <v>45792</v>
      </c>
      <c r="C53" s="16" t="s">
        <v>49</v>
      </c>
      <c r="D53" s="16" t="str">
        <f>VLOOKUP(E53,[1]Sheet3!A:B,2,0)</f>
        <v>冰箱</v>
      </c>
      <c r="E53" s="16" t="s">
        <v>41</v>
      </c>
      <c r="F53" s="16" t="s">
        <v>28</v>
      </c>
      <c r="G53" s="25" t="s">
        <v>3053</v>
      </c>
      <c r="H53" s="16" t="s">
        <v>3054</v>
      </c>
      <c r="I53" s="16"/>
      <c r="J53" s="26" t="s">
        <v>3034</v>
      </c>
      <c r="K53" s="27" t="s">
        <v>49</v>
      </c>
      <c r="L53" s="16"/>
      <c r="M53" s="26" t="s">
        <v>3052</v>
      </c>
      <c r="N53" s="23" t="s">
        <v>34</v>
      </c>
      <c r="O53" s="22"/>
    </row>
    <row r="54" ht="49.5" spans="1:15">
      <c r="A54" s="13">
        <v>53</v>
      </c>
      <c r="B54" s="14">
        <v>45793</v>
      </c>
      <c r="C54" s="16" t="s">
        <v>25</v>
      </c>
      <c r="D54" s="16" t="str">
        <f>VLOOKUP(E54,[1]Sheet3!A:B,2,0)</f>
        <v>微波和清洁</v>
      </c>
      <c r="E54" s="16" t="s">
        <v>223</v>
      </c>
      <c r="F54" s="16" t="s">
        <v>28</v>
      </c>
      <c r="G54" s="25" t="s">
        <v>3055</v>
      </c>
      <c r="H54" s="16" t="s">
        <v>3056</v>
      </c>
      <c r="I54" s="16"/>
      <c r="J54" s="26" t="s">
        <v>3057</v>
      </c>
      <c r="K54" s="27" t="s">
        <v>355</v>
      </c>
      <c r="L54" s="16"/>
      <c r="M54" s="26" t="s">
        <v>3058</v>
      </c>
      <c r="N54" s="23" t="s">
        <v>34</v>
      </c>
      <c r="O54" s="22"/>
    </row>
    <row r="55" ht="154.05" customHeight="1" spans="1:15">
      <c r="A55" s="13">
        <v>54</v>
      </c>
      <c r="B55" s="14">
        <v>45796</v>
      </c>
      <c r="C55" s="16" t="s">
        <v>25</v>
      </c>
      <c r="D55" s="16" t="str">
        <f>VLOOKUP(E55,[1]Sheet3!A:B,2,0)</f>
        <v>微波和清洁</v>
      </c>
      <c r="E55" s="16" t="s">
        <v>223</v>
      </c>
      <c r="F55" s="16" t="s">
        <v>28</v>
      </c>
      <c r="G55" s="25" t="s">
        <v>3059</v>
      </c>
      <c r="H55" s="16" t="s">
        <v>3060</v>
      </c>
      <c r="I55" s="16"/>
      <c r="J55" s="30" t="s">
        <v>3061</v>
      </c>
      <c r="K55" s="31" t="s">
        <v>3062</v>
      </c>
      <c r="L55" s="16"/>
      <c r="M55" s="32" t="s">
        <v>3063</v>
      </c>
      <c r="N55" s="23" t="s">
        <v>34</v>
      </c>
      <c r="O55" s="22"/>
    </row>
    <row r="56" ht="172" customHeight="1" spans="1:15">
      <c r="A56" s="13">
        <v>55</v>
      </c>
      <c r="B56" s="14">
        <v>45796</v>
      </c>
      <c r="C56" s="16" t="s">
        <v>25</v>
      </c>
      <c r="D56" s="16" t="str">
        <f>VLOOKUP(E56,[1]Sheet3!A:B,2,0)</f>
        <v>微波和清洁</v>
      </c>
      <c r="E56" s="16" t="s">
        <v>223</v>
      </c>
      <c r="F56" s="16" t="s">
        <v>28</v>
      </c>
      <c r="G56" s="25" t="s">
        <v>3064</v>
      </c>
      <c r="H56" s="16" t="s">
        <v>3065</v>
      </c>
      <c r="I56" s="16"/>
      <c r="J56" s="33"/>
      <c r="K56" s="34"/>
      <c r="L56" s="16"/>
      <c r="M56" s="35"/>
      <c r="N56" s="23" t="s">
        <v>34</v>
      </c>
      <c r="O56" s="22"/>
    </row>
    <row r="57" ht="115.5" spans="1:15">
      <c r="A57" s="13">
        <v>56</v>
      </c>
      <c r="B57" s="14">
        <v>45796</v>
      </c>
      <c r="C57" s="16" t="s">
        <v>25</v>
      </c>
      <c r="D57" s="16" t="str">
        <f>VLOOKUP(E57,[1]Sheet3!A:B,2,0)</f>
        <v>冰箱</v>
      </c>
      <c r="E57" s="16" t="s">
        <v>41</v>
      </c>
      <c r="F57" s="16" t="s">
        <v>28</v>
      </c>
      <c r="G57" s="25" t="s">
        <v>3066</v>
      </c>
      <c r="H57" s="16" t="s">
        <v>3067</v>
      </c>
      <c r="I57" s="16"/>
      <c r="J57" s="26" t="s">
        <v>3068</v>
      </c>
      <c r="K57" s="27" t="s">
        <v>3069</v>
      </c>
      <c r="L57" s="16"/>
      <c r="M57" s="26" t="s">
        <v>3070</v>
      </c>
      <c r="N57" s="23" t="s">
        <v>34</v>
      </c>
      <c r="O57" s="22"/>
    </row>
    <row r="58" spans="1:15">
      <c r="A58" s="13">
        <v>57</v>
      </c>
      <c r="B58" s="14">
        <v>45796</v>
      </c>
      <c r="C58" s="16" t="s">
        <v>49</v>
      </c>
      <c r="D58" s="16" t="str">
        <f>VLOOKUP(E58,[1]Sheet3!A:B,2,0)</f>
        <v>洗衣机</v>
      </c>
      <c r="E58" s="16" t="s">
        <v>27</v>
      </c>
      <c r="F58" s="16" t="s">
        <v>28</v>
      </c>
      <c r="G58" s="25" t="s">
        <v>3071</v>
      </c>
      <c r="H58" s="16" t="s">
        <v>3072</v>
      </c>
      <c r="I58" s="16"/>
      <c r="J58" s="26" t="s">
        <v>3034</v>
      </c>
      <c r="K58" s="27" t="s">
        <v>49</v>
      </c>
      <c r="L58" s="16"/>
      <c r="M58" s="26" t="s">
        <v>3073</v>
      </c>
      <c r="N58" s="23" t="s">
        <v>34</v>
      </c>
      <c r="O58" s="22"/>
    </row>
    <row r="59" spans="1:15">
      <c r="A59" s="13">
        <v>58</v>
      </c>
      <c r="B59" s="14">
        <v>45796</v>
      </c>
      <c r="C59" s="16" t="s">
        <v>49</v>
      </c>
      <c r="D59" s="16" t="str">
        <f>VLOOKUP(E59,[1]Sheet3!A:B,2,0)</f>
        <v>洗衣机</v>
      </c>
      <c r="E59" s="16" t="s">
        <v>27</v>
      </c>
      <c r="F59" s="16" t="s">
        <v>28</v>
      </c>
      <c r="G59" s="25" t="s">
        <v>3074</v>
      </c>
      <c r="H59" s="16" t="s">
        <v>3075</v>
      </c>
      <c r="I59" s="16"/>
      <c r="J59" s="26" t="s">
        <v>3034</v>
      </c>
      <c r="K59" s="27" t="s">
        <v>49</v>
      </c>
      <c r="L59" s="16"/>
      <c r="M59" s="26" t="s">
        <v>3076</v>
      </c>
      <c r="N59" s="23" t="s">
        <v>34</v>
      </c>
      <c r="O59" s="22"/>
    </row>
    <row r="60" ht="150" customHeight="1" spans="1:15">
      <c r="A60" s="13">
        <v>59</v>
      </c>
      <c r="B60" s="14">
        <v>45796</v>
      </c>
      <c r="C60" s="16" t="s">
        <v>68</v>
      </c>
      <c r="D60" s="16" t="str">
        <f>VLOOKUP(E60,[1]Sheet3!A:B,2,0)</f>
        <v>冰箱</v>
      </c>
      <c r="E60" s="16" t="s">
        <v>41</v>
      </c>
      <c r="F60" s="16" t="s">
        <v>28</v>
      </c>
      <c r="G60" s="25" t="s">
        <v>3077</v>
      </c>
      <c r="H60" s="16" t="s">
        <v>3078</v>
      </c>
      <c r="I60" s="16"/>
      <c r="J60" s="26" t="s">
        <v>3079</v>
      </c>
      <c r="K60" s="27" t="s">
        <v>3080</v>
      </c>
      <c r="L60" s="36"/>
      <c r="M60" s="37" t="s">
        <v>3081</v>
      </c>
      <c r="N60" s="38" t="s">
        <v>34</v>
      </c>
      <c r="O60" s="22"/>
    </row>
    <row r="61" ht="49.5" spans="1:15">
      <c r="A61" s="13">
        <v>60</v>
      </c>
      <c r="B61" s="14">
        <v>45796</v>
      </c>
      <c r="C61" s="16" t="s">
        <v>68</v>
      </c>
      <c r="D61" s="16" t="str">
        <f>VLOOKUP(E61,[1]Sheet3!A:B,2,0)</f>
        <v>冰箱</v>
      </c>
      <c r="E61" s="16" t="s">
        <v>41</v>
      </c>
      <c r="F61" s="16" t="s">
        <v>28</v>
      </c>
      <c r="G61" s="25" t="s">
        <v>3082</v>
      </c>
      <c r="H61" s="16" t="s">
        <v>3083</v>
      </c>
      <c r="I61" s="16"/>
      <c r="J61" s="26" t="s">
        <v>3079</v>
      </c>
      <c r="K61" s="27" t="s">
        <v>32</v>
      </c>
      <c r="L61" s="16"/>
      <c r="M61" s="26" t="s">
        <v>3084</v>
      </c>
      <c r="N61" s="23" t="s">
        <v>34</v>
      </c>
      <c r="O61" s="22"/>
    </row>
    <row r="62" ht="148.5" spans="1:15">
      <c r="A62" s="13">
        <v>61</v>
      </c>
      <c r="B62" s="14">
        <v>45796</v>
      </c>
      <c r="C62" s="16" t="s">
        <v>68</v>
      </c>
      <c r="D62" s="16" t="str">
        <f>VLOOKUP(E62,[1]Sheet3!A:B,2,0)</f>
        <v>冰箱</v>
      </c>
      <c r="E62" s="16" t="s">
        <v>41</v>
      </c>
      <c r="F62" s="16" t="s">
        <v>28</v>
      </c>
      <c r="G62" s="25" t="s">
        <v>3085</v>
      </c>
      <c r="H62" s="16" t="s">
        <v>3086</v>
      </c>
      <c r="I62" s="16"/>
      <c r="J62" s="26" t="s">
        <v>3087</v>
      </c>
      <c r="K62" s="27" t="s">
        <v>24</v>
      </c>
      <c r="L62" s="36"/>
      <c r="M62" s="37" t="s">
        <v>3088</v>
      </c>
      <c r="N62" s="38" t="s">
        <v>34</v>
      </c>
      <c r="O62" s="22"/>
    </row>
    <row r="63" ht="82.5" spans="1:15">
      <c r="A63" s="13">
        <v>62</v>
      </c>
      <c r="B63" s="14">
        <v>45797</v>
      </c>
      <c r="C63" s="16" t="s">
        <v>68</v>
      </c>
      <c r="D63" s="16" t="str">
        <f>VLOOKUP(E63,[1]Sheet3!A:B,2,0)</f>
        <v>工业技术</v>
      </c>
      <c r="E63" s="16" t="s">
        <v>165</v>
      </c>
      <c r="F63" s="16" t="s">
        <v>28</v>
      </c>
      <c r="G63" s="25" t="s">
        <v>3089</v>
      </c>
      <c r="H63" s="16" t="s">
        <v>3090</v>
      </c>
      <c r="I63" s="16"/>
      <c r="J63" s="26" t="s">
        <v>3091</v>
      </c>
      <c r="K63" s="27" t="s">
        <v>97</v>
      </c>
      <c r="L63" s="16"/>
      <c r="M63" s="26" t="s">
        <v>3092</v>
      </c>
      <c r="N63" s="23" t="s">
        <v>34</v>
      </c>
      <c r="O63" s="22"/>
    </row>
    <row r="64" ht="75" customHeight="1" spans="1:15">
      <c r="A64" s="13">
        <v>63</v>
      </c>
      <c r="B64" s="14">
        <v>45797</v>
      </c>
      <c r="C64" s="16" t="s">
        <v>68</v>
      </c>
      <c r="D64" s="16" t="str">
        <f>VLOOKUP(E64,[1]Sheet3!A:B,2,0)</f>
        <v>洗衣机</v>
      </c>
      <c r="E64" s="16" t="s">
        <v>27</v>
      </c>
      <c r="F64" s="16" t="s">
        <v>28</v>
      </c>
      <c r="G64" s="25" t="s">
        <v>3093</v>
      </c>
      <c r="H64" s="16" t="s">
        <v>3094</v>
      </c>
      <c r="I64" s="16"/>
      <c r="J64" s="32" t="s">
        <v>3095</v>
      </c>
      <c r="K64" s="27" t="s">
        <v>355</v>
      </c>
      <c r="L64" s="16"/>
      <c r="M64" s="26" t="s">
        <v>3096</v>
      </c>
      <c r="N64" s="23" t="s">
        <v>34</v>
      </c>
      <c r="O64" s="22"/>
    </row>
    <row r="65" ht="64.05" customHeight="1" spans="1:15">
      <c r="A65" s="13">
        <v>64</v>
      </c>
      <c r="B65" s="14">
        <v>45797</v>
      </c>
      <c r="C65" s="16" t="s">
        <v>68</v>
      </c>
      <c r="D65" s="16" t="str">
        <f>VLOOKUP(E65,[1]Sheet3!A:B,2,0)</f>
        <v>洗衣机</v>
      </c>
      <c r="E65" s="16" t="s">
        <v>27</v>
      </c>
      <c r="F65" s="16" t="s">
        <v>28</v>
      </c>
      <c r="G65" s="25" t="s">
        <v>3097</v>
      </c>
      <c r="H65" s="16" t="s">
        <v>3098</v>
      </c>
      <c r="I65" s="16"/>
      <c r="J65" s="35"/>
      <c r="K65" s="27" t="s">
        <v>355</v>
      </c>
      <c r="L65" s="16"/>
      <c r="M65" s="26" t="s">
        <v>3096</v>
      </c>
      <c r="N65" s="23" t="s">
        <v>34</v>
      </c>
      <c r="O65" s="22"/>
    </row>
    <row r="66" ht="33" spans="1:15">
      <c r="A66" s="13">
        <v>65</v>
      </c>
      <c r="B66" s="14">
        <v>45797</v>
      </c>
      <c r="C66" s="16" t="s">
        <v>403</v>
      </c>
      <c r="D66" s="16" t="str">
        <f>VLOOKUP(E66,[1]Sheet3!A:B,2,0)</f>
        <v>家用空调</v>
      </c>
      <c r="E66" s="16" t="s">
        <v>318</v>
      </c>
      <c r="F66" s="16" t="s">
        <v>28</v>
      </c>
      <c r="G66" s="16" t="s">
        <v>3099</v>
      </c>
      <c r="H66" s="16" t="s">
        <v>3100</v>
      </c>
      <c r="I66" s="16"/>
      <c r="J66" s="26" t="s">
        <v>3101</v>
      </c>
      <c r="K66" s="27" t="s">
        <v>3102</v>
      </c>
      <c r="L66" s="16"/>
      <c r="M66" s="26" t="s">
        <v>3103</v>
      </c>
      <c r="N66" s="23" t="s">
        <v>34</v>
      </c>
      <c r="O66" s="22"/>
    </row>
    <row r="67" ht="33" spans="1:15">
      <c r="A67" s="13">
        <v>66</v>
      </c>
      <c r="B67" s="14">
        <v>45797</v>
      </c>
      <c r="C67" s="36" t="s">
        <v>403</v>
      </c>
      <c r="D67" s="16" t="str">
        <f>VLOOKUP(E67,[1]Sheet3!A:B,2,0)</f>
        <v>家用空调</v>
      </c>
      <c r="E67" s="36" t="s">
        <v>318</v>
      </c>
      <c r="F67" s="27" t="s">
        <v>28</v>
      </c>
      <c r="G67" s="16" t="s">
        <v>3099</v>
      </c>
      <c r="H67" s="16" t="s">
        <v>3104</v>
      </c>
      <c r="I67" s="36"/>
      <c r="J67" s="37" t="s">
        <v>3105</v>
      </c>
      <c r="K67" s="27" t="s">
        <v>3106</v>
      </c>
      <c r="L67" s="36"/>
      <c r="M67" s="37" t="s">
        <v>3107</v>
      </c>
      <c r="N67" s="38" t="s">
        <v>34</v>
      </c>
      <c r="O67" s="22"/>
    </row>
    <row r="68" ht="135" customHeight="1" spans="1:15">
      <c r="A68" s="13">
        <v>67</v>
      </c>
      <c r="B68" s="14">
        <v>45797</v>
      </c>
      <c r="C68" s="36" t="s">
        <v>25</v>
      </c>
      <c r="D68" s="16" t="str">
        <f>VLOOKUP(E68,[1]Sheet3!A:B,2,0)</f>
        <v>冰箱</v>
      </c>
      <c r="E68" s="36" t="s">
        <v>41</v>
      </c>
      <c r="F68" s="27" t="s">
        <v>28</v>
      </c>
      <c r="G68" s="115" t="s">
        <v>3108</v>
      </c>
      <c r="H68" s="16" t="s">
        <v>3109</v>
      </c>
      <c r="I68" s="36"/>
      <c r="J68" s="37" t="s">
        <v>3110</v>
      </c>
      <c r="K68" s="27" t="s">
        <v>24</v>
      </c>
      <c r="L68" s="36"/>
      <c r="M68" s="37" t="s">
        <v>3111</v>
      </c>
      <c r="N68" s="38" t="s">
        <v>34</v>
      </c>
      <c r="O68" s="22"/>
    </row>
    <row r="69" ht="78" customHeight="1" spans="1:15">
      <c r="A69" s="13">
        <v>68</v>
      </c>
      <c r="B69" s="14">
        <v>45797</v>
      </c>
      <c r="C69" s="36" t="s">
        <v>25</v>
      </c>
      <c r="D69" s="16" t="str">
        <f>VLOOKUP(E69,[1]Sheet3!A:B,2,0)</f>
        <v>冰箱</v>
      </c>
      <c r="E69" s="36" t="s">
        <v>41</v>
      </c>
      <c r="F69" s="27" t="s">
        <v>28</v>
      </c>
      <c r="G69" s="116" t="s">
        <v>3112</v>
      </c>
      <c r="H69" s="16" t="s">
        <v>3113</v>
      </c>
      <c r="I69" s="36"/>
      <c r="J69" s="37" t="s">
        <v>3114</v>
      </c>
      <c r="K69" s="27" t="s">
        <v>24</v>
      </c>
      <c r="L69" s="36"/>
      <c r="M69" s="37" t="s">
        <v>3115</v>
      </c>
      <c r="N69" s="38" t="s">
        <v>34</v>
      </c>
      <c r="O69" s="22"/>
    </row>
    <row r="70" spans="1:15">
      <c r="A70" s="13">
        <v>69</v>
      </c>
      <c r="B70" s="14">
        <v>45797</v>
      </c>
      <c r="C70" s="36" t="s">
        <v>3116</v>
      </c>
      <c r="D70" s="16" t="str">
        <f>VLOOKUP(E70,[1]Sheet3!A:B,2,0)</f>
        <v>冰箱</v>
      </c>
      <c r="E70" s="36" t="s">
        <v>41</v>
      </c>
      <c r="F70" s="27" t="s">
        <v>28</v>
      </c>
      <c r="G70" s="116" t="s">
        <v>3117</v>
      </c>
      <c r="H70" s="16" t="s">
        <v>3118</v>
      </c>
      <c r="I70" s="36"/>
      <c r="J70" s="30" t="s">
        <v>3119</v>
      </c>
      <c r="K70" s="27" t="s">
        <v>355</v>
      </c>
      <c r="L70" s="36"/>
      <c r="M70" s="37" t="s">
        <v>3120</v>
      </c>
      <c r="N70" s="23" t="s">
        <v>34</v>
      </c>
      <c r="O70" s="22"/>
    </row>
    <row r="71" spans="1:15">
      <c r="A71" s="13">
        <v>70</v>
      </c>
      <c r="B71" s="14">
        <v>45797</v>
      </c>
      <c r="C71" s="36" t="s">
        <v>3116</v>
      </c>
      <c r="D71" s="16" t="str">
        <f>VLOOKUP(E71,[1]Sheet3!A:B,2,0)</f>
        <v>冰箱</v>
      </c>
      <c r="E71" s="36" t="s">
        <v>41</v>
      </c>
      <c r="F71" s="27" t="s">
        <v>28</v>
      </c>
      <c r="G71" s="116" t="s">
        <v>3121</v>
      </c>
      <c r="H71" s="16" t="s">
        <v>3122</v>
      </c>
      <c r="I71" s="36"/>
      <c r="J71" s="39"/>
      <c r="K71" s="27" t="s">
        <v>355</v>
      </c>
      <c r="L71" s="36"/>
      <c r="M71" s="37" t="s">
        <v>3123</v>
      </c>
      <c r="N71" s="23" t="s">
        <v>34</v>
      </c>
      <c r="O71" s="22"/>
    </row>
    <row r="72" spans="1:15">
      <c r="A72" s="13">
        <v>71</v>
      </c>
      <c r="B72" s="14">
        <v>45797</v>
      </c>
      <c r="C72" s="36" t="s">
        <v>3116</v>
      </c>
      <c r="D72" s="16" t="str">
        <f>VLOOKUP(E72,[1]Sheet3!A:B,2,0)</f>
        <v>冰箱</v>
      </c>
      <c r="E72" s="36" t="s">
        <v>41</v>
      </c>
      <c r="F72" s="27" t="s">
        <v>28</v>
      </c>
      <c r="G72" s="116" t="s">
        <v>3124</v>
      </c>
      <c r="H72" s="16" t="s">
        <v>3125</v>
      </c>
      <c r="I72" s="36"/>
      <c r="J72" s="39"/>
      <c r="K72" s="27" t="s">
        <v>355</v>
      </c>
      <c r="L72" s="36"/>
      <c r="M72" s="37" t="s">
        <v>3123</v>
      </c>
      <c r="N72" s="23" t="s">
        <v>34</v>
      </c>
      <c r="O72" s="22"/>
    </row>
    <row r="73" spans="1:15">
      <c r="A73" s="13">
        <v>72</v>
      </c>
      <c r="B73" s="14">
        <v>45797</v>
      </c>
      <c r="C73" s="36" t="s">
        <v>3116</v>
      </c>
      <c r="D73" s="16" t="str">
        <f>VLOOKUP(E73,[1]Sheet3!A:B,2,0)</f>
        <v>冰箱</v>
      </c>
      <c r="E73" s="36" t="s">
        <v>41</v>
      </c>
      <c r="F73" s="27" t="s">
        <v>28</v>
      </c>
      <c r="G73" s="116" t="s">
        <v>3126</v>
      </c>
      <c r="H73" s="16" t="s">
        <v>3127</v>
      </c>
      <c r="I73" s="36"/>
      <c r="J73" s="39"/>
      <c r="K73" s="27" t="s">
        <v>355</v>
      </c>
      <c r="L73" s="36"/>
      <c r="M73" s="37" t="s">
        <v>3128</v>
      </c>
      <c r="N73" s="23" t="s">
        <v>34</v>
      </c>
      <c r="O73" s="22"/>
    </row>
    <row r="74" spans="1:15">
      <c r="A74" s="13">
        <v>73</v>
      </c>
      <c r="B74" s="14">
        <v>45797</v>
      </c>
      <c r="C74" s="36" t="s">
        <v>3116</v>
      </c>
      <c r="D74" s="16" t="str">
        <f>VLOOKUP(E74,[1]Sheet3!A:B,2,0)</f>
        <v>冰箱</v>
      </c>
      <c r="E74" s="36" t="s">
        <v>41</v>
      </c>
      <c r="F74" s="27" t="s">
        <v>28</v>
      </c>
      <c r="G74" s="116" t="s">
        <v>3129</v>
      </c>
      <c r="H74" s="16" t="s">
        <v>3130</v>
      </c>
      <c r="I74" s="36"/>
      <c r="J74" s="33"/>
      <c r="K74" s="27" t="s">
        <v>355</v>
      </c>
      <c r="L74" s="36"/>
      <c r="M74" s="37" t="s">
        <v>3131</v>
      </c>
      <c r="N74" s="23" t="s">
        <v>34</v>
      </c>
      <c r="O74" s="22"/>
    </row>
    <row r="75" ht="33" spans="1:15">
      <c r="A75" s="13">
        <v>74</v>
      </c>
      <c r="B75" s="14">
        <v>45798</v>
      </c>
      <c r="C75" s="16" t="s">
        <v>25</v>
      </c>
      <c r="D75" s="16" t="str">
        <f>VLOOKUP(E75,[1]Sheet3!A:B,2,0)</f>
        <v>微波和清洁</v>
      </c>
      <c r="E75" s="16" t="s">
        <v>223</v>
      </c>
      <c r="F75" s="16" t="s">
        <v>28</v>
      </c>
      <c r="G75" s="25" t="s">
        <v>3132</v>
      </c>
      <c r="H75" s="16" t="s">
        <v>3133</v>
      </c>
      <c r="I75" s="16"/>
      <c r="J75" s="26" t="s">
        <v>3134</v>
      </c>
      <c r="K75" s="27" t="s">
        <v>355</v>
      </c>
      <c r="L75" s="16"/>
      <c r="M75" s="26" t="s">
        <v>3058</v>
      </c>
      <c r="N75" s="23" t="s">
        <v>34</v>
      </c>
      <c r="O75" s="22"/>
    </row>
    <row r="76" ht="33" spans="1:15">
      <c r="A76" s="13">
        <v>75</v>
      </c>
      <c r="B76" s="14">
        <v>45798</v>
      </c>
      <c r="C76" s="16" t="s">
        <v>25</v>
      </c>
      <c r="D76" s="16" t="str">
        <f>VLOOKUP(E76,[1]Sheet3!A:B,2,0)</f>
        <v>微波和清洁</v>
      </c>
      <c r="E76" s="16" t="s">
        <v>223</v>
      </c>
      <c r="F76" s="16" t="s">
        <v>28</v>
      </c>
      <c r="G76" s="25" t="s">
        <v>3135</v>
      </c>
      <c r="H76" s="16" t="s">
        <v>3136</v>
      </c>
      <c r="I76" s="16"/>
      <c r="J76" s="26" t="s">
        <v>3137</v>
      </c>
      <c r="K76" s="27" t="s">
        <v>355</v>
      </c>
      <c r="L76" s="16"/>
      <c r="M76" s="26" t="s">
        <v>3058</v>
      </c>
      <c r="N76" s="23" t="s">
        <v>34</v>
      </c>
      <c r="O76" s="22"/>
    </row>
    <row r="77" ht="49.5" spans="1:15">
      <c r="A77" s="13">
        <v>76</v>
      </c>
      <c r="B77" s="14">
        <v>45798</v>
      </c>
      <c r="C77" s="16" t="s">
        <v>25</v>
      </c>
      <c r="D77" s="16" t="str">
        <f>VLOOKUP(E77,[1]Sheet3!A:B,2,0)</f>
        <v>微波和清洁</v>
      </c>
      <c r="E77" s="16" t="s">
        <v>223</v>
      </c>
      <c r="F77" s="16" t="s">
        <v>28</v>
      </c>
      <c r="G77" s="25" t="s">
        <v>3138</v>
      </c>
      <c r="H77" s="16" t="s">
        <v>3139</v>
      </c>
      <c r="I77" s="16"/>
      <c r="J77" s="26" t="s">
        <v>3140</v>
      </c>
      <c r="K77" s="27" t="s">
        <v>355</v>
      </c>
      <c r="L77" s="16"/>
      <c r="M77" s="26" t="s">
        <v>3058</v>
      </c>
      <c r="N77" s="23" t="s">
        <v>34</v>
      </c>
      <c r="O77" s="22"/>
    </row>
    <row r="78" ht="33" spans="1:15">
      <c r="A78" s="13">
        <v>77</v>
      </c>
      <c r="B78" s="14">
        <v>45798</v>
      </c>
      <c r="C78" s="16" t="s">
        <v>25</v>
      </c>
      <c r="D78" s="16" t="str">
        <f>VLOOKUP(E78,[1]Sheet3!A:B,2,0)</f>
        <v>微波和清洁</v>
      </c>
      <c r="E78" s="16" t="s">
        <v>223</v>
      </c>
      <c r="F78" s="16" t="s">
        <v>28</v>
      </c>
      <c r="G78" s="25" t="s">
        <v>3141</v>
      </c>
      <c r="H78" s="16" t="s">
        <v>3142</v>
      </c>
      <c r="I78" s="16"/>
      <c r="J78" s="26" t="s">
        <v>3143</v>
      </c>
      <c r="K78" s="27" t="s">
        <v>355</v>
      </c>
      <c r="L78" s="16"/>
      <c r="M78" s="26" t="s">
        <v>3058</v>
      </c>
      <c r="N78" s="23" t="s">
        <v>34</v>
      </c>
      <c r="O78" s="22"/>
    </row>
    <row r="79" ht="34.95" customHeight="1" spans="1:15">
      <c r="A79" s="13">
        <v>78</v>
      </c>
      <c r="B79" s="14">
        <v>45798</v>
      </c>
      <c r="C79" s="16" t="s">
        <v>25</v>
      </c>
      <c r="D79" s="16" t="str">
        <f>VLOOKUP(E79,[1]Sheet3!A:B,2,0)</f>
        <v>洗衣机</v>
      </c>
      <c r="E79" s="16" t="s">
        <v>35</v>
      </c>
      <c r="F79" s="16" t="s">
        <v>28</v>
      </c>
      <c r="G79" s="25" t="s">
        <v>3144</v>
      </c>
      <c r="H79" s="16" t="s">
        <v>3145</v>
      </c>
      <c r="I79" s="16"/>
      <c r="J79" s="16" t="s">
        <v>3146</v>
      </c>
      <c r="K79" s="27" t="s">
        <v>355</v>
      </c>
      <c r="L79" s="16"/>
      <c r="M79" s="16" t="s">
        <v>3147</v>
      </c>
      <c r="N79" s="23" t="s">
        <v>34</v>
      </c>
      <c r="O79" s="22"/>
    </row>
    <row r="80" ht="49.5" spans="1:15">
      <c r="A80" s="13">
        <v>79</v>
      </c>
      <c r="B80" s="14">
        <v>45798</v>
      </c>
      <c r="C80" s="16" t="s">
        <v>68</v>
      </c>
      <c r="D80" s="16" t="str">
        <f>VLOOKUP(E80,[1]Sheet3!A:B,2,0)</f>
        <v>洗衣机</v>
      </c>
      <c r="E80" s="16" t="s">
        <v>35</v>
      </c>
      <c r="F80" s="16" t="s">
        <v>28</v>
      </c>
      <c r="G80" s="25" t="s">
        <v>3148</v>
      </c>
      <c r="H80" s="16" t="s">
        <v>3149</v>
      </c>
      <c r="I80" s="16"/>
      <c r="J80" s="26" t="s">
        <v>3150</v>
      </c>
      <c r="K80" s="27" t="s">
        <v>355</v>
      </c>
      <c r="L80" s="16"/>
      <c r="M80" s="16" t="s">
        <v>3151</v>
      </c>
      <c r="N80" s="23" t="s">
        <v>34</v>
      </c>
      <c r="O80" s="22"/>
    </row>
    <row r="81" ht="33" spans="1:15">
      <c r="A81" s="13">
        <v>80</v>
      </c>
      <c r="B81" s="14">
        <v>45800</v>
      </c>
      <c r="C81" s="16" t="s">
        <v>25</v>
      </c>
      <c r="D81" s="16" t="str">
        <f>VLOOKUP(E81,[1]Sheet3!A:B,2,0)</f>
        <v>洗衣机</v>
      </c>
      <c r="E81" s="16" t="s">
        <v>27</v>
      </c>
      <c r="F81" s="16" t="s">
        <v>28</v>
      </c>
      <c r="G81" s="25" t="s">
        <v>3152</v>
      </c>
      <c r="H81" s="16">
        <v>252928199</v>
      </c>
      <c r="I81" s="16"/>
      <c r="J81" s="40" t="s">
        <v>3153</v>
      </c>
      <c r="K81" s="27" t="s">
        <v>355</v>
      </c>
      <c r="L81" s="16"/>
      <c r="M81" s="16" t="s">
        <v>3154</v>
      </c>
      <c r="N81" s="23" t="s">
        <v>34</v>
      </c>
      <c r="O81" s="22"/>
    </row>
    <row r="82" spans="1:15">
      <c r="A82" s="13">
        <v>81</v>
      </c>
      <c r="B82" s="14">
        <v>45800</v>
      </c>
      <c r="C82" s="16" t="s">
        <v>68</v>
      </c>
      <c r="D82" s="16" t="str">
        <f>VLOOKUP(E82,[1]Sheet3!A:B,2,0)</f>
        <v>洗衣机</v>
      </c>
      <c r="E82" s="16" t="s">
        <v>660</v>
      </c>
      <c r="F82" s="16" t="s">
        <v>28</v>
      </c>
      <c r="G82" s="25" t="s">
        <v>3155</v>
      </c>
      <c r="H82" s="16" t="s">
        <v>3156</v>
      </c>
      <c r="I82" s="16"/>
      <c r="J82" s="16" t="s">
        <v>3157</v>
      </c>
      <c r="K82" s="27" t="s">
        <v>355</v>
      </c>
      <c r="L82" s="16"/>
      <c r="M82" s="16" t="s">
        <v>3158</v>
      </c>
      <c r="N82" s="23" t="s">
        <v>34</v>
      </c>
      <c r="O82" s="22"/>
    </row>
    <row r="83" spans="1:15">
      <c r="A83" s="13">
        <v>82</v>
      </c>
      <c r="B83" s="14">
        <v>45800</v>
      </c>
      <c r="C83" s="16" t="s">
        <v>68</v>
      </c>
      <c r="D83" s="16" t="str">
        <f>VLOOKUP(E83,[1]Sheet3!A:B,2,0)</f>
        <v>洗衣机</v>
      </c>
      <c r="E83" s="16" t="s">
        <v>660</v>
      </c>
      <c r="F83" s="16" t="s">
        <v>28</v>
      </c>
      <c r="G83" s="25" t="s">
        <v>3159</v>
      </c>
      <c r="H83" s="16" t="s">
        <v>3160</v>
      </c>
      <c r="I83" s="16"/>
      <c r="J83" s="16" t="s">
        <v>3157</v>
      </c>
      <c r="K83" s="27" t="s">
        <v>355</v>
      </c>
      <c r="L83" s="16"/>
      <c r="M83" s="16" t="s">
        <v>3158</v>
      </c>
      <c r="N83" s="23" t="s">
        <v>34</v>
      </c>
      <c r="O83" s="22"/>
    </row>
    <row r="84" ht="99" spans="1:15">
      <c r="A84" s="13">
        <v>83</v>
      </c>
      <c r="B84" s="14">
        <v>45802</v>
      </c>
      <c r="C84" s="16" t="s">
        <v>49</v>
      </c>
      <c r="D84" s="16" t="str">
        <f>VLOOKUP(E84,[1]Sheet3!A:B,2,0)</f>
        <v>洗衣机</v>
      </c>
      <c r="E84" s="16" t="s">
        <v>35</v>
      </c>
      <c r="F84" s="16" t="s">
        <v>28</v>
      </c>
      <c r="G84" s="25" t="s">
        <v>3161</v>
      </c>
      <c r="H84" s="16" t="s">
        <v>3162</v>
      </c>
      <c r="I84" s="16"/>
      <c r="J84" s="26" t="s">
        <v>3163</v>
      </c>
      <c r="K84" s="27" t="s">
        <v>49</v>
      </c>
      <c r="L84" s="16"/>
      <c r="M84" s="26" t="s">
        <v>3164</v>
      </c>
      <c r="N84" s="23" t="s">
        <v>34</v>
      </c>
      <c r="O84" s="22"/>
    </row>
    <row r="85" ht="49.5" spans="1:15">
      <c r="A85" s="13">
        <v>84</v>
      </c>
      <c r="B85" s="14">
        <v>45803</v>
      </c>
      <c r="C85" s="16" t="s">
        <v>25</v>
      </c>
      <c r="D85" s="16" t="str">
        <f>VLOOKUP(E85,[1]Sheet3!A:B,2,0)</f>
        <v>采购中心</v>
      </c>
      <c r="E85" s="16" t="s">
        <v>108</v>
      </c>
      <c r="F85" s="16" t="s">
        <v>28</v>
      </c>
      <c r="G85" s="25" t="s">
        <v>3165</v>
      </c>
      <c r="H85" s="16" t="s">
        <v>3166</v>
      </c>
      <c r="I85" s="16"/>
      <c r="J85" s="26" t="s">
        <v>3167</v>
      </c>
      <c r="K85" s="27" t="s">
        <v>24</v>
      </c>
      <c r="L85" s="16"/>
      <c r="M85" s="26" t="s">
        <v>3168</v>
      </c>
      <c r="N85" s="23" t="s">
        <v>34</v>
      </c>
      <c r="O85" s="22"/>
    </row>
    <row r="86" ht="165" spans="1:15">
      <c r="A86" s="13">
        <v>85</v>
      </c>
      <c r="B86" s="14">
        <v>45803</v>
      </c>
      <c r="C86" s="16" t="s">
        <v>25</v>
      </c>
      <c r="D86" s="16" t="str">
        <f>VLOOKUP(E86,[1]Sheet3!A:B,2,0)</f>
        <v>厨热</v>
      </c>
      <c r="E86" s="16" t="s">
        <v>154</v>
      </c>
      <c r="F86" s="16" t="s">
        <v>28</v>
      </c>
      <c r="G86" s="25" t="s">
        <v>3169</v>
      </c>
      <c r="H86" s="16">
        <v>253639404</v>
      </c>
      <c r="I86" s="16"/>
      <c r="J86" s="26" t="s">
        <v>3170</v>
      </c>
      <c r="K86" s="27" t="s">
        <v>24</v>
      </c>
      <c r="L86" s="16"/>
      <c r="M86" s="26" t="s">
        <v>3171</v>
      </c>
      <c r="N86" s="23" t="s">
        <v>34</v>
      </c>
      <c r="O86" s="22"/>
    </row>
    <row r="87" spans="1:15">
      <c r="A87" s="13">
        <v>86</v>
      </c>
      <c r="B87" s="14">
        <v>45803</v>
      </c>
      <c r="C87" s="16" t="s">
        <v>49</v>
      </c>
      <c r="D87" s="16" t="str">
        <f>VLOOKUP(E87,[1]Sheet3!A:B,2,0)</f>
        <v>洗衣机</v>
      </c>
      <c r="E87" s="16" t="s">
        <v>35</v>
      </c>
      <c r="F87" s="16" t="s">
        <v>28</v>
      </c>
      <c r="G87" s="25" t="s">
        <v>3172</v>
      </c>
      <c r="H87" s="16" t="s">
        <v>3173</v>
      </c>
      <c r="I87" s="16"/>
      <c r="J87" s="16" t="s">
        <v>3174</v>
      </c>
      <c r="K87" s="27" t="s">
        <v>49</v>
      </c>
      <c r="L87" s="16"/>
      <c r="M87" s="16" t="s">
        <v>3175</v>
      </c>
      <c r="N87" s="23" t="s">
        <v>34</v>
      </c>
      <c r="O87" s="22"/>
    </row>
    <row r="88" spans="1:15">
      <c r="A88" s="13">
        <v>87</v>
      </c>
      <c r="B88" s="14">
        <v>45803</v>
      </c>
      <c r="C88" s="16" t="s">
        <v>49</v>
      </c>
      <c r="D88" s="16" t="str">
        <f>VLOOKUP(E88,[1]Sheet3!A:B,2,0)</f>
        <v>厨热</v>
      </c>
      <c r="E88" s="16" t="s">
        <v>411</v>
      </c>
      <c r="F88" s="16" t="s">
        <v>28</v>
      </c>
      <c r="G88" s="25" t="s">
        <v>3176</v>
      </c>
      <c r="H88" s="16">
        <v>253841212</v>
      </c>
      <c r="I88" s="16"/>
      <c r="J88" s="16" t="s">
        <v>3177</v>
      </c>
      <c r="K88" s="27" t="s">
        <v>49</v>
      </c>
      <c r="L88" s="16"/>
      <c r="M88" s="16" t="s">
        <v>3178</v>
      </c>
      <c r="N88" s="23" t="s">
        <v>34</v>
      </c>
      <c r="O88" s="22"/>
    </row>
    <row r="89" spans="1:15">
      <c r="A89" s="13">
        <v>88</v>
      </c>
      <c r="B89" s="14">
        <v>45803</v>
      </c>
      <c r="C89" s="16" t="s">
        <v>49</v>
      </c>
      <c r="D89" s="16" t="str">
        <f>VLOOKUP(E89,[1]Sheet3!A:B,2,0)</f>
        <v>洗衣机</v>
      </c>
      <c r="E89" s="16" t="s">
        <v>27</v>
      </c>
      <c r="F89" s="16" t="s">
        <v>28</v>
      </c>
      <c r="G89" s="25" t="s">
        <v>3179</v>
      </c>
      <c r="H89" s="16" t="s">
        <v>3180</v>
      </c>
      <c r="I89" s="16"/>
      <c r="J89" s="16" t="s">
        <v>3181</v>
      </c>
      <c r="K89" s="27" t="s">
        <v>49</v>
      </c>
      <c r="L89" s="16"/>
      <c r="M89" s="16" t="s">
        <v>3182</v>
      </c>
      <c r="N89" s="23" t="s">
        <v>34</v>
      </c>
      <c r="O89" s="22"/>
    </row>
    <row r="90" spans="1:15">
      <c r="A90" s="13">
        <v>89</v>
      </c>
      <c r="B90" s="14">
        <v>45804</v>
      </c>
      <c r="C90" s="16" t="s">
        <v>49</v>
      </c>
      <c r="D90" s="16" t="str">
        <f>VLOOKUP(E90,[1]Sheet3!A:B,2,0)</f>
        <v>洗衣机</v>
      </c>
      <c r="E90" s="16" t="s">
        <v>35</v>
      </c>
      <c r="F90" s="16" t="s">
        <v>28</v>
      </c>
      <c r="G90" s="25" t="s">
        <v>3183</v>
      </c>
      <c r="H90" s="16" t="s">
        <v>3184</v>
      </c>
      <c r="I90" s="16"/>
      <c r="J90" s="16" t="s">
        <v>3185</v>
      </c>
      <c r="K90" s="27" t="s">
        <v>49</v>
      </c>
      <c r="L90" s="16"/>
      <c r="M90" s="16" t="s">
        <v>3175</v>
      </c>
      <c r="N90" s="23" t="s">
        <v>34</v>
      </c>
      <c r="O90" s="22"/>
    </row>
    <row r="91" ht="33" spans="1:15">
      <c r="A91" s="13">
        <v>90</v>
      </c>
      <c r="B91" s="14">
        <v>45804</v>
      </c>
      <c r="C91" s="16" t="s">
        <v>25</v>
      </c>
      <c r="D91" s="16" t="str">
        <f>VLOOKUP(E91,[1]Sheet3!A:B,2,0)</f>
        <v>洗衣机</v>
      </c>
      <c r="E91" s="16" t="s">
        <v>35</v>
      </c>
      <c r="F91" s="16" t="s">
        <v>28</v>
      </c>
      <c r="G91" s="25" t="s">
        <v>3186</v>
      </c>
      <c r="H91" s="16" t="s">
        <v>3187</v>
      </c>
      <c r="I91" s="16"/>
      <c r="J91" s="16" t="s">
        <v>3188</v>
      </c>
      <c r="K91" s="27" t="s">
        <v>355</v>
      </c>
      <c r="L91" s="16"/>
      <c r="M91" s="26" t="s">
        <v>3189</v>
      </c>
      <c r="N91" s="23" t="s">
        <v>34</v>
      </c>
      <c r="O91" s="22"/>
    </row>
    <row r="92" ht="49.5" spans="1:15">
      <c r="A92" s="13">
        <v>91</v>
      </c>
      <c r="B92" s="14">
        <v>45804</v>
      </c>
      <c r="C92" s="16" t="s">
        <v>25</v>
      </c>
      <c r="D92" s="16" t="str">
        <f>VLOOKUP(E92,[1]Sheet3!A:B,2,0)</f>
        <v>洗衣机</v>
      </c>
      <c r="E92" s="16" t="s">
        <v>27</v>
      </c>
      <c r="F92" s="16" t="s">
        <v>28</v>
      </c>
      <c r="G92" s="25" t="s">
        <v>3190</v>
      </c>
      <c r="H92" s="16" t="s">
        <v>3191</v>
      </c>
      <c r="I92" s="16"/>
      <c r="J92" s="26" t="s">
        <v>3192</v>
      </c>
      <c r="K92" s="27" t="s">
        <v>207</v>
      </c>
      <c r="L92" s="16"/>
      <c r="M92" s="26" t="s">
        <v>3193</v>
      </c>
      <c r="N92" s="23" t="s">
        <v>34</v>
      </c>
      <c r="O92" s="22"/>
    </row>
    <row r="93" ht="49.5" spans="1:15">
      <c r="A93" s="13">
        <v>92</v>
      </c>
      <c r="B93" s="14">
        <v>45804</v>
      </c>
      <c r="C93" s="16" t="s">
        <v>25</v>
      </c>
      <c r="D93" s="16" t="str">
        <f>VLOOKUP(E93,[1]Sheet3!A:B,2,0)</f>
        <v>洗衣机</v>
      </c>
      <c r="E93" s="16" t="s">
        <v>27</v>
      </c>
      <c r="F93" s="16" t="s">
        <v>28</v>
      </c>
      <c r="G93" s="25" t="s">
        <v>3194</v>
      </c>
      <c r="H93" s="16" t="s">
        <v>3195</v>
      </c>
      <c r="I93" s="16"/>
      <c r="J93" s="26" t="s">
        <v>3192</v>
      </c>
      <c r="K93" s="27" t="s">
        <v>207</v>
      </c>
      <c r="L93" s="16"/>
      <c r="M93" s="26" t="s">
        <v>3193</v>
      </c>
      <c r="N93" s="23" t="s">
        <v>34</v>
      </c>
      <c r="O93" s="22"/>
    </row>
    <row r="94" ht="66" spans="1:15">
      <c r="A94" s="13">
        <v>93</v>
      </c>
      <c r="B94" s="14">
        <v>45805</v>
      </c>
      <c r="C94" s="16" t="s">
        <v>25</v>
      </c>
      <c r="D94" s="16" t="str">
        <f>VLOOKUP(E94,[1]Sheet3!A:B,2,0)</f>
        <v>冰箱</v>
      </c>
      <c r="E94" s="16" t="s">
        <v>41</v>
      </c>
      <c r="F94" s="16" t="s">
        <v>28</v>
      </c>
      <c r="G94" s="25" t="s">
        <v>3196</v>
      </c>
      <c r="H94" s="16" t="s">
        <v>3197</v>
      </c>
      <c r="I94" s="16"/>
      <c r="J94" s="26" t="s">
        <v>3198</v>
      </c>
      <c r="K94" s="27" t="s">
        <v>3199</v>
      </c>
      <c r="L94" s="16"/>
      <c r="M94" s="26" t="s">
        <v>3200</v>
      </c>
      <c r="N94" s="23" t="s">
        <v>34</v>
      </c>
      <c r="O94" s="22"/>
    </row>
    <row r="95" ht="33" spans="1:15">
      <c r="A95" s="13">
        <v>94</v>
      </c>
      <c r="B95" s="14">
        <v>45805</v>
      </c>
      <c r="C95" s="16" t="s">
        <v>68</v>
      </c>
      <c r="D95" s="16" t="str">
        <f>VLOOKUP(E95,[1]Sheet3!A:B,2,0)</f>
        <v>冰箱</v>
      </c>
      <c r="E95" s="16" t="s">
        <v>41</v>
      </c>
      <c r="F95" s="16" t="s">
        <v>28</v>
      </c>
      <c r="G95" s="25" t="s">
        <v>3201</v>
      </c>
      <c r="H95" s="16" t="s">
        <v>3202</v>
      </c>
      <c r="I95" s="16"/>
      <c r="J95" s="26" t="s">
        <v>3203</v>
      </c>
      <c r="K95" s="27" t="s">
        <v>24</v>
      </c>
      <c r="L95" s="16"/>
      <c r="M95" s="26" t="s">
        <v>3204</v>
      </c>
      <c r="N95" s="23" t="s">
        <v>34</v>
      </c>
      <c r="O95" s="22"/>
    </row>
    <row r="96" ht="66" spans="1:15">
      <c r="A96" s="13">
        <v>95</v>
      </c>
      <c r="B96" s="14">
        <v>45805</v>
      </c>
      <c r="C96" s="16" t="s">
        <v>403</v>
      </c>
      <c r="D96" s="16" t="str">
        <f>VLOOKUP(E96,[1]Sheet3!A:B,2,0)</f>
        <v>美的国际</v>
      </c>
      <c r="E96" s="16" t="s">
        <v>2866</v>
      </c>
      <c r="F96" s="16" t="s">
        <v>28</v>
      </c>
      <c r="G96" s="25" t="s">
        <v>3205</v>
      </c>
      <c r="H96" s="16" t="s">
        <v>3206</v>
      </c>
      <c r="I96" s="16"/>
      <c r="J96" s="26" t="s">
        <v>3207</v>
      </c>
      <c r="K96" s="27" t="s">
        <v>24</v>
      </c>
      <c r="L96" s="16"/>
      <c r="M96" s="26" t="s">
        <v>3208</v>
      </c>
      <c r="N96" s="23" t="s">
        <v>34</v>
      </c>
      <c r="O96" s="22"/>
    </row>
    <row r="97" ht="33" spans="1:15">
      <c r="A97" s="13">
        <v>96</v>
      </c>
      <c r="B97" s="14">
        <v>45805</v>
      </c>
      <c r="C97" s="16" t="s">
        <v>49</v>
      </c>
      <c r="D97" s="16" t="str">
        <f>VLOOKUP(E97,[1]Sheet3!A:B,2,0)</f>
        <v>工业技术</v>
      </c>
      <c r="E97" s="16" t="s">
        <v>416</v>
      </c>
      <c r="F97" s="16" t="s">
        <v>28</v>
      </c>
      <c r="G97" s="25" t="s">
        <v>3209</v>
      </c>
      <c r="H97" s="16" t="s">
        <v>3210</v>
      </c>
      <c r="I97" s="16"/>
      <c r="J97" s="16" t="s">
        <v>3211</v>
      </c>
      <c r="K97" s="27" t="s">
        <v>49</v>
      </c>
      <c r="L97" s="16"/>
      <c r="M97" s="26" t="s">
        <v>3212</v>
      </c>
      <c r="N97" s="23" t="s">
        <v>34</v>
      </c>
      <c r="O97" s="22"/>
    </row>
    <row r="98" spans="1:15">
      <c r="A98" s="13">
        <v>97</v>
      </c>
      <c r="B98" s="14">
        <v>45805</v>
      </c>
      <c r="C98" s="16" t="s">
        <v>49</v>
      </c>
      <c r="D98" s="16" t="str">
        <f>VLOOKUP(E98,[1]Sheet3!A:B,2,0)</f>
        <v>冰箱</v>
      </c>
      <c r="E98" s="16" t="s">
        <v>41</v>
      </c>
      <c r="F98" s="16" t="s">
        <v>28</v>
      </c>
      <c r="G98" s="25" t="s">
        <v>3213</v>
      </c>
      <c r="H98" s="16">
        <v>285621345</v>
      </c>
      <c r="I98" s="16"/>
      <c r="J98" s="16" t="s">
        <v>3214</v>
      </c>
      <c r="K98" s="27" t="s">
        <v>49</v>
      </c>
      <c r="L98" s="16"/>
      <c r="M98" s="26" t="s">
        <v>3215</v>
      </c>
      <c r="N98" s="23" t="s">
        <v>34</v>
      </c>
      <c r="O98" s="22"/>
    </row>
    <row r="99" spans="1:15">
      <c r="A99" s="13">
        <v>98</v>
      </c>
      <c r="B99" s="14">
        <v>45806</v>
      </c>
      <c r="C99" s="16" t="s">
        <v>49</v>
      </c>
      <c r="D99" s="16" t="str">
        <f>VLOOKUP(E99,[1]Sheet3!A:B,2,0)</f>
        <v>洗衣机</v>
      </c>
      <c r="E99" s="16" t="s">
        <v>27</v>
      </c>
      <c r="F99" s="16" t="s">
        <v>28</v>
      </c>
      <c r="G99" s="25" t="s">
        <v>3216</v>
      </c>
      <c r="H99" s="16" t="s">
        <v>3217</v>
      </c>
      <c r="I99" s="16"/>
      <c r="J99" s="16" t="s">
        <v>3218</v>
      </c>
      <c r="K99" s="27" t="s">
        <v>49</v>
      </c>
      <c r="L99" s="16"/>
      <c r="M99" s="26" t="s">
        <v>3215</v>
      </c>
      <c r="N99" s="23" t="s">
        <v>34</v>
      </c>
      <c r="O99" s="22"/>
    </row>
    <row r="100" ht="33" spans="1:15">
      <c r="A100" s="13">
        <v>99</v>
      </c>
      <c r="B100" s="14">
        <v>45806</v>
      </c>
      <c r="C100" s="16" t="s">
        <v>403</v>
      </c>
      <c r="D100" s="16" t="str">
        <f>VLOOKUP(E100,[1]Sheet3!A:B,2,0)</f>
        <v>冰箱</v>
      </c>
      <c r="E100" s="16" t="s">
        <v>41</v>
      </c>
      <c r="F100" s="16" t="s">
        <v>28</v>
      </c>
      <c r="G100" s="25" t="s">
        <v>3219</v>
      </c>
      <c r="H100" s="16" t="s">
        <v>3220</v>
      </c>
      <c r="I100" s="16"/>
      <c r="J100" s="26" t="s">
        <v>3221</v>
      </c>
      <c r="K100" s="27" t="s">
        <v>24</v>
      </c>
      <c r="L100" s="16"/>
      <c r="M100" s="26" t="s">
        <v>3222</v>
      </c>
      <c r="N100" s="23" t="s">
        <v>34</v>
      </c>
      <c r="O100" s="22"/>
    </row>
    <row r="101" ht="33" spans="1:15">
      <c r="A101" s="13">
        <v>100</v>
      </c>
      <c r="B101" s="14">
        <v>45806</v>
      </c>
      <c r="C101" s="16" t="s">
        <v>25</v>
      </c>
      <c r="D101" s="16" t="e">
        <f>VLOOKUP(E101,[1]Sheet3!A:B,2,0)</f>
        <v>#N/A</v>
      </c>
      <c r="E101" s="16" t="s">
        <v>3223</v>
      </c>
      <c r="F101" s="16" t="s">
        <v>28</v>
      </c>
      <c r="G101" s="25" t="s">
        <v>3224</v>
      </c>
      <c r="H101" s="16" t="s">
        <v>3225</v>
      </c>
      <c r="I101" s="16"/>
      <c r="J101" s="26" t="s">
        <v>3226</v>
      </c>
      <c r="K101" s="27" t="s">
        <v>355</v>
      </c>
      <c r="L101" s="16"/>
      <c r="M101" s="26" t="s">
        <v>3227</v>
      </c>
      <c r="N101" s="23" t="s">
        <v>34</v>
      </c>
      <c r="O101" s="22"/>
    </row>
    <row r="102" ht="99" spans="1:15">
      <c r="A102" s="13">
        <v>101</v>
      </c>
      <c r="B102" s="14">
        <v>45807</v>
      </c>
      <c r="C102" s="16" t="s">
        <v>68</v>
      </c>
      <c r="D102" s="16" t="str">
        <f>VLOOKUP(E102,[1]Sheet3!A:B,2,0)</f>
        <v>采购中心</v>
      </c>
      <c r="E102" s="16" t="s">
        <v>108</v>
      </c>
      <c r="F102" s="16" t="s">
        <v>28</v>
      </c>
      <c r="G102" s="25" t="s">
        <v>3228</v>
      </c>
      <c r="H102" s="16" t="s">
        <v>3229</v>
      </c>
      <c r="I102" s="16"/>
      <c r="J102" s="26" t="s">
        <v>3230</v>
      </c>
      <c r="K102" s="27" t="s">
        <v>24</v>
      </c>
      <c r="L102" s="16"/>
      <c r="M102" s="26" t="s">
        <v>3231</v>
      </c>
      <c r="N102" s="23" t="s">
        <v>34</v>
      </c>
      <c r="O102" s="22"/>
    </row>
    <row r="103" ht="33" spans="1:15">
      <c r="A103" s="13">
        <v>102</v>
      </c>
      <c r="B103" s="14">
        <v>45811</v>
      </c>
      <c r="C103" s="16" t="s">
        <v>25</v>
      </c>
      <c r="D103" s="16" t="str">
        <f>VLOOKUP(E103,[1]Sheet3!A:B,2,0)</f>
        <v>微波和清洁</v>
      </c>
      <c r="E103" s="16" t="s">
        <v>223</v>
      </c>
      <c r="F103" s="16" t="s">
        <v>28</v>
      </c>
      <c r="G103" s="25" t="s">
        <v>3232</v>
      </c>
      <c r="H103" s="16" t="s">
        <v>3233</v>
      </c>
      <c r="I103" s="16"/>
      <c r="J103" s="26" t="s">
        <v>3234</v>
      </c>
      <c r="K103" s="27" t="s">
        <v>24</v>
      </c>
      <c r="L103" s="16"/>
      <c r="M103" s="26" t="s">
        <v>3235</v>
      </c>
      <c r="N103" s="23" t="s">
        <v>34</v>
      </c>
      <c r="O103" s="22"/>
    </row>
    <row r="104" ht="66" spans="1:15">
      <c r="A104" s="13">
        <v>103</v>
      </c>
      <c r="B104" s="14">
        <v>45811</v>
      </c>
      <c r="C104" s="16" t="s">
        <v>403</v>
      </c>
      <c r="D104" s="16" t="str">
        <f>VLOOKUP(E104,[1]Sheet3!A:B,2,0)</f>
        <v>厨热</v>
      </c>
      <c r="E104" s="16" t="s">
        <v>411</v>
      </c>
      <c r="F104" s="16" t="s">
        <v>28</v>
      </c>
      <c r="G104" s="25" t="s">
        <v>3236</v>
      </c>
      <c r="H104" s="16" t="s">
        <v>3237</v>
      </c>
      <c r="I104" s="16"/>
      <c r="J104" s="26" t="s">
        <v>3238</v>
      </c>
      <c r="K104" s="27" t="s">
        <v>24</v>
      </c>
      <c r="L104" s="16"/>
      <c r="M104" s="26" t="s">
        <v>3239</v>
      </c>
      <c r="N104" s="23" t="s">
        <v>34</v>
      </c>
      <c r="O104" s="22"/>
    </row>
    <row r="105" spans="1:15">
      <c r="A105" s="13">
        <v>104</v>
      </c>
      <c r="B105" s="14">
        <v>45811</v>
      </c>
      <c r="C105" s="16" t="s">
        <v>49</v>
      </c>
      <c r="D105" s="16" t="str">
        <f>VLOOKUP(E105,[1]Sheet3!A:B,2,0)</f>
        <v>冰箱</v>
      </c>
      <c r="E105" s="16" t="s">
        <v>148</v>
      </c>
      <c r="F105" s="16" t="s">
        <v>28</v>
      </c>
      <c r="G105" s="25" t="s">
        <v>3240</v>
      </c>
      <c r="H105" s="16" t="s">
        <v>3241</v>
      </c>
      <c r="I105" s="16"/>
      <c r="J105" s="16" t="s">
        <v>3034</v>
      </c>
      <c r="K105" s="27" t="s">
        <v>49</v>
      </c>
      <c r="L105" s="16"/>
      <c r="M105" s="26" t="s">
        <v>3242</v>
      </c>
      <c r="N105" s="23" t="s">
        <v>34</v>
      </c>
      <c r="O105" s="22"/>
    </row>
    <row r="106" spans="1:15">
      <c r="A106" s="13">
        <v>105</v>
      </c>
      <c r="B106" s="14">
        <v>45811</v>
      </c>
      <c r="C106" s="16" t="s">
        <v>68</v>
      </c>
      <c r="D106" s="16" t="str">
        <f>VLOOKUP(E106,[1]Sheet3!A:B,2,0)</f>
        <v>洗衣机</v>
      </c>
      <c r="E106" s="16" t="s">
        <v>35</v>
      </c>
      <c r="F106" s="16" t="s">
        <v>28</v>
      </c>
      <c r="G106" s="25" t="s">
        <v>3243</v>
      </c>
      <c r="H106" s="16" t="s">
        <v>3244</v>
      </c>
      <c r="I106" s="16"/>
      <c r="J106" s="26" t="s">
        <v>3245</v>
      </c>
      <c r="K106" s="27" t="s">
        <v>24</v>
      </c>
      <c r="L106" s="16"/>
      <c r="M106" s="26" t="s">
        <v>3246</v>
      </c>
      <c r="N106" s="23" t="s">
        <v>34</v>
      </c>
      <c r="O106" s="22"/>
    </row>
    <row r="107" ht="49.5" spans="1:15">
      <c r="A107" s="13">
        <v>106</v>
      </c>
      <c r="B107" s="14">
        <v>45811</v>
      </c>
      <c r="C107" s="16" t="s">
        <v>25</v>
      </c>
      <c r="D107" s="16" t="str">
        <f>VLOOKUP(E107,[1]Sheet3!A:B,2,0)</f>
        <v>冰箱</v>
      </c>
      <c r="E107" s="16" t="s">
        <v>41</v>
      </c>
      <c r="F107" s="16" t="s">
        <v>28</v>
      </c>
      <c r="G107" s="25" t="s">
        <v>3247</v>
      </c>
      <c r="H107" s="16" t="s">
        <v>3248</v>
      </c>
      <c r="I107" s="16"/>
      <c r="J107" s="26" t="s">
        <v>3249</v>
      </c>
      <c r="K107" s="27" t="s">
        <v>355</v>
      </c>
      <c r="L107" s="16"/>
      <c r="M107" s="26" t="s">
        <v>3250</v>
      </c>
      <c r="N107" s="23" t="s">
        <v>34</v>
      </c>
      <c r="O107" s="22"/>
    </row>
    <row r="108" spans="1:15">
      <c r="A108" s="13">
        <v>107</v>
      </c>
      <c r="B108" s="14">
        <v>45811</v>
      </c>
      <c r="C108" s="16" t="s">
        <v>68</v>
      </c>
      <c r="D108" s="16" t="str">
        <f>VLOOKUP(E108,[1]Sheet3!A:B,2,0)</f>
        <v>洗衣机</v>
      </c>
      <c r="E108" s="16" t="s">
        <v>35</v>
      </c>
      <c r="F108" s="16" t="s">
        <v>28</v>
      </c>
      <c r="G108" s="25" t="s">
        <v>3251</v>
      </c>
      <c r="H108" s="16" t="s">
        <v>3252</v>
      </c>
      <c r="I108" s="16"/>
      <c r="J108" s="26" t="s">
        <v>3253</v>
      </c>
      <c r="K108" s="27" t="s">
        <v>32</v>
      </c>
      <c r="L108" s="16"/>
      <c r="M108" s="26" t="s">
        <v>3254</v>
      </c>
      <c r="N108" s="23" t="s">
        <v>34</v>
      </c>
      <c r="O108" s="22"/>
    </row>
    <row r="109" ht="33" spans="1:15">
      <c r="A109" s="13">
        <v>108</v>
      </c>
      <c r="B109" s="14">
        <v>45811</v>
      </c>
      <c r="C109" s="16" t="s">
        <v>49</v>
      </c>
      <c r="D109" s="16" t="str">
        <f>VLOOKUP(E109,[1]Sheet3!A:B,2,0)</f>
        <v>洗衣机</v>
      </c>
      <c r="E109" s="16" t="s">
        <v>35</v>
      </c>
      <c r="F109" s="16" t="s">
        <v>28</v>
      </c>
      <c r="G109" s="25" t="s">
        <v>3255</v>
      </c>
      <c r="H109" s="16" t="s">
        <v>3256</v>
      </c>
      <c r="I109" s="16"/>
      <c r="J109" s="26" t="s">
        <v>3257</v>
      </c>
      <c r="K109" s="27" t="s">
        <v>49</v>
      </c>
      <c r="L109" s="16"/>
      <c r="M109" s="26" t="s">
        <v>3258</v>
      </c>
      <c r="N109" s="23" t="s">
        <v>34</v>
      </c>
      <c r="O109" s="22"/>
    </row>
    <row r="110" ht="66" spans="1:15">
      <c r="A110" s="13">
        <v>109</v>
      </c>
      <c r="B110" s="14">
        <v>45812</v>
      </c>
      <c r="C110" s="16" t="s">
        <v>68</v>
      </c>
      <c r="D110" s="16" t="str">
        <f>VLOOKUP(E110,[1]Sheet3!A:B,2,0)</f>
        <v>冰箱</v>
      </c>
      <c r="E110" s="16" t="s">
        <v>41</v>
      </c>
      <c r="F110" s="16" t="s">
        <v>28</v>
      </c>
      <c r="G110" s="25" t="s">
        <v>3259</v>
      </c>
      <c r="H110" s="16" t="s">
        <v>3260</v>
      </c>
      <c r="I110" s="16"/>
      <c r="J110" s="26" t="s">
        <v>3261</v>
      </c>
      <c r="K110" s="27" t="s">
        <v>32</v>
      </c>
      <c r="L110" s="16"/>
      <c r="M110" s="26" t="s">
        <v>3262</v>
      </c>
      <c r="N110" s="23" t="s">
        <v>34</v>
      </c>
      <c r="O110" s="22"/>
    </row>
    <row r="111" ht="66" spans="1:15">
      <c r="A111" s="13">
        <v>110</v>
      </c>
      <c r="B111" s="14">
        <v>45812</v>
      </c>
      <c r="C111" s="16" t="s">
        <v>68</v>
      </c>
      <c r="D111" s="16" t="str">
        <f>VLOOKUP(E111,[1]Sheet3!A:B,2,0)</f>
        <v>冰箱</v>
      </c>
      <c r="E111" s="16" t="s">
        <v>41</v>
      </c>
      <c r="F111" s="16" t="s">
        <v>28</v>
      </c>
      <c r="G111" s="25" t="s">
        <v>3263</v>
      </c>
      <c r="H111" s="16" t="s">
        <v>3264</v>
      </c>
      <c r="I111" s="16"/>
      <c r="J111" s="26" t="s">
        <v>3261</v>
      </c>
      <c r="K111" s="27" t="s">
        <v>32</v>
      </c>
      <c r="L111" s="16"/>
      <c r="M111" s="26" t="s">
        <v>3265</v>
      </c>
      <c r="N111" s="23" t="s">
        <v>34</v>
      </c>
      <c r="O111" s="22"/>
    </row>
    <row r="112" ht="33" spans="1:15">
      <c r="A112" s="13">
        <v>111</v>
      </c>
      <c r="B112" s="14">
        <v>45812</v>
      </c>
      <c r="C112" s="16" t="s">
        <v>25</v>
      </c>
      <c r="D112" s="16" t="str">
        <f>VLOOKUP(E112,[1]Sheet3!A:B,2,0)</f>
        <v>楼宇</v>
      </c>
      <c r="E112" s="16" t="s">
        <v>70</v>
      </c>
      <c r="F112" s="16" t="s">
        <v>28</v>
      </c>
      <c r="G112" s="25" t="s">
        <v>3266</v>
      </c>
      <c r="H112" s="16">
        <v>89880633545</v>
      </c>
      <c r="I112" s="16"/>
      <c r="J112" s="26" t="s">
        <v>3267</v>
      </c>
      <c r="K112" s="27" t="s">
        <v>24</v>
      </c>
      <c r="L112" s="16"/>
      <c r="M112" s="26" t="s">
        <v>3268</v>
      </c>
      <c r="N112" s="23" t="s">
        <v>34</v>
      </c>
      <c r="O112" s="22"/>
    </row>
    <row r="113" spans="1:15">
      <c r="A113" s="13">
        <v>112</v>
      </c>
      <c r="B113" s="14">
        <v>45813</v>
      </c>
      <c r="C113" s="16" t="s">
        <v>68</v>
      </c>
      <c r="D113" s="16" t="str">
        <f>VLOOKUP(E113,[1]Sheet3!A:B,2,0)</f>
        <v>冰箱</v>
      </c>
      <c r="E113" s="16" t="s">
        <v>41</v>
      </c>
      <c r="F113" s="16" t="s">
        <v>28</v>
      </c>
      <c r="G113" s="25" t="s">
        <v>3269</v>
      </c>
      <c r="H113" s="16" t="s">
        <v>3270</v>
      </c>
      <c r="I113" s="16"/>
      <c r="J113" s="26" t="s">
        <v>3271</v>
      </c>
      <c r="K113" s="27" t="s">
        <v>24</v>
      </c>
      <c r="L113" s="16"/>
      <c r="M113" s="26" t="s">
        <v>3272</v>
      </c>
      <c r="N113" s="23" t="s">
        <v>34</v>
      </c>
      <c r="O113" s="22"/>
    </row>
    <row r="114" ht="33" spans="1:15">
      <c r="A114" s="13">
        <v>113</v>
      </c>
      <c r="B114" s="14">
        <v>45813</v>
      </c>
      <c r="C114" s="16" t="s">
        <v>25</v>
      </c>
      <c r="D114" s="16" t="str">
        <f>VLOOKUP(E114,[1]Sheet3!A:B,2,0)</f>
        <v>洗衣机</v>
      </c>
      <c r="E114" s="16" t="s">
        <v>27</v>
      </c>
      <c r="F114" s="16" t="s">
        <v>28</v>
      </c>
      <c r="G114" s="25" t="s">
        <v>3273</v>
      </c>
      <c r="H114" s="16" t="s">
        <v>3274</v>
      </c>
      <c r="I114" s="16"/>
      <c r="J114" s="26" t="s">
        <v>3275</v>
      </c>
      <c r="K114" s="27" t="s">
        <v>355</v>
      </c>
      <c r="L114" s="16"/>
      <c r="M114" s="26" t="s">
        <v>3276</v>
      </c>
      <c r="N114" s="23" t="s">
        <v>34</v>
      </c>
      <c r="O114" s="22"/>
    </row>
    <row r="115" spans="1:15">
      <c r="A115" s="13">
        <v>114</v>
      </c>
      <c r="B115" s="14">
        <v>45814</v>
      </c>
      <c r="C115" s="16" t="s">
        <v>25</v>
      </c>
      <c r="D115" s="16" t="str">
        <f>VLOOKUP(E115,[1]Sheet3!A:B,2,0)</f>
        <v>冰箱</v>
      </c>
      <c r="E115" s="16" t="s">
        <v>148</v>
      </c>
      <c r="F115" s="16" t="s">
        <v>28</v>
      </c>
      <c r="G115" s="25" t="s">
        <v>3277</v>
      </c>
      <c r="H115" s="16" t="s">
        <v>3278</v>
      </c>
      <c r="I115" s="16"/>
      <c r="J115" s="26" t="s">
        <v>3279</v>
      </c>
      <c r="K115" s="27" t="s">
        <v>355</v>
      </c>
      <c r="L115" s="16"/>
      <c r="M115" s="26" t="s">
        <v>3280</v>
      </c>
      <c r="N115" s="23" t="s">
        <v>34</v>
      </c>
      <c r="O115" s="22"/>
    </row>
    <row r="116" spans="1:15">
      <c r="A116" s="13">
        <v>115</v>
      </c>
      <c r="B116" s="14">
        <v>45817</v>
      </c>
      <c r="C116" s="16" t="s">
        <v>49</v>
      </c>
      <c r="D116" s="16" t="str">
        <f>VLOOKUP(E116,[1]Sheet3!A:B,2,0)</f>
        <v>冰箱</v>
      </c>
      <c r="E116" s="16" t="s">
        <v>148</v>
      </c>
      <c r="F116" s="16" t="s">
        <v>28</v>
      </c>
      <c r="G116" s="25" t="s">
        <v>3281</v>
      </c>
      <c r="H116" s="16" t="s">
        <v>3282</v>
      </c>
      <c r="I116" s="16"/>
      <c r="J116" s="26" t="s">
        <v>3034</v>
      </c>
      <c r="K116" s="27" t="s">
        <v>49</v>
      </c>
      <c r="L116" s="16"/>
      <c r="M116" s="26" t="s">
        <v>3283</v>
      </c>
      <c r="N116" s="23" t="s">
        <v>34</v>
      </c>
      <c r="O116" s="22"/>
    </row>
    <row r="117" spans="1:15">
      <c r="A117" s="13">
        <v>116</v>
      </c>
      <c r="B117" s="14">
        <v>45817</v>
      </c>
      <c r="C117" s="16" t="s">
        <v>49</v>
      </c>
      <c r="D117" s="16" t="str">
        <f>VLOOKUP(E117,[1]Sheet3!A:B,2,0)</f>
        <v>冰箱</v>
      </c>
      <c r="E117" s="16" t="s">
        <v>41</v>
      </c>
      <c r="F117" s="16" t="s">
        <v>28</v>
      </c>
      <c r="G117" s="25" t="s">
        <v>3284</v>
      </c>
      <c r="H117" s="16">
        <v>268188964</v>
      </c>
      <c r="I117" s="16"/>
      <c r="J117" s="26" t="s">
        <v>3034</v>
      </c>
      <c r="K117" s="27" t="s">
        <v>49</v>
      </c>
      <c r="L117" s="16"/>
      <c r="M117" s="26" t="s">
        <v>3283</v>
      </c>
      <c r="N117" s="23" t="s">
        <v>34</v>
      </c>
      <c r="O117" s="22"/>
    </row>
    <row r="118" spans="1:15">
      <c r="A118" s="13">
        <v>117</v>
      </c>
      <c r="B118" s="14">
        <v>45814</v>
      </c>
      <c r="C118" s="16" t="s">
        <v>25</v>
      </c>
      <c r="D118" s="16" t="str">
        <f>VLOOKUP(E118,[1]Sheet3!A:B,2,0)</f>
        <v>冰箱</v>
      </c>
      <c r="E118" s="16" t="s">
        <v>41</v>
      </c>
      <c r="F118" s="16" t="s">
        <v>28</v>
      </c>
      <c r="G118" s="25" t="s">
        <v>3285</v>
      </c>
      <c r="H118" s="16">
        <v>254440098</v>
      </c>
      <c r="I118" s="16"/>
      <c r="J118" s="26" t="s">
        <v>3286</v>
      </c>
      <c r="K118" s="27" t="s">
        <v>355</v>
      </c>
      <c r="L118" s="16"/>
      <c r="M118" s="26" t="s">
        <v>3287</v>
      </c>
      <c r="N118" s="23" t="s">
        <v>34</v>
      </c>
      <c r="O118" s="22"/>
    </row>
    <row r="119" spans="1:15">
      <c r="A119" s="13">
        <v>118</v>
      </c>
      <c r="B119" s="14">
        <v>45817</v>
      </c>
      <c r="C119" s="16" t="s">
        <v>49</v>
      </c>
      <c r="D119" s="16" t="str">
        <f>VLOOKUP(E119,[1]Sheet3!A:B,2,0)</f>
        <v>冰箱</v>
      </c>
      <c r="E119" s="16" t="s">
        <v>41</v>
      </c>
      <c r="F119" s="16" t="s">
        <v>28</v>
      </c>
      <c r="G119" s="25" t="s">
        <v>3288</v>
      </c>
      <c r="H119" s="16" t="s">
        <v>3289</v>
      </c>
      <c r="I119" s="16"/>
      <c r="J119" s="26" t="s">
        <v>3034</v>
      </c>
      <c r="K119" s="27" t="s">
        <v>49</v>
      </c>
      <c r="L119" s="16"/>
      <c r="M119" s="26" t="s">
        <v>3290</v>
      </c>
      <c r="N119" s="23" t="s">
        <v>34</v>
      </c>
      <c r="O119" s="22"/>
    </row>
    <row r="120" spans="1:15">
      <c r="A120" s="13">
        <v>119</v>
      </c>
      <c r="B120" s="14">
        <v>45818</v>
      </c>
      <c r="C120" s="16" t="s">
        <v>49</v>
      </c>
      <c r="D120" s="16" t="str">
        <f>VLOOKUP(E120,[1]Sheet3!A:B,2,0)</f>
        <v>洗衣机</v>
      </c>
      <c r="E120" s="16" t="s">
        <v>35</v>
      </c>
      <c r="F120" s="16" t="s">
        <v>28</v>
      </c>
      <c r="G120" s="25" t="s">
        <v>3291</v>
      </c>
      <c r="H120" s="16" t="s">
        <v>3292</v>
      </c>
      <c r="I120" s="16"/>
      <c r="J120" s="26" t="s">
        <v>3034</v>
      </c>
      <c r="K120" s="27" t="s">
        <v>49</v>
      </c>
      <c r="L120" s="16"/>
      <c r="M120" s="26" t="s">
        <v>3293</v>
      </c>
      <c r="N120" s="23" t="s">
        <v>34</v>
      </c>
      <c r="O120" s="22"/>
    </row>
    <row r="121" spans="1:15">
      <c r="A121" s="13">
        <v>120</v>
      </c>
      <c r="B121" s="14">
        <v>45818</v>
      </c>
      <c r="C121" s="16" t="s">
        <v>49</v>
      </c>
      <c r="D121" s="16" t="str">
        <f>VLOOKUP(E121,[1]Sheet3!A:B,2,0)</f>
        <v>冰箱</v>
      </c>
      <c r="E121" s="16" t="s">
        <v>41</v>
      </c>
      <c r="F121" s="16" t="s">
        <v>28</v>
      </c>
      <c r="G121" s="115" t="s">
        <v>3294</v>
      </c>
      <c r="H121" s="16">
        <v>254713229</v>
      </c>
      <c r="I121" s="16"/>
      <c r="J121" s="26" t="s">
        <v>3034</v>
      </c>
      <c r="K121" s="27" t="s">
        <v>49</v>
      </c>
      <c r="L121" s="16"/>
      <c r="M121" s="26" t="s">
        <v>3293</v>
      </c>
      <c r="N121" s="23" t="s">
        <v>34</v>
      </c>
      <c r="O121" s="22"/>
    </row>
    <row r="122" spans="1:15">
      <c r="A122" s="13">
        <v>121</v>
      </c>
      <c r="B122" s="14">
        <v>45818</v>
      </c>
      <c r="C122" s="16" t="s">
        <v>25</v>
      </c>
      <c r="D122" s="16" t="str">
        <f>VLOOKUP(E122,[1]Sheet3!A:B,2,0)</f>
        <v>洗衣机</v>
      </c>
      <c r="E122" s="16" t="s">
        <v>27</v>
      </c>
      <c r="F122" s="16" t="s">
        <v>28</v>
      </c>
      <c r="G122" s="25" t="s">
        <v>3295</v>
      </c>
      <c r="H122" s="16" t="s">
        <v>3296</v>
      </c>
      <c r="I122" s="16"/>
      <c r="J122" s="26" t="s">
        <v>3297</v>
      </c>
      <c r="K122" s="27" t="s">
        <v>355</v>
      </c>
      <c r="L122" s="16"/>
      <c r="M122" s="26" t="s">
        <v>3298</v>
      </c>
      <c r="N122" s="23" t="s">
        <v>34</v>
      </c>
      <c r="O122" s="22"/>
    </row>
    <row r="123" ht="58.95" customHeight="1" spans="1:15">
      <c r="A123" s="13">
        <v>122</v>
      </c>
      <c r="B123" s="14">
        <v>45819</v>
      </c>
      <c r="C123" s="16" t="s">
        <v>25</v>
      </c>
      <c r="D123" s="16" t="str">
        <f>VLOOKUP(E123,[1]Sheet3!A:B,2,0)</f>
        <v>冰箱</v>
      </c>
      <c r="E123" s="16" t="s">
        <v>41</v>
      </c>
      <c r="F123" s="16" t="s">
        <v>28</v>
      </c>
      <c r="G123" s="25" t="s">
        <v>3299</v>
      </c>
      <c r="H123" s="16" t="s">
        <v>3300</v>
      </c>
      <c r="I123" s="16"/>
      <c r="J123" s="26" t="s">
        <v>3301</v>
      </c>
      <c r="K123" s="27" t="s">
        <v>24</v>
      </c>
      <c r="L123" s="16"/>
      <c r="M123" s="26" t="s">
        <v>3302</v>
      </c>
      <c r="N123" s="23" t="s">
        <v>34</v>
      </c>
      <c r="O123" s="22"/>
    </row>
    <row r="124" ht="33" spans="1:15">
      <c r="A124" s="13">
        <v>123</v>
      </c>
      <c r="B124" s="14">
        <v>45820</v>
      </c>
      <c r="C124" s="16" t="s">
        <v>25</v>
      </c>
      <c r="D124" s="16" t="str">
        <f>VLOOKUP(E124,[1]Sheet3!A:B,2,0)</f>
        <v>洗衣机</v>
      </c>
      <c r="E124" s="25" t="s">
        <v>35</v>
      </c>
      <c r="F124" s="16" t="s">
        <v>28</v>
      </c>
      <c r="G124" s="25" t="s">
        <v>3303</v>
      </c>
      <c r="H124" s="16" t="s">
        <v>3304</v>
      </c>
      <c r="I124" s="16"/>
      <c r="J124" s="26" t="s">
        <v>3305</v>
      </c>
      <c r="K124" s="27" t="s">
        <v>3306</v>
      </c>
      <c r="L124" s="16"/>
      <c r="M124" s="26" t="s">
        <v>3307</v>
      </c>
      <c r="N124" s="23" t="s">
        <v>34</v>
      </c>
      <c r="O124" s="22"/>
    </row>
    <row r="125" spans="1:15">
      <c r="A125" s="13">
        <v>124</v>
      </c>
      <c r="B125" s="14">
        <v>45820</v>
      </c>
      <c r="C125" s="16" t="s">
        <v>68</v>
      </c>
      <c r="D125" s="16" t="str">
        <f>VLOOKUP(E125,[1]Sheet3!A:B,2,0)</f>
        <v>冰箱</v>
      </c>
      <c r="E125" s="25" t="s">
        <v>41</v>
      </c>
      <c r="F125" s="16" t="s">
        <v>28</v>
      </c>
      <c r="G125" s="25" t="s">
        <v>3308</v>
      </c>
      <c r="H125" s="16" t="s">
        <v>3309</v>
      </c>
      <c r="I125" s="16"/>
      <c r="J125" s="26" t="s">
        <v>3016</v>
      </c>
      <c r="K125" s="27" t="s">
        <v>24</v>
      </c>
      <c r="L125" s="16"/>
      <c r="M125" s="26" t="s">
        <v>3310</v>
      </c>
      <c r="N125" s="23" t="s">
        <v>34</v>
      </c>
      <c r="O125" s="22"/>
    </row>
    <row r="126" spans="1:15">
      <c r="A126" s="13">
        <v>125</v>
      </c>
      <c r="B126" s="14">
        <v>45820</v>
      </c>
      <c r="C126" s="16" t="s">
        <v>68</v>
      </c>
      <c r="D126" s="16" t="str">
        <f>VLOOKUP(E126,[1]Sheet3!A:B,2,0)</f>
        <v>洗衣机</v>
      </c>
      <c r="E126" s="25" t="s">
        <v>35</v>
      </c>
      <c r="F126" s="16" t="s">
        <v>28</v>
      </c>
      <c r="G126" s="25" t="s">
        <v>3311</v>
      </c>
      <c r="H126" s="16" t="s">
        <v>3312</v>
      </c>
      <c r="I126" s="16"/>
      <c r="J126" s="26" t="s">
        <v>3313</v>
      </c>
      <c r="K126" s="27" t="s">
        <v>24</v>
      </c>
      <c r="L126" s="16"/>
      <c r="M126" s="26" t="s">
        <v>3310</v>
      </c>
      <c r="N126" s="23" t="s">
        <v>34</v>
      </c>
      <c r="O126" s="22"/>
    </row>
    <row r="127" spans="1:15">
      <c r="A127" s="13">
        <v>126</v>
      </c>
      <c r="B127" s="14">
        <v>45820</v>
      </c>
      <c r="C127" s="16" t="s">
        <v>68</v>
      </c>
      <c r="D127" s="16" t="str">
        <f>VLOOKUP(E127,[1]Sheet3!A:B,2,0)</f>
        <v>冰箱</v>
      </c>
      <c r="E127" s="25" t="s">
        <v>41</v>
      </c>
      <c r="F127" s="16" t="s">
        <v>28</v>
      </c>
      <c r="G127" s="25" t="s">
        <v>3314</v>
      </c>
      <c r="H127" s="16" t="s">
        <v>3315</v>
      </c>
      <c r="I127" s="16"/>
      <c r="J127" s="26" t="s">
        <v>3016</v>
      </c>
      <c r="K127" s="27" t="s">
        <v>24</v>
      </c>
      <c r="L127" s="16"/>
      <c r="M127" s="26" t="s">
        <v>3310</v>
      </c>
      <c r="N127" s="23" t="s">
        <v>34</v>
      </c>
      <c r="O127" s="22"/>
    </row>
    <row r="128" ht="61.8" customHeight="1" spans="1:15">
      <c r="A128" s="13">
        <v>127</v>
      </c>
      <c r="B128" s="14">
        <v>45820</v>
      </c>
      <c r="C128" s="16" t="s">
        <v>25</v>
      </c>
      <c r="D128" s="16" t="str">
        <f>VLOOKUP(E128,[1]Sheet3!A:B,2,0)</f>
        <v>洗衣机</v>
      </c>
      <c r="E128" s="25" t="s">
        <v>35</v>
      </c>
      <c r="F128" s="16" t="s">
        <v>28</v>
      </c>
      <c r="G128" s="25" t="s">
        <v>3316</v>
      </c>
      <c r="H128" s="16" t="s">
        <v>3317</v>
      </c>
      <c r="I128" s="16"/>
      <c r="J128" s="26" t="s">
        <v>3318</v>
      </c>
      <c r="K128" s="27" t="s">
        <v>24</v>
      </c>
      <c r="L128" s="16"/>
      <c r="M128" s="41" t="s">
        <v>3319</v>
      </c>
      <c r="N128" s="23" t="s">
        <v>34</v>
      </c>
      <c r="O128" s="22"/>
    </row>
    <row r="129" ht="33" spans="1:15">
      <c r="A129" s="13">
        <v>128</v>
      </c>
      <c r="B129" s="14">
        <v>45821</v>
      </c>
      <c r="C129" s="16" t="s">
        <v>25</v>
      </c>
      <c r="D129" s="16" t="str">
        <f>VLOOKUP(E129,[1]Sheet3!A:B,2,0)</f>
        <v>冰箱</v>
      </c>
      <c r="E129" s="25" t="s">
        <v>41</v>
      </c>
      <c r="F129" s="16" t="s">
        <v>28</v>
      </c>
      <c r="G129" s="25" t="s">
        <v>3320</v>
      </c>
      <c r="H129" s="16">
        <v>254368380</v>
      </c>
      <c r="I129" s="16"/>
      <c r="J129" s="26" t="s">
        <v>3321</v>
      </c>
      <c r="K129" s="27" t="s">
        <v>24</v>
      </c>
      <c r="L129" s="16"/>
      <c r="M129" s="26" t="s">
        <v>3322</v>
      </c>
      <c r="N129" s="23" t="s">
        <v>34</v>
      </c>
      <c r="O129" s="22"/>
    </row>
    <row r="130" ht="49.5" spans="1:15">
      <c r="A130" s="13">
        <v>129</v>
      </c>
      <c r="B130" s="14">
        <v>45821</v>
      </c>
      <c r="C130" s="16" t="s">
        <v>25</v>
      </c>
      <c r="D130" s="16" t="str">
        <f>VLOOKUP(E130,[1]Sheet3!A:B,2,0)</f>
        <v>洗衣机</v>
      </c>
      <c r="E130" s="16" t="s">
        <v>27</v>
      </c>
      <c r="F130" s="16" t="s">
        <v>28</v>
      </c>
      <c r="G130" s="25" t="s">
        <v>3323</v>
      </c>
      <c r="H130" s="16">
        <v>254143549</v>
      </c>
      <c r="I130" s="16"/>
      <c r="J130" s="26" t="s">
        <v>3324</v>
      </c>
      <c r="K130" s="27" t="s">
        <v>24</v>
      </c>
      <c r="L130" s="16"/>
      <c r="M130" s="26" t="s">
        <v>3325</v>
      </c>
      <c r="N130" s="23" t="s">
        <v>34</v>
      </c>
      <c r="O130" s="22"/>
    </row>
    <row r="131" spans="1:15">
      <c r="A131" s="13">
        <v>130</v>
      </c>
      <c r="B131" s="14">
        <v>45824</v>
      </c>
      <c r="C131" s="16" t="s">
        <v>68</v>
      </c>
      <c r="D131" s="16" t="str">
        <f>VLOOKUP(E131,[1]Sheet3!A:B,2,0)</f>
        <v>家用空调</v>
      </c>
      <c r="E131" s="16" t="s">
        <v>318</v>
      </c>
      <c r="F131" s="16" t="s">
        <v>28</v>
      </c>
      <c r="G131" s="25" t="s">
        <v>3326</v>
      </c>
      <c r="H131" s="16" t="s">
        <v>3327</v>
      </c>
      <c r="I131" s="16"/>
      <c r="J131" s="26" t="s">
        <v>3016</v>
      </c>
      <c r="K131" s="27" t="s">
        <v>24</v>
      </c>
      <c r="L131" s="16"/>
      <c r="M131" s="26" t="s">
        <v>3328</v>
      </c>
      <c r="N131" s="23" t="s">
        <v>34</v>
      </c>
      <c r="O131" s="22"/>
    </row>
    <row r="132" spans="1:15">
      <c r="A132" s="13">
        <v>131</v>
      </c>
      <c r="B132" s="14">
        <v>45824</v>
      </c>
      <c r="C132" s="16" t="s">
        <v>68</v>
      </c>
      <c r="D132" s="16" t="str">
        <f>VLOOKUP(E132,[1]Sheet3!A:B,2,0)</f>
        <v>家用空调</v>
      </c>
      <c r="E132" s="16" t="s">
        <v>318</v>
      </c>
      <c r="F132" s="16" t="s">
        <v>28</v>
      </c>
      <c r="G132" s="25" t="s">
        <v>3329</v>
      </c>
      <c r="H132" s="16" t="s">
        <v>3330</v>
      </c>
      <c r="I132" s="16"/>
      <c r="J132" s="26" t="s">
        <v>3016</v>
      </c>
      <c r="K132" s="27" t="s">
        <v>24</v>
      </c>
      <c r="L132" s="16"/>
      <c r="M132" s="26" t="s">
        <v>3328</v>
      </c>
      <c r="N132" s="23" t="s">
        <v>34</v>
      </c>
      <c r="O132" s="22"/>
    </row>
    <row r="133" spans="1:15">
      <c r="A133" s="13">
        <v>132</v>
      </c>
      <c r="B133" s="14">
        <v>45824</v>
      </c>
      <c r="C133" s="16" t="s">
        <v>68</v>
      </c>
      <c r="D133" s="16" t="str">
        <f>VLOOKUP(E133,[1]Sheet3!A:B,2,0)</f>
        <v>冰箱</v>
      </c>
      <c r="E133" s="16" t="s">
        <v>41</v>
      </c>
      <c r="F133" s="16" t="s">
        <v>28</v>
      </c>
      <c r="G133" s="25" t="s">
        <v>3331</v>
      </c>
      <c r="H133" s="16" t="s">
        <v>3332</v>
      </c>
      <c r="I133" s="16"/>
      <c r="J133" s="26" t="s">
        <v>3016</v>
      </c>
      <c r="K133" s="27" t="s">
        <v>24</v>
      </c>
      <c r="L133" s="16"/>
      <c r="M133" s="26" t="s">
        <v>3333</v>
      </c>
      <c r="N133" s="23" t="s">
        <v>34</v>
      </c>
      <c r="O133" s="22"/>
    </row>
    <row r="134" ht="49.5" spans="1:15">
      <c r="A134" s="13">
        <v>133</v>
      </c>
      <c r="B134" s="14">
        <v>45824</v>
      </c>
      <c r="C134" s="16" t="s">
        <v>25</v>
      </c>
      <c r="D134" s="16" t="str">
        <f>VLOOKUP(E134,[1]Sheet3!A:B,2,0)</f>
        <v>厨热</v>
      </c>
      <c r="E134" s="16" t="s">
        <v>154</v>
      </c>
      <c r="F134" s="16" t="s">
        <v>28</v>
      </c>
      <c r="G134" s="25" t="s">
        <v>3334</v>
      </c>
      <c r="H134" s="16" t="s">
        <v>3335</v>
      </c>
      <c r="I134" s="16"/>
      <c r="J134" s="26" t="s">
        <v>3336</v>
      </c>
      <c r="K134" s="27" t="s">
        <v>24</v>
      </c>
      <c r="L134" s="16"/>
      <c r="M134" s="26" t="s">
        <v>3337</v>
      </c>
      <c r="N134" s="23" t="s">
        <v>34</v>
      </c>
      <c r="O134" s="22"/>
    </row>
    <row r="135" ht="33" spans="1:15">
      <c r="A135" s="13">
        <v>134</v>
      </c>
      <c r="B135" s="14">
        <v>45824</v>
      </c>
      <c r="C135" s="16" t="s">
        <v>49</v>
      </c>
      <c r="D135" s="16" t="str">
        <f>VLOOKUP(E135,[1]Sheet3!A:B,2,0)</f>
        <v>厨热</v>
      </c>
      <c r="E135" s="16" t="s">
        <v>411</v>
      </c>
      <c r="F135" s="16" t="s">
        <v>28</v>
      </c>
      <c r="G135" s="25" t="s">
        <v>3338</v>
      </c>
      <c r="H135" s="16" t="s">
        <v>3339</v>
      </c>
      <c r="I135" s="16"/>
      <c r="J135" s="26" t="s">
        <v>3340</v>
      </c>
      <c r="K135" s="27" t="s">
        <v>49</v>
      </c>
      <c r="L135" s="16"/>
      <c r="M135" s="26" t="s">
        <v>3341</v>
      </c>
      <c r="N135" s="23" t="s">
        <v>34</v>
      </c>
      <c r="O135" s="22"/>
    </row>
    <row r="136" ht="99" spans="1:15">
      <c r="A136" s="13">
        <v>135</v>
      </c>
      <c r="B136" s="14">
        <v>45824</v>
      </c>
      <c r="C136" s="16" t="s">
        <v>68</v>
      </c>
      <c r="D136" s="16" t="str">
        <f>VLOOKUP(E136,[1]Sheet3!A:B,2,0)</f>
        <v>家用空调</v>
      </c>
      <c r="E136" s="16" t="s">
        <v>318</v>
      </c>
      <c r="F136" s="16" t="s">
        <v>28</v>
      </c>
      <c r="G136" s="25" t="s">
        <v>3099</v>
      </c>
      <c r="H136" s="16" t="s">
        <v>3342</v>
      </c>
      <c r="I136" s="16"/>
      <c r="J136" s="26" t="s">
        <v>3343</v>
      </c>
      <c r="K136" s="27" t="s">
        <v>24</v>
      </c>
      <c r="L136" s="16"/>
      <c r="M136" s="26" t="s">
        <v>3344</v>
      </c>
      <c r="N136" s="23" t="s">
        <v>34</v>
      </c>
      <c r="O136" s="22"/>
    </row>
    <row r="137" spans="1:15">
      <c r="A137" s="13">
        <v>136</v>
      </c>
      <c r="B137" s="14">
        <v>45825</v>
      </c>
      <c r="C137" s="16" t="s">
        <v>49</v>
      </c>
      <c r="D137" s="16" t="str">
        <f>VLOOKUP(E137,[1]Sheet3!A:B,2,0)</f>
        <v>洗衣机</v>
      </c>
      <c r="E137" s="16" t="s">
        <v>35</v>
      </c>
      <c r="F137" s="16" t="s">
        <v>28</v>
      </c>
      <c r="G137" s="25" t="s">
        <v>3345</v>
      </c>
      <c r="H137" s="16">
        <v>254624238</v>
      </c>
      <c r="I137" s="16"/>
      <c r="J137" s="26" t="s">
        <v>3340</v>
      </c>
      <c r="K137" s="27" t="s">
        <v>49</v>
      </c>
      <c r="L137" s="16"/>
      <c r="M137" s="26" t="s">
        <v>3346</v>
      </c>
      <c r="N137" s="23" t="s">
        <v>34</v>
      </c>
      <c r="O137" s="22"/>
    </row>
    <row r="138" ht="33" spans="1:15">
      <c r="A138" s="13">
        <v>137</v>
      </c>
      <c r="B138" s="14">
        <v>45826</v>
      </c>
      <c r="C138" s="16" t="s">
        <v>25</v>
      </c>
      <c r="D138" s="16" t="str">
        <f>VLOOKUP(E138,[1]Sheet3!A:B,2,0)</f>
        <v>冰箱</v>
      </c>
      <c r="E138" s="16" t="s">
        <v>41</v>
      </c>
      <c r="F138" s="16" t="s">
        <v>28</v>
      </c>
      <c r="G138" s="25" t="s">
        <v>3347</v>
      </c>
      <c r="H138" s="16" t="s">
        <v>3348</v>
      </c>
      <c r="I138" s="16"/>
      <c r="J138" s="26" t="s">
        <v>3349</v>
      </c>
      <c r="K138" s="27" t="s">
        <v>355</v>
      </c>
      <c r="L138" s="16"/>
      <c r="M138" s="26" t="s">
        <v>3350</v>
      </c>
      <c r="N138" s="23" t="s">
        <v>34</v>
      </c>
      <c r="O138" s="22"/>
    </row>
    <row r="139" ht="66" spans="1:15">
      <c r="A139" s="13">
        <v>138</v>
      </c>
      <c r="B139" s="14">
        <v>45826</v>
      </c>
      <c r="C139" s="16" t="s">
        <v>49</v>
      </c>
      <c r="D139" s="16" t="str">
        <f>VLOOKUP(E139,[1]Sheet3!A:B,2,0)</f>
        <v>冰箱</v>
      </c>
      <c r="E139" s="16" t="s">
        <v>41</v>
      </c>
      <c r="F139" s="16" t="s">
        <v>28</v>
      </c>
      <c r="G139" s="25" t="s">
        <v>3351</v>
      </c>
      <c r="H139" s="16" t="s">
        <v>3352</v>
      </c>
      <c r="I139" s="16"/>
      <c r="J139" s="26" t="s">
        <v>3353</v>
      </c>
      <c r="K139" s="27" t="s">
        <v>49</v>
      </c>
      <c r="L139" s="16"/>
      <c r="M139" s="26" t="s">
        <v>3354</v>
      </c>
      <c r="N139" s="23" t="s">
        <v>34</v>
      </c>
      <c r="O139" s="22"/>
    </row>
    <row r="140" spans="1:15">
      <c r="A140" s="13">
        <v>139</v>
      </c>
      <c r="B140" s="14">
        <v>45826</v>
      </c>
      <c r="C140" s="16" t="s">
        <v>68</v>
      </c>
      <c r="D140" s="16" t="str">
        <f>VLOOKUP(E140,[1]Sheet3!A:B,2,0)</f>
        <v>洗衣机</v>
      </c>
      <c r="E140" s="16" t="s">
        <v>35</v>
      </c>
      <c r="F140" s="16" t="s">
        <v>28</v>
      </c>
      <c r="G140" s="25" t="s">
        <v>3355</v>
      </c>
      <c r="H140" s="16" t="s">
        <v>3356</v>
      </c>
      <c r="I140" s="16"/>
      <c r="J140" s="26" t="s">
        <v>3357</v>
      </c>
      <c r="K140" s="27" t="s">
        <v>3358</v>
      </c>
      <c r="L140" s="16"/>
      <c r="M140" s="26" t="s">
        <v>3359</v>
      </c>
      <c r="N140" s="23" t="s">
        <v>34</v>
      </c>
      <c r="O140" s="22"/>
    </row>
    <row r="141" spans="1:15">
      <c r="A141" s="13">
        <v>140</v>
      </c>
      <c r="B141" s="14">
        <v>45827</v>
      </c>
      <c r="C141" s="16" t="s">
        <v>49</v>
      </c>
      <c r="D141" s="16" t="str">
        <f>VLOOKUP(E141,[1]Sheet3!A:B,2,0)</f>
        <v>冰箱</v>
      </c>
      <c r="E141" s="16" t="s">
        <v>148</v>
      </c>
      <c r="F141" s="16" t="s">
        <v>28</v>
      </c>
      <c r="G141" s="25" t="s">
        <v>3360</v>
      </c>
      <c r="H141" s="16" t="s">
        <v>3361</v>
      </c>
      <c r="I141" s="16"/>
      <c r="J141" s="26" t="s">
        <v>3362</v>
      </c>
      <c r="K141" s="27" t="s">
        <v>49</v>
      </c>
      <c r="L141" s="16"/>
      <c r="M141" s="26" t="s">
        <v>3363</v>
      </c>
      <c r="N141" s="23" t="s">
        <v>34</v>
      </c>
      <c r="O141" s="22"/>
    </row>
    <row r="142" ht="33" spans="1:15">
      <c r="A142" s="13">
        <v>141</v>
      </c>
      <c r="B142" s="14">
        <v>45827</v>
      </c>
      <c r="C142" s="16" t="s">
        <v>403</v>
      </c>
      <c r="D142" s="16" t="str">
        <f>VLOOKUP(E142,[1]Sheet3!A:B,2,0)</f>
        <v>冰箱</v>
      </c>
      <c r="E142" s="16" t="s">
        <v>41</v>
      </c>
      <c r="F142" s="16" t="s">
        <v>28</v>
      </c>
      <c r="G142" s="25" t="s">
        <v>3364</v>
      </c>
      <c r="H142" s="16" t="s">
        <v>3365</v>
      </c>
      <c r="I142" s="16"/>
      <c r="J142" s="26" t="s">
        <v>3366</v>
      </c>
      <c r="K142" s="27" t="s">
        <v>24</v>
      </c>
      <c r="L142" s="16"/>
      <c r="M142" s="26" t="s">
        <v>3367</v>
      </c>
      <c r="N142" s="23" t="s">
        <v>34</v>
      </c>
      <c r="O142" s="22"/>
    </row>
    <row r="143" ht="33" spans="1:15">
      <c r="A143" s="13">
        <v>142</v>
      </c>
      <c r="B143" s="14">
        <v>45827</v>
      </c>
      <c r="C143" s="16" t="s">
        <v>403</v>
      </c>
      <c r="D143" s="16" t="str">
        <f>VLOOKUP(E143,[1]Sheet3!A:B,2,0)</f>
        <v>冰箱</v>
      </c>
      <c r="E143" s="16" t="s">
        <v>41</v>
      </c>
      <c r="F143" s="16" t="s">
        <v>28</v>
      </c>
      <c r="G143" s="25" t="s">
        <v>3368</v>
      </c>
      <c r="H143" s="16" t="s">
        <v>3369</v>
      </c>
      <c r="I143" s="16"/>
      <c r="J143" s="26" t="s">
        <v>3366</v>
      </c>
      <c r="K143" s="27" t="s">
        <v>24</v>
      </c>
      <c r="L143" s="16"/>
      <c r="M143" s="26" t="s">
        <v>3367</v>
      </c>
      <c r="N143" s="23" t="s">
        <v>34</v>
      </c>
      <c r="O143" s="22"/>
    </row>
    <row r="144" ht="33" spans="1:15">
      <c r="A144" s="13">
        <v>143</v>
      </c>
      <c r="B144" s="14">
        <v>45827</v>
      </c>
      <c r="C144" s="16" t="s">
        <v>403</v>
      </c>
      <c r="D144" s="16" t="str">
        <f>VLOOKUP(E144,[1]Sheet3!A:B,2,0)</f>
        <v>冰箱</v>
      </c>
      <c r="E144" s="16" t="s">
        <v>41</v>
      </c>
      <c r="F144" s="16" t="s">
        <v>28</v>
      </c>
      <c r="G144" s="25" t="s">
        <v>3370</v>
      </c>
      <c r="H144" s="16" t="s">
        <v>3371</v>
      </c>
      <c r="I144" s="16"/>
      <c r="J144" s="26" t="s">
        <v>3366</v>
      </c>
      <c r="K144" s="27" t="s">
        <v>24</v>
      </c>
      <c r="L144" s="16"/>
      <c r="M144" s="26" t="s">
        <v>3367</v>
      </c>
      <c r="N144" s="23" t="s">
        <v>34</v>
      </c>
      <c r="O144" s="22"/>
    </row>
    <row r="145" ht="33" spans="1:15">
      <c r="A145" s="13">
        <v>144</v>
      </c>
      <c r="B145" s="14">
        <v>45827</v>
      </c>
      <c r="C145" s="16" t="s">
        <v>403</v>
      </c>
      <c r="D145" s="16" t="str">
        <f>VLOOKUP(E145,[1]Sheet3!A:B,2,0)</f>
        <v>冰箱</v>
      </c>
      <c r="E145" s="16" t="s">
        <v>41</v>
      </c>
      <c r="F145" s="16" t="s">
        <v>28</v>
      </c>
      <c r="G145" s="25" t="s">
        <v>3372</v>
      </c>
      <c r="H145" s="16" t="s">
        <v>3373</v>
      </c>
      <c r="I145" s="16"/>
      <c r="J145" s="26" t="s">
        <v>3366</v>
      </c>
      <c r="K145" s="27" t="s">
        <v>24</v>
      </c>
      <c r="L145" s="16"/>
      <c r="M145" s="26" t="s">
        <v>3367</v>
      </c>
      <c r="N145" s="23" t="s">
        <v>34</v>
      </c>
      <c r="O145" s="22"/>
    </row>
    <row r="146" spans="1:15">
      <c r="A146" s="13">
        <v>145</v>
      </c>
      <c r="B146" s="14">
        <v>45831</v>
      </c>
      <c r="C146" s="16" t="s">
        <v>68</v>
      </c>
      <c r="D146" s="16" t="str">
        <f>VLOOKUP(E146,[1]Sheet3!A:B,2,0)</f>
        <v>洗衣机</v>
      </c>
      <c r="E146" s="16" t="s">
        <v>35</v>
      </c>
      <c r="F146" s="16" t="s">
        <v>28</v>
      </c>
      <c r="G146" s="25" t="s">
        <v>3374</v>
      </c>
      <c r="H146" s="16" t="s">
        <v>3375</v>
      </c>
      <c r="I146" s="16"/>
      <c r="J146" s="26" t="s">
        <v>3376</v>
      </c>
      <c r="K146" s="27" t="s">
        <v>3358</v>
      </c>
      <c r="L146" s="16"/>
      <c r="M146" s="26" t="s">
        <v>3377</v>
      </c>
      <c r="N146" s="23" t="s">
        <v>34</v>
      </c>
      <c r="O146" s="22"/>
    </row>
    <row r="147" spans="1:15">
      <c r="A147" s="13">
        <v>146</v>
      </c>
      <c r="B147" s="14">
        <v>45831</v>
      </c>
      <c r="C147" s="16" t="s">
        <v>68</v>
      </c>
      <c r="D147" s="16" t="str">
        <f>VLOOKUP(E147,[1]Sheet3!A:B,2,0)</f>
        <v>洗衣机</v>
      </c>
      <c r="E147" s="16" t="s">
        <v>35</v>
      </c>
      <c r="F147" s="16" t="s">
        <v>28</v>
      </c>
      <c r="G147" s="25" t="s">
        <v>3378</v>
      </c>
      <c r="H147" s="16" t="s">
        <v>3379</v>
      </c>
      <c r="I147" s="16"/>
      <c r="J147" s="26" t="s">
        <v>3376</v>
      </c>
      <c r="K147" s="27" t="s">
        <v>3358</v>
      </c>
      <c r="L147" s="16"/>
      <c r="M147" s="26" t="s">
        <v>3377</v>
      </c>
      <c r="N147" s="23" t="s">
        <v>34</v>
      </c>
      <c r="O147" s="22"/>
    </row>
    <row r="148" spans="1:15">
      <c r="A148" s="13">
        <v>147</v>
      </c>
      <c r="B148" s="14">
        <v>45831</v>
      </c>
      <c r="C148" s="16" t="s">
        <v>68</v>
      </c>
      <c r="D148" s="16" t="str">
        <f>VLOOKUP(E148,[1]Sheet3!A:B,2,0)</f>
        <v>洗衣机</v>
      </c>
      <c r="E148" s="16" t="s">
        <v>35</v>
      </c>
      <c r="F148" s="16" t="s">
        <v>28</v>
      </c>
      <c r="G148" s="25" t="s">
        <v>3380</v>
      </c>
      <c r="H148" s="16" t="s">
        <v>3381</v>
      </c>
      <c r="I148" s="16"/>
      <c r="J148" s="26" t="s">
        <v>3376</v>
      </c>
      <c r="K148" s="27" t="s">
        <v>3358</v>
      </c>
      <c r="L148" s="16"/>
      <c r="M148" s="26" t="s">
        <v>3377</v>
      </c>
      <c r="N148" s="23" t="s">
        <v>34</v>
      </c>
      <c r="O148" s="22"/>
    </row>
    <row r="149" spans="1:15">
      <c r="A149" s="13">
        <v>148</v>
      </c>
      <c r="B149" s="14">
        <v>45831</v>
      </c>
      <c r="C149" s="16" t="s">
        <v>68</v>
      </c>
      <c r="D149" s="16" t="str">
        <f>VLOOKUP(E149,[1]Sheet3!A:B,2,0)</f>
        <v>洗衣机</v>
      </c>
      <c r="E149" s="16" t="s">
        <v>35</v>
      </c>
      <c r="F149" s="16" t="s">
        <v>28</v>
      </c>
      <c r="G149" s="25" t="s">
        <v>3382</v>
      </c>
      <c r="H149" s="16" t="s">
        <v>3383</v>
      </c>
      <c r="I149" s="16"/>
      <c r="J149" s="26" t="s">
        <v>3376</v>
      </c>
      <c r="K149" s="27" t="s">
        <v>3358</v>
      </c>
      <c r="L149" s="16"/>
      <c r="M149" s="26" t="s">
        <v>3377</v>
      </c>
      <c r="N149" s="23" t="s">
        <v>34</v>
      </c>
      <c r="O149" s="22"/>
    </row>
    <row r="150" ht="49.5" spans="1:15">
      <c r="A150" s="13">
        <v>149</v>
      </c>
      <c r="B150" s="14">
        <v>45831</v>
      </c>
      <c r="C150" s="16" t="s">
        <v>25</v>
      </c>
      <c r="D150" s="16" t="str">
        <f>VLOOKUP(E150,[1]Sheet3!A:B,2,0)</f>
        <v>冰箱</v>
      </c>
      <c r="E150" s="16" t="s">
        <v>41</v>
      </c>
      <c r="F150" s="16" t="s">
        <v>28</v>
      </c>
      <c r="G150" s="25" t="s">
        <v>3384</v>
      </c>
      <c r="H150" s="16" t="s">
        <v>3385</v>
      </c>
      <c r="I150" s="16"/>
      <c r="J150" s="26" t="s">
        <v>3386</v>
      </c>
      <c r="K150" s="27" t="s">
        <v>24</v>
      </c>
      <c r="L150" s="16"/>
      <c r="M150" s="26" t="s">
        <v>3387</v>
      </c>
      <c r="N150" s="23" t="s">
        <v>34</v>
      </c>
      <c r="O150" s="22"/>
    </row>
    <row r="151" ht="33" spans="1:15">
      <c r="A151" s="13">
        <v>150</v>
      </c>
      <c r="B151" s="14">
        <v>45831</v>
      </c>
      <c r="C151" s="16" t="s">
        <v>25</v>
      </c>
      <c r="D151" s="16" t="str">
        <f>VLOOKUP(E151,[1]Sheet3!A:B,2,0)</f>
        <v>冰箱</v>
      </c>
      <c r="E151" s="16" t="s">
        <v>41</v>
      </c>
      <c r="F151" s="16" t="s">
        <v>28</v>
      </c>
      <c r="G151" s="25" t="s">
        <v>3388</v>
      </c>
      <c r="H151" s="16" t="s">
        <v>3389</v>
      </c>
      <c r="I151" s="16"/>
      <c r="J151" s="26" t="s">
        <v>3390</v>
      </c>
      <c r="K151" s="27" t="s">
        <v>24</v>
      </c>
      <c r="L151" s="16"/>
      <c r="M151" s="26" t="s">
        <v>3391</v>
      </c>
      <c r="N151" s="23" t="s">
        <v>34</v>
      </c>
      <c r="O151" s="22"/>
    </row>
    <row r="152" spans="1:15">
      <c r="A152" s="13">
        <v>151</v>
      </c>
      <c r="B152" s="14">
        <v>45831</v>
      </c>
      <c r="C152" s="16" t="s">
        <v>49</v>
      </c>
      <c r="D152" s="16" t="str">
        <f>VLOOKUP(E152,[1]Sheet3!A:B,2,0)</f>
        <v>洗衣机</v>
      </c>
      <c r="E152" s="16" t="s">
        <v>35</v>
      </c>
      <c r="F152" s="16" t="s">
        <v>28</v>
      </c>
      <c r="G152" s="25" t="s">
        <v>3392</v>
      </c>
      <c r="H152" s="16" t="s">
        <v>3393</v>
      </c>
      <c r="I152" s="16"/>
      <c r="J152" s="26" t="s">
        <v>3394</v>
      </c>
      <c r="K152" s="27" t="s">
        <v>49</v>
      </c>
      <c r="L152" s="16"/>
      <c r="M152" s="26" t="s">
        <v>3395</v>
      </c>
      <c r="N152" s="23" t="s">
        <v>34</v>
      </c>
      <c r="O152" s="22"/>
    </row>
    <row r="153" ht="33" spans="1:15">
      <c r="A153" s="13">
        <v>152</v>
      </c>
      <c r="B153" s="14">
        <v>45831</v>
      </c>
      <c r="C153" s="16" t="s">
        <v>68</v>
      </c>
      <c r="D153" s="16" t="str">
        <f>VLOOKUP(E153,[1]Sheet3!A:B,2,0)</f>
        <v>冰箱</v>
      </c>
      <c r="E153" s="16" t="s">
        <v>41</v>
      </c>
      <c r="F153" s="16" t="s">
        <v>28</v>
      </c>
      <c r="G153" s="25" t="s">
        <v>3396</v>
      </c>
      <c r="H153" s="16" t="s">
        <v>3397</v>
      </c>
      <c r="I153" s="16"/>
      <c r="J153" s="26" t="s">
        <v>3398</v>
      </c>
      <c r="K153" s="27" t="s">
        <v>24</v>
      </c>
      <c r="L153" s="16"/>
      <c r="M153" s="26" t="s">
        <v>3399</v>
      </c>
      <c r="N153" s="23" t="s">
        <v>34</v>
      </c>
      <c r="O153" s="22"/>
    </row>
    <row r="154" spans="1:15">
      <c r="A154" s="13">
        <v>153</v>
      </c>
      <c r="B154" s="14">
        <v>45832</v>
      </c>
      <c r="C154" s="16" t="s">
        <v>68</v>
      </c>
      <c r="D154" s="16" t="str">
        <f>VLOOKUP(E154,[1]Sheet3!A:B,2,0)</f>
        <v>冰箱</v>
      </c>
      <c r="E154" s="16" t="s">
        <v>41</v>
      </c>
      <c r="F154" s="16" t="s">
        <v>28</v>
      </c>
      <c r="G154" s="25" t="s">
        <v>3400</v>
      </c>
      <c r="H154" s="16" t="s">
        <v>3401</v>
      </c>
      <c r="I154" s="16"/>
      <c r="J154" s="26" t="s">
        <v>3402</v>
      </c>
      <c r="K154" s="27" t="s">
        <v>24</v>
      </c>
      <c r="L154" s="16"/>
      <c r="M154" s="26" t="s">
        <v>3403</v>
      </c>
      <c r="N154" s="23" t="s">
        <v>34</v>
      </c>
      <c r="O154" s="22"/>
    </row>
    <row r="155" ht="96" customHeight="1" spans="1:15">
      <c r="A155" s="13">
        <v>154</v>
      </c>
      <c r="B155" s="14">
        <v>45832</v>
      </c>
      <c r="C155" s="16" t="s">
        <v>49</v>
      </c>
      <c r="D155" s="16" t="str">
        <f>VLOOKUP(E155,[1]Sheet3!A:B,2,0)</f>
        <v>厨热</v>
      </c>
      <c r="E155" s="16" t="s">
        <v>154</v>
      </c>
      <c r="F155" s="16" t="s">
        <v>28</v>
      </c>
      <c r="G155" s="25" t="s">
        <v>3404</v>
      </c>
      <c r="H155" s="16" t="s">
        <v>3405</v>
      </c>
      <c r="I155" s="16"/>
      <c r="J155" s="26" t="s">
        <v>3406</v>
      </c>
      <c r="K155" s="27" t="s">
        <v>49</v>
      </c>
      <c r="L155" s="16"/>
      <c r="M155" s="26" t="s">
        <v>3407</v>
      </c>
      <c r="N155" s="23" t="s">
        <v>34</v>
      </c>
      <c r="O155" s="22"/>
    </row>
    <row r="156" spans="1:15">
      <c r="A156" s="13">
        <v>155</v>
      </c>
      <c r="B156" s="14">
        <v>45832</v>
      </c>
      <c r="C156" s="16" t="s">
        <v>49</v>
      </c>
      <c r="D156" s="16" t="str">
        <f>VLOOKUP(E156,[1]Sheet3!A:B,2,0)</f>
        <v>冰箱</v>
      </c>
      <c r="E156" s="16" t="s">
        <v>41</v>
      </c>
      <c r="F156" s="16" t="s">
        <v>28</v>
      </c>
      <c r="G156" s="25" t="s">
        <v>3408</v>
      </c>
      <c r="H156" s="16" t="s">
        <v>3409</v>
      </c>
      <c r="I156" s="16"/>
      <c r="J156" s="26" t="s">
        <v>3410</v>
      </c>
      <c r="K156" s="27" t="s">
        <v>49</v>
      </c>
      <c r="L156" s="16"/>
      <c r="M156" s="26" t="s">
        <v>3411</v>
      </c>
      <c r="N156" s="23" t="s">
        <v>34</v>
      </c>
      <c r="O156" s="22"/>
    </row>
    <row r="157" spans="1:15">
      <c r="A157" s="13">
        <v>156</v>
      </c>
      <c r="B157" s="14">
        <v>45832</v>
      </c>
      <c r="C157" s="16" t="s">
        <v>68</v>
      </c>
      <c r="D157" s="16" t="str">
        <f>VLOOKUP(E157,[1]Sheet3!A:B,2,0)</f>
        <v>洗衣机</v>
      </c>
      <c r="E157" s="16" t="s">
        <v>35</v>
      </c>
      <c r="F157" s="16" t="s">
        <v>28</v>
      </c>
      <c r="G157" s="25" t="s">
        <v>3412</v>
      </c>
      <c r="H157" s="16" t="s">
        <v>3413</v>
      </c>
      <c r="I157" s="16"/>
      <c r="J157" s="26" t="s">
        <v>3414</v>
      </c>
      <c r="K157" s="27" t="s">
        <v>24</v>
      </c>
      <c r="L157" s="16"/>
      <c r="M157" s="26" t="s">
        <v>3415</v>
      </c>
      <c r="N157" s="23" t="s">
        <v>34</v>
      </c>
      <c r="O157" s="22"/>
    </row>
    <row r="158" spans="1:15">
      <c r="A158" s="13">
        <v>157</v>
      </c>
      <c r="B158" s="14">
        <v>45833</v>
      </c>
      <c r="C158" s="16" t="s">
        <v>49</v>
      </c>
      <c r="D158" s="16" t="str">
        <f>VLOOKUP(E158,[1]Sheet3!A:B,2,0)</f>
        <v>厨热</v>
      </c>
      <c r="E158" s="16" t="s">
        <v>154</v>
      </c>
      <c r="F158" s="16" t="s">
        <v>28</v>
      </c>
      <c r="G158" s="25" t="s">
        <v>3416</v>
      </c>
      <c r="H158" s="16" t="s">
        <v>3417</v>
      </c>
      <c r="I158" s="16"/>
      <c r="J158" s="26" t="s">
        <v>3418</v>
      </c>
      <c r="K158" s="27" t="s">
        <v>49</v>
      </c>
      <c r="L158" s="16"/>
      <c r="M158" s="26" t="s">
        <v>3419</v>
      </c>
      <c r="N158" s="23" t="s">
        <v>34</v>
      </c>
      <c r="O158" s="22"/>
    </row>
    <row r="159" spans="1:15">
      <c r="A159" s="13">
        <v>158</v>
      </c>
      <c r="B159" s="14">
        <v>45833</v>
      </c>
      <c r="C159" s="16" t="s">
        <v>49</v>
      </c>
      <c r="D159" s="16" t="str">
        <f>VLOOKUP(E159,[1]Sheet3!A:B,2,0)</f>
        <v>洗衣机</v>
      </c>
      <c r="E159" s="16" t="s">
        <v>27</v>
      </c>
      <c r="F159" s="16" t="s">
        <v>28</v>
      </c>
      <c r="G159" s="25" t="s">
        <v>3420</v>
      </c>
      <c r="H159" s="16">
        <v>254616865</v>
      </c>
      <c r="I159" s="16"/>
      <c r="J159" s="26" t="s">
        <v>3421</v>
      </c>
      <c r="K159" s="27" t="s">
        <v>49</v>
      </c>
      <c r="L159" s="16"/>
      <c r="M159" s="26" t="s">
        <v>3422</v>
      </c>
      <c r="N159" s="23" t="s">
        <v>34</v>
      </c>
      <c r="O159" s="22"/>
    </row>
    <row r="160" ht="33" spans="1:15">
      <c r="A160" s="13">
        <v>159</v>
      </c>
      <c r="B160" s="14">
        <v>45834</v>
      </c>
      <c r="C160" s="16" t="s">
        <v>25</v>
      </c>
      <c r="D160" s="16" t="str">
        <f>VLOOKUP(E160,[1]Sheet3!A:B,2,0)</f>
        <v>冰箱</v>
      </c>
      <c r="E160" s="16" t="s">
        <v>41</v>
      </c>
      <c r="F160" s="16" t="s">
        <v>28</v>
      </c>
      <c r="G160" s="25" t="s">
        <v>3423</v>
      </c>
      <c r="H160" s="16" t="s">
        <v>3424</v>
      </c>
      <c r="I160" s="16"/>
      <c r="J160" s="26" t="s">
        <v>3425</v>
      </c>
      <c r="K160" s="27" t="s">
        <v>24</v>
      </c>
      <c r="L160" s="16"/>
      <c r="M160" s="26" t="s">
        <v>3426</v>
      </c>
      <c r="N160" s="23" t="s">
        <v>34</v>
      </c>
      <c r="O160" s="22"/>
    </row>
    <row r="161" ht="49.5" spans="1:15">
      <c r="A161" s="13">
        <v>160</v>
      </c>
      <c r="B161" s="14">
        <v>45834</v>
      </c>
      <c r="C161" s="16" t="s">
        <v>49</v>
      </c>
      <c r="D161" s="16" t="str">
        <f>VLOOKUP(E161,[1]Sheet3!A:B,2,0)</f>
        <v>厨热</v>
      </c>
      <c r="E161" s="16" t="s">
        <v>411</v>
      </c>
      <c r="F161" s="16" t="s">
        <v>28</v>
      </c>
      <c r="G161" s="25" t="s">
        <v>3427</v>
      </c>
      <c r="H161" s="16" t="s">
        <v>3428</v>
      </c>
      <c r="I161" s="16"/>
      <c r="J161" s="26" t="s">
        <v>3429</v>
      </c>
      <c r="K161" s="27" t="s">
        <v>49</v>
      </c>
      <c r="L161" s="16"/>
      <c r="M161" s="26" t="s">
        <v>3430</v>
      </c>
      <c r="N161" s="23" t="s">
        <v>34</v>
      </c>
      <c r="O161" s="22"/>
    </row>
    <row r="162" spans="1:15">
      <c r="A162" s="13">
        <v>161</v>
      </c>
      <c r="B162" s="14">
        <v>45834</v>
      </c>
      <c r="C162" s="16" t="s">
        <v>49</v>
      </c>
      <c r="D162" s="16" t="str">
        <f>VLOOKUP(E162,[1]Sheet3!A:B,2,0)</f>
        <v>洗衣机</v>
      </c>
      <c r="E162" s="16" t="s">
        <v>27</v>
      </c>
      <c r="F162" s="16" t="s">
        <v>28</v>
      </c>
      <c r="G162" s="25" t="s">
        <v>3431</v>
      </c>
      <c r="H162" s="16" t="s">
        <v>3432</v>
      </c>
      <c r="I162" s="16"/>
      <c r="J162" s="26" t="s">
        <v>3433</v>
      </c>
      <c r="K162" s="27" t="s">
        <v>49</v>
      </c>
      <c r="L162" s="16"/>
      <c r="M162" s="26" t="s">
        <v>3419</v>
      </c>
      <c r="N162" s="23" t="s">
        <v>34</v>
      </c>
      <c r="O162" s="22"/>
    </row>
    <row r="163" ht="33" spans="1:15">
      <c r="A163" s="13">
        <v>162</v>
      </c>
      <c r="B163" s="14">
        <v>45835</v>
      </c>
      <c r="C163" s="16" t="s">
        <v>68</v>
      </c>
      <c r="D163" s="16" t="str">
        <f>VLOOKUP(E163,[1]Sheet3!A:B,2,0)</f>
        <v>冰箱</v>
      </c>
      <c r="E163" s="16" t="s">
        <v>41</v>
      </c>
      <c r="F163" s="16" t="s">
        <v>28</v>
      </c>
      <c r="G163" s="25" t="s">
        <v>3423</v>
      </c>
      <c r="H163" s="16" t="s">
        <v>3434</v>
      </c>
      <c r="I163" s="16"/>
      <c r="J163" s="26" t="s">
        <v>3414</v>
      </c>
      <c r="K163" s="27" t="s">
        <v>24</v>
      </c>
      <c r="L163" s="16"/>
      <c r="M163" s="26" t="s">
        <v>3435</v>
      </c>
      <c r="N163" s="23" t="s">
        <v>34</v>
      </c>
      <c r="O163" s="22"/>
    </row>
    <row r="164" ht="33" spans="1:15">
      <c r="A164" s="13">
        <v>163</v>
      </c>
      <c r="B164" s="14">
        <v>45835</v>
      </c>
      <c r="C164" s="16" t="s">
        <v>68</v>
      </c>
      <c r="D164" s="16" t="str">
        <f>VLOOKUP(E164,[1]Sheet3!A:B,2,0)</f>
        <v>冰箱</v>
      </c>
      <c r="E164" s="16" t="s">
        <v>41</v>
      </c>
      <c r="F164" s="16" t="s">
        <v>28</v>
      </c>
      <c r="G164" s="25" t="s">
        <v>3436</v>
      </c>
      <c r="H164" s="16" t="s">
        <v>3437</v>
      </c>
      <c r="I164" s="16"/>
      <c r="J164" s="26" t="s">
        <v>3414</v>
      </c>
      <c r="K164" s="27" t="s">
        <v>24</v>
      </c>
      <c r="L164" s="16"/>
      <c r="M164" s="26" t="s">
        <v>3435</v>
      </c>
      <c r="N164" s="23" t="s">
        <v>34</v>
      </c>
      <c r="O164" s="22"/>
    </row>
    <row r="165" ht="33" spans="1:15">
      <c r="A165" s="13">
        <v>164</v>
      </c>
      <c r="B165" s="14">
        <v>45835</v>
      </c>
      <c r="C165" s="16" t="s">
        <v>68</v>
      </c>
      <c r="D165" s="16" t="str">
        <f>VLOOKUP(E165,[1]Sheet3!A:B,2,0)</f>
        <v>冰箱</v>
      </c>
      <c r="E165" s="16" t="s">
        <v>41</v>
      </c>
      <c r="F165" s="16" t="s">
        <v>28</v>
      </c>
      <c r="G165" s="25" t="s">
        <v>3438</v>
      </c>
      <c r="H165" s="16" t="s">
        <v>3439</v>
      </c>
      <c r="I165" s="16"/>
      <c r="J165" s="26" t="s">
        <v>3414</v>
      </c>
      <c r="K165" s="27" t="s">
        <v>24</v>
      </c>
      <c r="L165" s="16"/>
      <c r="M165" s="26" t="s">
        <v>3435</v>
      </c>
      <c r="N165" s="23" t="s">
        <v>34</v>
      </c>
      <c r="O165" s="22"/>
    </row>
    <row r="166" ht="66" spans="1:15">
      <c r="A166" s="13">
        <v>165</v>
      </c>
      <c r="B166" s="14">
        <v>45835</v>
      </c>
      <c r="C166" s="16" t="s">
        <v>25</v>
      </c>
      <c r="D166" s="16" t="str">
        <f>VLOOKUP(E166,[1]Sheet3!A:B,2,0)</f>
        <v>微波和清洁</v>
      </c>
      <c r="E166" s="16" t="s">
        <v>223</v>
      </c>
      <c r="F166" s="16" t="s">
        <v>28</v>
      </c>
      <c r="G166" s="25" t="s">
        <v>3440</v>
      </c>
      <c r="H166" s="16" t="s">
        <v>3441</v>
      </c>
      <c r="I166" s="16"/>
      <c r="J166" s="26" t="s">
        <v>3442</v>
      </c>
      <c r="K166" s="27" t="s">
        <v>355</v>
      </c>
      <c r="L166" s="16"/>
      <c r="M166" s="26" t="s">
        <v>3443</v>
      </c>
      <c r="N166" s="23" t="s">
        <v>34</v>
      </c>
      <c r="O166" s="22"/>
    </row>
    <row r="167" spans="1:15">
      <c r="A167" s="13">
        <v>166</v>
      </c>
      <c r="B167" s="14">
        <v>45835</v>
      </c>
      <c r="C167" s="16" t="s">
        <v>68</v>
      </c>
      <c r="D167" s="16" t="str">
        <f>VLOOKUP(E167,[1]Sheet3!A:B,2,0)</f>
        <v>冰箱</v>
      </c>
      <c r="E167" s="16" t="s">
        <v>41</v>
      </c>
      <c r="F167" s="16" t="s">
        <v>28</v>
      </c>
      <c r="G167" s="25" t="s">
        <v>3444</v>
      </c>
      <c r="H167" s="16" t="s">
        <v>3445</v>
      </c>
      <c r="I167" s="16"/>
      <c r="J167" s="26" t="s">
        <v>3414</v>
      </c>
      <c r="K167" s="27" t="s">
        <v>24</v>
      </c>
      <c r="L167" s="16"/>
      <c r="M167" s="26" t="s">
        <v>3446</v>
      </c>
      <c r="N167" s="23" t="s">
        <v>34</v>
      </c>
      <c r="O167" s="22"/>
    </row>
    <row r="168" spans="1:15">
      <c r="A168" s="13">
        <v>167</v>
      </c>
      <c r="B168" s="14">
        <v>45835</v>
      </c>
      <c r="C168" s="16" t="s">
        <v>49</v>
      </c>
      <c r="D168" s="16" t="str">
        <f>VLOOKUP(E168,[1]Sheet3!A:B,2,0)</f>
        <v>冰箱</v>
      </c>
      <c r="E168" s="16" t="s">
        <v>41</v>
      </c>
      <c r="F168" s="16" t="s">
        <v>28</v>
      </c>
      <c r="G168" s="25" t="s">
        <v>3447</v>
      </c>
      <c r="H168" s="16">
        <v>254316423</v>
      </c>
      <c r="I168" s="16"/>
      <c r="J168" s="26" t="s">
        <v>3448</v>
      </c>
      <c r="K168" s="27" t="s">
        <v>49</v>
      </c>
      <c r="L168" s="16"/>
      <c r="M168" s="26" t="s">
        <v>3449</v>
      </c>
      <c r="N168" s="23" t="s">
        <v>34</v>
      </c>
      <c r="O168" s="22"/>
    </row>
    <row r="169" spans="1:15">
      <c r="A169" s="13">
        <v>168</v>
      </c>
      <c r="B169" s="14">
        <v>45835</v>
      </c>
      <c r="C169" s="16" t="s">
        <v>49</v>
      </c>
      <c r="D169" s="16" t="str">
        <f>VLOOKUP(E169,[1]Sheet3!A:B,2,0)</f>
        <v>洗衣机</v>
      </c>
      <c r="E169" s="16" t="s">
        <v>35</v>
      </c>
      <c r="F169" s="16" t="s">
        <v>28</v>
      </c>
      <c r="G169" s="25" t="s">
        <v>3450</v>
      </c>
      <c r="H169" s="16" t="s">
        <v>3451</v>
      </c>
      <c r="I169" s="16"/>
      <c r="J169" s="26" t="s">
        <v>3452</v>
      </c>
      <c r="K169" s="27" t="s">
        <v>49</v>
      </c>
      <c r="L169" s="16"/>
      <c r="M169" s="26" t="s">
        <v>3453</v>
      </c>
      <c r="N169" s="23" t="s">
        <v>34</v>
      </c>
      <c r="O169" s="22"/>
    </row>
    <row r="170" ht="33" spans="1:15">
      <c r="A170" s="13">
        <v>169</v>
      </c>
      <c r="B170" s="14">
        <v>45836</v>
      </c>
      <c r="C170" s="16" t="s">
        <v>68</v>
      </c>
      <c r="D170" s="16" t="str">
        <f>VLOOKUP(E170,[1]Sheet3!A:B,2,0)</f>
        <v>冰箱</v>
      </c>
      <c r="E170" s="16" t="s">
        <v>41</v>
      </c>
      <c r="F170" s="16" t="s">
        <v>28</v>
      </c>
      <c r="G170" s="25" t="s">
        <v>3454</v>
      </c>
      <c r="H170" s="16" t="s">
        <v>3455</v>
      </c>
      <c r="I170" s="16"/>
      <c r="J170" s="26" t="s">
        <v>3456</v>
      </c>
      <c r="K170" s="27" t="s">
        <v>207</v>
      </c>
      <c r="L170" s="16"/>
      <c r="M170" s="26" t="s">
        <v>3457</v>
      </c>
      <c r="N170" s="23" t="s">
        <v>34</v>
      </c>
      <c r="O170" s="22"/>
    </row>
    <row r="171" ht="49.5" spans="1:15">
      <c r="A171" s="13">
        <v>170</v>
      </c>
      <c r="B171" s="14">
        <v>45837</v>
      </c>
      <c r="C171" s="16" t="s">
        <v>68</v>
      </c>
      <c r="D171" s="16" t="str">
        <f>VLOOKUP(E171,[1]Sheet3!A:B,2,0)</f>
        <v>冰箱</v>
      </c>
      <c r="E171" s="16" t="s">
        <v>41</v>
      </c>
      <c r="F171" s="16" t="s">
        <v>28</v>
      </c>
      <c r="G171" s="25" t="s">
        <v>3458</v>
      </c>
      <c r="H171" s="16" t="s">
        <v>3459</v>
      </c>
      <c r="I171" s="16"/>
      <c r="J171" s="26" t="s">
        <v>3460</v>
      </c>
      <c r="K171" s="27" t="s">
        <v>24</v>
      </c>
      <c r="L171" s="16"/>
      <c r="M171" s="26" t="s">
        <v>3461</v>
      </c>
      <c r="N171" s="23" t="s">
        <v>34</v>
      </c>
      <c r="O171" s="22"/>
    </row>
    <row r="172" spans="1:15">
      <c r="A172" s="13">
        <v>171</v>
      </c>
      <c r="B172" s="14">
        <v>45838</v>
      </c>
      <c r="C172" s="16" t="s">
        <v>49</v>
      </c>
      <c r="D172" s="16" t="str">
        <f>VLOOKUP(E172,[1]Sheet3!A:B,2,0)</f>
        <v>冰箱</v>
      </c>
      <c r="E172" s="16" t="s">
        <v>41</v>
      </c>
      <c r="F172" s="16" t="s">
        <v>28</v>
      </c>
      <c r="G172" s="25" t="s">
        <v>3462</v>
      </c>
      <c r="H172" s="16">
        <v>285471799</v>
      </c>
      <c r="I172" s="16"/>
      <c r="J172" s="26" t="s">
        <v>3463</v>
      </c>
      <c r="K172" s="27" t="s">
        <v>49</v>
      </c>
      <c r="L172" s="16"/>
      <c r="M172" s="26" t="s">
        <v>3464</v>
      </c>
      <c r="N172" s="23" t="s">
        <v>34</v>
      </c>
      <c r="O172" s="22"/>
    </row>
    <row r="173" spans="1:15">
      <c r="A173" s="13">
        <v>172</v>
      </c>
      <c r="B173" s="14">
        <v>45838</v>
      </c>
      <c r="C173" s="16" t="s">
        <v>49</v>
      </c>
      <c r="D173" s="16" t="str">
        <f>VLOOKUP(E173,[1]Sheet3!A:B,2,0)</f>
        <v>洗衣机</v>
      </c>
      <c r="E173" s="16" t="s">
        <v>660</v>
      </c>
      <c r="F173" s="16" t="s">
        <v>28</v>
      </c>
      <c r="G173" s="25" t="s">
        <v>3465</v>
      </c>
      <c r="H173" s="16" t="s">
        <v>3466</v>
      </c>
      <c r="I173" s="16"/>
      <c r="J173" s="26" t="s">
        <v>3467</v>
      </c>
      <c r="K173" s="27" t="s">
        <v>49</v>
      </c>
      <c r="L173" s="16"/>
      <c r="M173" s="26" t="s">
        <v>3468</v>
      </c>
      <c r="N173" s="23" t="s">
        <v>34</v>
      </c>
      <c r="O173" s="22"/>
    </row>
    <row r="174" spans="1:15">
      <c r="A174" s="13">
        <v>173</v>
      </c>
      <c r="B174" s="14">
        <v>45839</v>
      </c>
      <c r="C174" s="16" t="s">
        <v>68</v>
      </c>
      <c r="D174" s="16" t="str">
        <f>VLOOKUP(E174,[1]Sheet3!A:B,2,0)</f>
        <v>洗衣机</v>
      </c>
      <c r="E174" s="16" t="s">
        <v>35</v>
      </c>
      <c r="F174" s="16" t="s">
        <v>28</v>
      </c>
      <c r="G174" s="25" t="s">
        <v>3469</v>
      </c>
      <c r="H174" s="16" t="s">
        <v>3470</v>
      </c>
      <c r="I174" s="16"/>
      <c r="J174" s="26" t="s">
        <v>3471</v>
      </c>
      <c r="K174" s="27" t="s">
        <v>24</v>
      </c>
      <c r="L174" s="16"/>
      <c r="M174" s="26" t="s">
        <v>3472</v>
      </c>
      <c r="N174" s="23" t="s">
        <v>34</v>
      </c>
      <c r="O174" s="22"/>
    </row>
    <row r="175" ht="66" spans="1:15">
      <c r="A175" s="13">
        <v>174</v>
      </c>
      <c r="B175" s="14">
        <v>45839</v>
      </c>
      <c r="C175" s="16" t="s">
        <v>25</v>
      </c>
      <c r="D175" s="16" t="str">
        <f>VLOOKUP(E175,[1]Sheet3!A:B,2,0)</f>
        <v>洗衣机</v>
      </c>
      <c r="E175" s="16" t="s">
        <v>35</v>
      </c>
      <c r="F175" s="16" t="s">
        <v>28</v>
      </c>
      <c r="G175" s="25" t="s">
        <v>3473</v>
      </c>
      <c r="H175" s="16" t="s">
        <v>3474</v>
      </c>
      <c r="I175" s="16"/>
      <c r="J175" s="26" t="s">
        <v>3475</v>
      </c>
      <c r="K175" s="27" t="s">
        <v>24</v>
      </c>
      <c r="L175" s="16"/>
      <c r="M175" s="26" t="s">
        <v>3476</v>
      </c>
      <c r="N175" s="23" t="s">
        <v>34</v>
      </c>
      <c r="O175" s="22"/>
    </row>
    <row r="176" ht="138" customHeight="1" spans="1:15">
      <c r="A176" s="13">
        <v>175</v>
      </c>
      <c r="B176" s="14">
        <v>45839</v>
      </c>
      <c r="C176" s="16" t="s">
        <v>403</v>
      </c>
      <c r="D176" s="16" t="str">
        <f>VLOOKUP(E176,[1]Sheet3!A:B,2,0)</f>
        <v>冰箱</v>
      </c>
      <c r="E176" s="16" t="s">
        <v>148</v>
      </c>
      <c r="F176" s="16" t="s">
        <v>28</v>
      </c>
      <c r="G176" s="25" t="s">
        <v>3477</v>
      </c>
      <c r="H176" s="16" t="s">
        <v>3478</v>
      </c>
      <c r="I176" s="16"/>
      <c r="J176" s="26" t="s">
        <v>3479</v>
      </c>
      <c r="K176" s="27" t="s">
        <v>92</v>
      </c>
      <c r="L176" s="16"/>
      <c r="M176" s="26" t="s">
        <v>3480</v>
      </c>
      <c r="N176" s="23" t="s">
        <v>34</v>
      </c>
      <c r="O176" s="22"/>
    </row>
    <row r="177" ht="66" spans="1:15">
      <c r="A177" s="13">
        <v>176</v>
      </c>
      <c r="B177" s="14">
        <v>45839</v>
      </c>
      <c r="C177" s="16" t="s">
        <v>49</v>
      </c>
      <c r="D177" s="16" t="str">
        <f>VLOOKUP(E177,[1]Sheet3!A:B,2,0)</f>
        <v>洗衣机</v>
      </c>
      <c r="E177" s="16" t="s">
        <v>35</v>
      </c>
      <c r="F177" s="16" t="s">
        <v>28</v>
      </c>
      <c r="G177" s="25" t="s">
        <v>3481</v>
      </c>
      <c r="H177" s="16" t="s">
        <v>3482</v>
      </c>
      <c r="I177" s="16"/>
      <c r="J177" s="26" t="s">
        <v>3483</v>
      </c>
      <c r="K177" s="27" t="s">
        <v>49</v>
      </c>
      <c r="L177" s="16"/>
      <c r="M177" s="26" t="s">
        <v>3484</v>
      </c>
      <c r="N177" s="23" t="s">
        <v>34</v>
      </c>
      <c r="O177" s="22"/>
    </row>
    <row r="178" spans="1:15">
      <c r="A178" s="13">
        <v>177</v>
      </c>
      <c r="B178" s="14">
        <v>45839</v>
      </c>
      <c r="C178" s="16" t="s">
        <v>49</v>
      </c>
      <c r="D178" s="16" t="str">
        <f>VLOOKUP(E178,[1]Sheet3!A:B,2,0)</f>
        <v>冰箱</v>
      </c>
      <c r="E178" s="16" t="s">
        <v>41</v>
      </c>
      <c r="F178" s="16" t="s">
        <v>28</v>
      </c>
      <c r="G178" s="25" t="s">
        <v>3485</v>
      </c>
      <c r="H178" s="16" t="s">
        <v>3486</v>
      </c>
      <c r="I178" s="16"/>
      <c r="J178" s="26" t="s">
        <v>3483</v>
      </c>
      <c r="K178" s="27" t="s">
        <v>49</v>
      </c>
      <c r="L178" s="16"/>
      <c r="M178" s="26" t="s">
        <v>3487</v>
      </c>
      <c r="N178" s="23" t="s">
        <v>34</v>
      </c>
      <c r="O178" s="22"/>
    </row>
    <row r="179" spans="1:15">
      <c r="A179" s="13">
        <v>178</v>
      </c>
      <c r="B179" s="14">
        <v>45839</v>
      </c>
      <c r="C179" s="16" t="s">
        <v>49</v>
      </c>
      <c r="D179" s="16" t="str">
        <f>VLOOKUP(E179,[1]Sheet3!A:B,2,0)</f>
        <v>洗衣机</v>
      </c>
      <c r="E179" s="16" t="s">
        <v>35</v>
      </c>
      <c r="F179" s="16" t="s">
        <v>28</v>
      </c>
      <c r="G179" s="25" t="s">
        <v>3488</v>
      </c>
      <c r="H179" s="16" t="s">
        <v>3489</v>
      </c>
      <c r="I179" s="16"/>
      <c r="J179" s="26" t="s">
        <v>3483</v>
      </c>
      <c r="K179" s="27" t="s">
        <v>49</v>
      </c>
      <c r="L179" s="16"/>
      <c r="M179" s="26" t="s">
        <v>3487</v>
      </c>
      <c r="N179" s="23" t="s">
        <v>34</v>
      </c>
      <c r="O179" s="22"/>
    </row>
    <row r="180" spans="1:15">
      <c r="A180" s="13">
        <v>179</v>
      </c>
      <c r="B180" s="14">
        <v>45839</v>
      </c>
      <c r="C180" s="16" t="s">
        <v>49</v>
      </c>
      <c r="D180" s="16" t="str">
        <f>VLOOKUP(E180,[1]Sheet3!A:B,2,0)</f>
        <v>冰箱</v>
      </c>
      <c r="E180" s="16" t="s">
        <v>41</v>
      </c>
      <c r="F180" s="16" t="s">
        <v>28</v>
      </c>
      <c r="G180" s="25" t="s">
        <v>3490</v>
      </c>
      <c r="H180" s="16" t="s">
        <v>3491</v>
      </c>
      <c r="I180" s="16"/>
      <c r="J180" s="26" t="s">
        <v>3483</v>
      </c>
      <c r="K180" s="27" t="s">
        <v>49</v>
      </c>
      <c r="L180" s="16"/>
      <c r="M180" s="26" t="s">
        <v>3492</v>
      </c>
      <c r="N180" s="23" t="s">
        <v>34</v>
      </c>
      <c r="O180" s="22"/>
    </row>
    <row r="181" spans="1:15">
      <c r="A181" s="13">
        <v>180</v>
      </c>
      <c r="B181" s="14">
        <v>45839</v>
      </c>
      <c r="C181" s="16" t="s">
        <v>49</v>
      </c>
      <c r="D181" s="16" t="str">
        <f>VLOOKUP(E181,[1]Sheet3!A:B,2,0)</f>
        <v>洗衣机</v>
      </c>
      <c r="E181" s="16" t="s">
        <v>35</v>
      </c>
      <c r="F181" s="16" t="s">
        <v>28</v>
      </c>
      <c r="G181" s="25" t="s">
        <v>3493</v>
      </c>
      <c r="H181" s="16" t="s">
        <v>3494</v>
      </c>
      <c r="I181" s="16"/>
      <c r="J181" s="26" t="s">
        <v>3483</v>
      </c>
      <c r="K181" s="27" t="s">
        <v>49</v>
      </c>
      <c r="L181" s="16"/>
      <c r="M181" s="26" t="s">
        <v>3487</v>
      </c>
      <c r="N181" s="23" t="s">
        <v>34</v>
      </c>
      <c r="O181" s="22"/>
    </row>
    <row r="182" ht="33" spans="1:15">
      <c r="A182" s="13">
        <v>181</v>
      </c>
      <c r="B182" s="14">
        <v>45840</v>
      </c>
      <c r="C182" s="16" t="s">
        <v>68</v>
      </c>
      <c r="D182" s="16" t="str">
        <f>VLOOKUP(E182,[1]Sheet3!A:B,2,0)</f>
        <v>冰箱</v>
      </c>
      <c r="E182" s="16" t="s">
        <v>41</v>
      </c>
      <c r="F182" s="16" t="s">
        <v>28</v>
      </c>
      <c r="G182" s="25" t="s">
        <v>3495</v>
      </c>
      <c r="H182" s="16" t="s">
        <v>3496</v>
      </c>
      <c r="I182" s="16"/>
      <c r="J182" s="26" t="s">
        <v>3497</v>
      </c>
      <c r="K182" s="27" t="s">
        <v>24</v>
      </c>
      <c r="L182" s="16"/>
      <c r="M182" s="26" t="s">
        <v>3498</v>
      </c>
      <c r="N182" s="23" t="s">
        <v>34</v>
      </c>
      <c r="O182" s="22"/>
    </row>
    <row r="183" spans="1:15">
      <c r="A183" s="13">
        <v>182</v>
      </c>
      <c r="B183" s="14">
        <v>45840</v>
      </c>
      <c r="C183" s="16" t="s">
        <v>68</v>
      </c>
      <c r="D183" s="16" t="str">
        <f>VLOOKUP(E183,[1]Sheet3!A:B,2,0)</f>
        <v>洗衣机</v>
      </c>
      <c r="E183" s="16" t="s">
        <v>35</v>
      </c>
      <c r="F183" s="16" t="s">
        <v>28</v>
      </c>
      <c r="G183" s="25" t="s">
        <v>3481</v>
      </c>
      <c r="H183" s="16" t="s">
        <v>3499</v>
      </c>
      <c r="I183" s="16"/>
      <c r="J183" s="26" t="s">
        <v>3500</v>
      </c>
      <c r="K183" s="27" t="s">
        <v>24</v>
      </c>
      <c r="L183" s="16"/>
      <c r="M183" s="26" t="s">
        <v>3498</v>
      </c>
      <c r="N183" s="23" t="s">
        <v>34</v>
      </c>
      <c r="O183" s="22"/>
    </row>
    <row r="184" spans="1:15">
      <c r="A184" s="13">
        <v>183</v>
      </c>
      <c r="B184" s="14">
        <v>45840</v>
      </c>
      <c r="C184" s="16" t="s">
        <v>49</v>
      </c>
      <c r="D184" s="16" t="str">
        <f>VLOOKUP(E184,[1]Sheet3!A:B,2,0)</f>
        <v>冰箱</v>
      </c>
      <c r="E184" s="16" t="s">
        <v>148</v>
      </c>
      <c r="F184" s="16" t="s">
        <v>28</v>
      </c>
      <c r="G184" s="25" t="s">
        <v>3501</v>
      </c>
      <c r="H184" s="16" t="s">
        <v>3502</v>
      </c>
      <c r="I184" s="16"/>
      <c r="J184" s="26" t="s">
        <v>3503</v>
      </c>
      <c r="K184" s="27" t="s">
        <v>49</v>
      </c>
      <c r="L184" s="16"/>
      <c r="M184" s="26" t="s">
        <v>3504</v>
      </c>
      <c r="N184" s="23" t="s">
        <v>34</v>
      </c>
      <c r="O184" s="22"/>
    </row>
    <row r="185" ht="49.5" spans="1:15">
      <c r="A185" s="13">
        <v>184</v>
      </c>
      <c r="B185" s="14">
        <v>45840</v>
      </c>
      <c r="C185" s="16" t="s">
        <v>25</v>
      </c>
      <c r="D185" s="16" t="str">
        <f>VLOOKUP(E185,[1]Sheet3!A:B,2,0)</f>
        <v>工业技术</v>
      </c>
      <c r="E185" s="16" t="s">
        <v>165</v>
      </c>
      <c r="F185" s="16" t="s">
        <v>28</v>
      </c>
      <c r="G185" s="25" t="s">
        <v>3505</v>
      </c>
      <c r="H185" s="16" t="s">
        <v>3506</v>
      </c>
      <c r="I185" s="16"/>
      <c r="J185" s="26" t="s">
        <v>3507</v>
      </c>
      <c r="K185" s="27" t="s">
        <v>24</v>
      </c>
      <c r="L185" s="16"/>
      <c r="M185" s="26" t="s">
        <v>3508</v>
      </c>
      <c r="N185" s="23" t="s">
        <v>34</v>
      </c>
      <c r="O185" s="22"/>
    </row>
    <row r="186" spans="1:15">
      <c r="A186" s="13">
        <v>185</v>
      </c>
      <c r="B186" s="14">
        <v>45841</v>
      </c>
      <c r="C186" s="16" t="s">
        <v>49</v>
      </c>
      <c r="D186" s="16" t="str">
        <f>VLOOKUP(E186,[1]Sheet3!A:B,2,0)</f>
        <v>厨热</v>
      </c>
      <c r="E186" s="16" t="s">
        <v>411</v>
      </c>
      <c r="F186" s="16" t="s">
        <v>28</v>
      </c>
      <c r="G186" s="25" t="s">
        <v>3509</v>
      </c>
      <c r="H186" s="16" t="s">
        <v>3510</v>
      </c>
      <c r="I186" s="16"/>
      <c r="J186" s="26" t="s">
        <v>3511</v>
      </c>
      <c r="K186" s="27" t="s">
        <v>49</v>
      </c>
      <c r="L186" s="16"/>
      <c r="M186" s="26" t="s">
        <v>3512</v>
      </c>
      <c r="N186" s="23" t="s">
        <v>34</v>
      </c>
      <c r="O186" s="22"/>
    </row>
    <row r="187" ht="202" customHeight="1" spans="1:15">
      <c r="A187" s="13">
        <v>186</v>
      </c>
      <c r="B187" s="14">
        <v>45841</v>
      </c>
      <c r="C187" s="16" t="s">
        <v>25</v>
      </c>
      <c r="D187" s="16" t="str">
        <f>VLOOKUP(E187,[1]Sheet3!A:B,2,0)</f>
        <v>冰箱</v>
      </c>
      <c r="E187" s="16" t="s">
        <v>41</v>
      </c>
      <c r="F187" s="16" t="s">
        <v>28</v>
      </c>
      <c r="G187" s="25" t="s">
        <v>3513</v>
      </c>
      <c r="H187" s="16" t="s">
        <v>3514</v>
      </c>
      <c r="I187" s="16"/>
      <c r="J187" s="26" t="s">
        <v>3515</v>
      </c>
      <c r="K187" s="27" t="s">
        <v>355</v>
      </c>
      <c r="L187" s="16"/>
      <c r="M187" s="26" t="s">
        <v>3516</v>
      </c>
      <c r="N187" s="23" t="s">
        <v>34</v>
      </c>
      <c r="O187" s="22"/>
    </row>
    <row r="188" ht="33" spans="1:15">
      <c r="A188" s="13">
        <v>187</v>
      </c>
      <c r="B188" s="14">
        <v>45841</v>
      </c>
      <c r="C188" s="16" t="s">
        <v>25</v>
      </c>
      <c r="D188" s="16" t="str">
        <f>VLOOKUP(E188,[1]Sheet3!A:B,2,0)</f>
        <v>微波和清洁</v>
      </c>
      <c r="E188" s="16" t="s">
        <v>223</v>
      </c>
      <c r="F188" s="16" t="s">
        <v>28</v>
      </c>
      <c r="G188" s="25" t="s">
        <v>3517</v>
      </c>
      <c r="H188" s="16" t="s">
        <v>3518</v>
      </c>
      <c r="I188" s="16"/>
      <c r="J188" s="26" t="s">
        <v>3519</v>
      </c>
      <c r="K188" s="27" t="s">
        <v>92</v>
      </c>
      <c r="L188" s="16"/>
      <c r="M188" s="26" t="s">
        <v>3520</v>
      </c>
      <c r="N188" s="23" t="s">
        <v>34</v>
      </c>
      <c r="O188" s="22"/>
    </row>
    <row r="189" spans="1:15">
      <c r="A189" s="13">
        <v>188</v>
      </c>
      <c r="B189" s="14">
        <v>45842</v>
      </c>
      <c r="C189" s="16" t="s">
        <v>25</v>
      </c>
      <c r="D189" s="16" t="str">
        <f>VLOOKUP(E189,[1]Sheet3!A:B,2,0)</f>
        <v>洗衣机</v>
      </c>
      <c r="E189" s="16" t="s">
        <v>35</v>
      </c>
      <c r="F189" s="16" t="s">
        <v>28</v>
      </c>
      <c r="G189" s="25" t="s">
        <v>3521</v>
      </c>
      <c r="H189" s="16" t="s">
        <v>3522</v>
      </c>
      <c r="I189" s="16"/>
      <c r="J189" s="26" t="s">
        <v>3523</v>
      </c>
      <c r="K189" s="27" t="s">
        <v>24</v>
      </c>
      <c r="L189" s="16"/>
      <c r="M189" s="26" t="s">
        <v>3524</v>
      </c>
      <c r="N189" s="23" t="s">
        <v>34</v>
      </c>
      <c r="O189" s="22"/>
    </row>
    <row r="190" spans="1:15">
      <c r="A190" s="13">
        <v>189</v>
      </c>
      <c r="B190" s="14">
        <v>45842</v>
      </c>
      <c r="C190" s="16" t="s">
        <v>25</v>
      </c>
      <c r="D190" s="16" t="str">
        <f>VLOOKUP(E190,[1]Sheet3!A:B,2,0)</f>
        <v>洗衣机</v>
      </c>
      <c r="E190" s="16" t="s">
        <v>35</v>
      </c>
      <c r="F190" s="16" t="s">
        <v>28</v>
      </c>
      <c r="G190" s="25" t="s">
        <v>3525</v>
      </c>
      <c r="H190" s="16" t="s">
        <v>3526</v>
      </c>
      <c r="I190" s="16"/>
      <c r="J190" s="26" t="s">
        <v>3523</v>
      </c>
      <c r="K190" s="27" t="s">
        <v>24</v>
      </c>
      <c r="L190" s="16"/>
      <c r="M190" s="26" t="s">
        <v>3524</v>
      </c>
      <c r="N190" s="23" t="s">
        <v>34</v>
      </c>
      <c r="O190" s="22"/>
    </row>
    <row r="191" ht="49.5" spans="1:15">
      <c r="A191" s="13">
        <v>190</v>
      </c>
      <c r="B191" s="14">
        <v>45842</v>
      </c>
      <c r="C191" s="16" t="s">
        <v>25</v>
      </c>
      <c r="D191" s="16" t="str">
        <f>VLOOKUP(E191,[1]Sheet3!A:B,2,0)</f>
        <v>冰箱</v>
      </c>
      <c r="E191" s="16" t="s">
        <v>148</v>
      </c>
      <c r="F191" s="16" t="s">
        <v>28</v>
      </c>
      <c r="G191" s="25" t="s">
        <v>3527</v>
      </c>
      <c r="H191" s="16" t="s">
        <v>3528</v>
      </c>
      <c r="I191" s="16"/>
      <c r="J191" s="26" t="s">
        <v>3523</v>
      </c>
      <c r="K191" s="27" t="s">
        <v>24</v>
      </c>
      <c r="L191" s="16"/>
      <c r="M191" s="26" t="s">
        <v>3529</v>
      </c>
      <c r="N191" s="23" t="s">
        <v>34</v>
      </c>
      <c r="O191" s="22"/>
    </row>
    <row r="192" ht="49.5" spans="1:15">
      <c r="A192" s="13">
        <v>191</v>
      </c>
      <c r="B192" s="14">
        <v>45842</v>
      </c>
      <c r="C192" s="16" t="s">
        <v>49</v>
      </c>
      <c r="D192" s="16" t="str">
        <f>VLOOKUP(E192,[1]Sheet3!A:B,2,0)</f>
        <v>冰箱</v>
      </c>
      <c r="E192" s="16" t="s">
        <v>41</v>
      </c>
      <c r="F192" s="16" t="s">
        <v>28</v>
      </c>
      <c r="G192" s="25" t="s">
        <v>3530</v>
      </c>
      <c r="H192" s="16" t="s">
        <v>3531</v>
      </c>
      <c r="I192" s="16"/>
      <c r="J192" s="26" t="s">
        <v>3532</v>
      </c>
      <c r="K192" s="27" t="s">
        <v>49</v>
      </c>
      <c r="L192" s="16"/>
      <c r="M192" s="26" t="s">
        <v>3533</v>
      </c>
      <c r="N192" s="23" t="s">
        <v>34</v>
      </c>
      <c r="O192" s="22"/>
    </row>
    <row r="193" spans="1:15">
      <c r="A193" s="13">
        <v>192</v>
      </c>
      <c r="B193" s="14">
        <v>45842</v>
      </c>
      <c r="C193" s="16" t="s">
        <v>49</v>
      </c>
      <c r="D193" s="16" t="str">
        <f>VLOOKUP(E193,[1]Sheet3!A:B,2,0)</f>
        <v>洗衣机</v>
      </c>
      <c r="E193" s="16" t="s">
        <v>35</v>
      </c>
      <c r="F193" s="16" t="s">
        <v>28</v>
      </c>
      <c r="G193" s="25" t="s">
        <v>3534</v>
      </c>
      <c r="H193" s="16" t="s">
        <v>3535</v>
      </c>
      <c r="I193" s="16"/>
      <c r="J193" s="26" t="s">
        <v>3532</v>
      </c>
      <c r="K193" s="27" t="s">
        <v>49</v>
      </c>
      <c r="L193" s="16"/>
      <c r="M193" s="26" t="s">
        <v>3536</v>
      </c>
      <c r="N193" s="23" t="s">
        <v>34</v>
      </c>
      <c r="O193" s="22"/>
    </row>
    <row r="194" ht="33" spans="1:15">
      <c r="A194" s="13">
        <v>193</v>
      </c>
      <c r="B194" s="14">
        <v>45842</v>
      </c>
      <c r="C194" s="16" t="s">
        <v>49</v>
      </c>
      <c r="D194" s="16" t="str">
        <f>VLOOKUP(E194,[1]Sheet3!A:B,2,0)</f>
        <v>厨热</v>
      </c>
      <c r="E194" s="16" t="s">
        <v>154</v>
      </c>
      <c r="F194" s="16" t="s">
        <v>28</v>
      </c>
      <c r="G194" s="25" t="s">
        <v>3537</v>
      </c>
      <c r="H194" s="16" t="s">
        <v>3538</v>
      </c>
      <c r="I194" s="16"/>
      <c r="J194" s="26" t="s">
        <v>3532</v>
      </c>
      <c r="K194" s="27" t="s">
        <v>49</v>
      </c>
      <c r="L194" s="16"/>
      <c r="M194" s="26" t="s">
        <v>3539</v>
      </c>
      <c r="N194" s="23" t="s">
        <v>34</v>
      </c>
      <c r="O194" s="22"/>
    </row>
    <row r="195" ht="124" customHeight="1" spans="1:15">
      <c r="A195" s="13">
        <v>194</v>
      </c>
      <c r="B195" s="14">
        <v>45842</v>
      </c>
      <c r="C195" s="16" t="s">
        <v>25</v>
      </c>
      <c r="D195" s="16" t="str">
        <f>VLOOKUP(E195,[1]Sheet3!A:B,2,0)</f>
        <v>冰箱</v>
      </c>
      <c r="E195" s="16" t="s">
        <v>41</v>
      </c>
      <c r="F195" s="16" t="s">
        <v>28</v>
      </c>
      <c r="G195" s="25" t="s">
        <v>3540</v>
      </c>
      <c r="H195" s="16" t="s">
        <v>3541</v>
      </c>
      <c r="I195" s="16"/>
      <c r="J195" s="26" t="s">
        <v>3542</v>
      </c>
      <c r="K195" s="27" t="s">
        <v>355</v>
      </c>
      <c r="L195" s="16"/>
      <c r="M195" s="26" t="s">
        <v>3543</v>
      </c>
      <c r="N195" s="23" t="s">
        <v>34</v>
      </c>
      <c r="O195" s="22"/>
    </row>
    <row r="196" spans="1:15">
      <c r="A196" s="13">
        <v>195</v>
      </c>
      <c r="B196" s="14">
        <v>45842</v>
      </c>
      <c r="C196" s="16" t="s">
        <v>49</v>
      </c>
      <c r="D196" s="16" t="str">
        <f>VLOOKUP(E196,[1]Sheet3!A:B,2,0)</f>
        <v>冰箱</v>
      </c>
      <c r="E196" s="16" t="s">
        <v>41</v>
      </c>
      <c r="F196" s="16" t="s">
        <v>28</v>
      </c>
      <c r="G196" s="25" t="s">
        <v>3544</v>
      </c>
      <c r="H196" s="16" t="s">
        <v>3545</v>
      </c>
      <c r="I196" s="16"/>
      <c r="J196" s="26" t="s">
        <v>3532</v>
      </c>
      <c r="K196" s="27" t="s">
        <v>49</v>
      </c>
      <c r="L196" s="16"/>
      <c r="M196" s="26" t="s">
        <v>3546</v>
      </c>
      <c r="N196" s="23" t="s">
        <v>34</v>
      </c>
      <c r="O196" s="22"/>
    </row>
    <row r="197" ht="66" customHeight="1" spans="1:15">
      <c r="A197" s="13">
        <v>196</v>
      </c>
      <c r="B197" s="14">
        <v>45842</v>
      </c>
      <c r="C197" s="16" t="s">
        <v>68</v>
      </c>
      <c r="D197" s="16" t="str">
        <f>VLOOKUP(E197,[1]Sheet3!A:B,2,0)</f>
        <v>冰箱</v>
      </c>
      <c r="E197" s="16" t="s">
        <v>41</v>
      </c>
      <c r="F197" s="16" t="s">
        <v>28</v>
      </c>
      <c r="G197" s="25" t="s">
        <v>3547</v>
      </c>
      <c r="H197" s="16" t="s">
        <v>3548</v>
      </c>
      <c r="I197" s="16"/>
      <c r="J197" s="26" t="s">
        <v>3549</v>
      </c>
      <c r="K197" s="27" t="s">
        <v>355</v>
      </c>
      <c r="L197" s="16"/>
      <c r="M197" s="26" t="s">
        <v>3550</v>
      </c>
      <c r="N197" s="23" t="s">
        <v>34</v>
      </c>
      <c r="O197" s="22"/>
    </row>
    <row r="198" spans="1:15">
      <c r="A198" s="13">
        <v>197</v>
      </c>
      <c r="B198" s="14">
        <v>45845</v>
      </c>
      <c r="C198" s="16" t="s">
        <v>49</v>
      </c>
      <c r="D198" s="16" t="str">
        <f>VLOOKUP(E198,[1]Sheet3!A:B,2,0)</f>
        <v>冰箱</v>
      </c>
      <c r="E198" s="16" t="s">
        <v>41</v>
      </c>
      <c r="F198" s="16" t="s">
        <v>28</v>
      </c>
      <c r="G198" s="25" t="s">
        <v>3551</v>
      </c>
      <c r="H198" s="16" t="s">
        <v>3552</v>
      </c>
      <c r="I198" s="16"/>
      <c r="J198" s="26" t="s">
        <v>3553</v>
      </c>
      <c r="K198" s="27" t="s">
        <v>49</v>
      </c>
      <c r="L198" s="16"/>
      <c r="M198" s="26" t="s">
        <v>3554</v>
      </c>
      <c r="N198" s="23" t="s">
        <v>34</v>
      </c>
      <c r="O198" s="22"/>
    </row>
    <row r="199" spans="1:15">
      <c r="A199" s="13">
        <v>198</v>
      </c>
      <c r="B199" s="14">
        <v>45845</v>
      </c>
      <c r="C199" s="16" t="s">
        <v>49</v>
      </c>
      <c r="D199" s="16" t="str">
        <f>VLOOKUP(E199,[1]Sheet3!A:B,2,0)</f>
        <v>冰箱</v>
      </c>
      <c r="E199" s="16" t="s">
        <v>148</v>
      </c>
      <c r="F199" s="16" t="s">
        <v>28</v>
      </c>
      <c r="G199" s="25" t="s">
        <v>3555</v>
      </c>
      <c r="H199" s="16" t="s">
        <v>3556</v>
      </c>
      <c r="I199" s="16"/>
      <c r="J199" s="26" t="s">
        <v>3557</v>
      </c>
      <c r="K199" s="27" t="s">
        <v>49</v>
      </c>
      <c r="L199" s="16"/>
      <c r="M199" s="26" t="s">
        <v>3536</v>
      </c>
      <c r="N199" s="23" t="s">
        <v>34</v>
      </c>
      <c r="O199" s="22"/>
    </row>
    <row r="200" spans="1:15">
      <c r="A200" s="13">
        <v>199</v>
      </c>
      <c r="B200" s="14">
        <v>45845</v>
      </c>
      <c r="C200" s="16" t="s">
        <v>49</v>
      </c>
      <c r="D200" s="16" t="str">
        <f>VLOOKUP(E200,[1]Sheet3!A:B,2,0)</f>
        <v>冰箱</v>
      </c>
      <c r="E200" s="16" t="s">
        <v>41</v>
      </c>
      <c r="F200" s="16" t="s">
        <v>28</v>
      </c>
      <c r="G200" s="25" t="s">
        <v>3558</v>
      </c>
      <c r="H200" s="16" t="s">
        <v>3559</v>
      </c>
      <c r="I200" s="16"/>
      <c r="J200" s="26" t="s">
        <v>3557</v>
      </c>
      <c r="K200" s="27" t="s">
        <v>49</v>
      </c>
      <c r="L200" s="16"/>
      <c r="M200" s="26" t="s">
        <v>3536</v>
      </c>
      <c r="N200" s="23" t="s">
        <v>34</v>
      </c>
      <c r="O200" s="22"/>
    </row>
    <row r="201" spans="1:15">
      <c r="A201" s="13">
        <v>200</v>
      </c>
      <c r="B201" s="14">
        <v>45845</v>
      </c>
      <c r="C201" s="16" t="s">
        <v>25</v>
      </c>
      <c r="D201" s="16" t="str">
        <f>VLOOKUP(E201,[1]Sheet3!A:B,2,0)</f>
        <v>冰箱</v>
      </c>
      <c r="E201" s="16" t="s">
        <v>41</v>
      </c>
      <c r="F201" s="16" t="s">
        <v>28</v>
      </c>
      <c r="G201" s="25" t="s">
        <v>3560</v>
      </c>
      <c r="H201" s="16" t="s">
        <v>3561</v>
      </c>
      <c r="I201" s="16"/>
      <c r="J201" s="26" t="s">
        <v>3562</v>
      </c>
      <c r="K201" s="27" t="s">
        <v>24</v>
      </c>
      <c r="L201" s="16"/>
      <c r="M201" s="26" t="s">
        <v>3563</v>
      </c>
      <c r="N201" s="23" t="s">
        <v>34</v>
      </c>
      <c r="O201" s="22"/>
    </row>
    <row r="202" ht="33" spans="1:15">
      <c r="A202" s="13">
        <v>201</v>
      </c>
      <c r="B202" s="14">
        <v>45846</v>
      </c>
      <c r="C202" s="16" t="s">
        <v>25</v>
      </c>
      <c r="D202" s="16" t="str">
        <f>VLOOKUP(E202,[1]Sheet3!A:B,2,0)</f>
        <v>厨热</v>
      </c>
      <c r="E202" s="16" t="s">
        <v>411</v>
      </c>
      <c r="F202" s="16" t="s">
        <v>28</v>
      </c>
      <c r="G202" s="25" t="s">
        <v>3564</v>
      </c>
      <c r="H202" s="16">
        <v>285472060</v>
      </c>
      <c r="I202" s="16"/>
      <c r="J202" s="26" t="s">
        <v>3565</v>
      </c>
      <c r="K202" s="27" t="s">
        <v>24</v>
      </c>
      <c r="L202" s="16"/>
      <c r="M202" s="26" t="s">
        <v>3566</v>
      </c>
      <c r="N202" s="23" t="s">
        <v>34</v>
      </c>
      <c r="O202" s="22"/>
    </row>
    <row r="203" spans="1:15">
      <c r="A203" s="13">
        <v>202</v>
      </c>
      <c r="B203" s="14">
        <v>45846</v>
      </c>
      <c r="C203" s="16" t="s">
        <v>49</v>
      </c>
      <c r="D203" s="16" t="str">
        <f>VLOOKUP(E203,[1]Sheet3!A:B,2,0)</f>
        <v>厨热</v>
      </c>
      <c r="E203" s="16" t="s">
        <v>154</v>
      </c>
      <c r="F203" s="16" t="s">
        <v>28</v>
      </c>
      <c r="G203" s="25" t="s">
        <v>3567</v>
      </c>
      <c r="H203" s="16" t="s">
        <v>3568</v>
      </c>
      <c r="I203" s="16"/>
      <c r="J203" s="16" t="s">
        <v>3569</v>
      </c>
      <c r="K203" s="27" t="s">
        <v>49</v>
      </c>
      <c r="L203" s="16"/>
      <c r="M203" s="16" t="s">
        <v>3570</v>
      </c>
      <c r="N203" s="23" t="s">
        <v>34</v>
      </c>
      <c r="O203" s="22"/>
    </row>
    <row r="204" ht="33" spans="1:15">
      <c r="A204" s="13">
        <v>203</v>
      </c>
      <c r="B204" s="14">
        <v>45847</v>
      </c>
      <c r="C204" s="16" t="s">
        <v>25</v>
      </c>
      <c r="D204" s="16" t="str">
        <f>VLOOKUP(E204,[1]Sheet3!A:B,2,0)</f>
        <v>冰箱</v>
      </c>
      <c r="E204" s="16" t="s">
        <v>41</v>
      </c>
      <c r="F204" s="16" t="s">
        <v>28</v>
      </c>
      <c r="G204" s="25" t="s">
        <v>3571</v>
      </c>
      <c r="H204" s="16" t="s">
        <v>3572</v>
      </c>
      <c r="I204" s="16"/>
      <c r="J204" s="26" t="s">
        <v>3573</v>
      </c>
      <c r="K204" s="27" t="s">
        <v>24</v>
      </c>
      <c r="L204" s="16"/>
      <c r="M204" s="26" t="s">
        <v>3574</v>
      </c>
      <c r="N204" s="23" t="s">
        <v>34</v>
      </c>
      <c r="O204" s="22"/>
    </row>
    <row r="205" ht="49.5" spans="1:15">
      <c r="A205" s="13">
        <v>204</v>
      </c>
      <c r="B205" s="14">
        <v>45847</v>
      </c>
      <c r="C205" s="16" t="s">
        <v>25</v>
      </c>
      <c r="D205" s="16" t="str">
        <f>VLOOKUP(E205,[1]Sheet3!A:B,2,0)</f>
        <v>冰箱</v>
      </c>
      <c r="E205" s="16" t="s">
        <v>41</v>
      </c>
      <c r="F205" s="16" t="s">
        <v>28</v>
      </c>
      <c r="G205" s="25" t="s">
        <v>3575</v>
      </c>
      <c r="H205" s="16" t="s">
        <v>3576</v>
      </c>
      <c r="I205" s="16"/>
      <c r="J205" s="26" t="s">
        <v>3577</v>
      </c>
      <c r="K205" s="27" t="s">
        <v>24</v>
      </c>
      <c r="L205" s="16"/>
      <c r="M205" s="26" t="s">
        <v>3578</v>
      </c>
      <c r="N205" s="23" t="s">
        <v>34</v>
      </c>
      <c r="O205" s="22"/>
    </row>
    <row r="206" spans="1:15">
      <c r="A206" s="13">
        <v>205</v>
      </c>
      <c r="B206" s="14">
        <v>45847</v>
      </c>
      <c r="C206" s="16" t="s">
        <v>68</v>
      </c>
      <c r="D206" s="16" t="str">
        <f>VLOOKUP(E206,[1]Sheet3!A:B,2,0)</f>
        <v>洗衣机</v>
      </c>
      <c r="E206" s="16" t="s">
        <v>35</v>
      </c>
      <c r="F206" s="16" t="s">
        <v>28</v>
      </c>
      <c r="G206" s="25" t="s">
        <v>3579</v>
      </c>
      <c r="H206" s="16">
        <v>255271868</v>
      </c>
      <c r="I206" s="16"/>
      <c r="J206" s="16" t="s">
        <v>3580</v>
      </c>
      <c r="K206" s="27" t="s">
        <v>68</v>
      </c>
      <c r="L206" s="16"/>
      <c r="M206" s="16" t="s">
        <v>3581</v>
      </c>
      <c r="N206" s="23" t="s">
        <v>34</v>
      </c>
      <c r="O206" s="22"/>
    </row>
    <row r="207" spans="1:15">
      <c r="A207" s="13">
        <v>206</v>
      </c>
      <c r="B207" s="14">
        <v>45848</v>
      </c>
      <c r="C207" s="16" t="s">
        <v>25</v>
      </c>
      <c r="D207" s="16" t="str">
        <f>VLOOKUP(E207,[1]Sheet3!A:B,2,0)</f>
        <v>洗衣机</v>
      </c>
      <c r="E207" s="16" t="s">
        <v>35</v>
      </c>
      <c r="F207" s="16" t="s">
        <v>28</v>
      </c>
      <c r="G207" s="25" t="s">
        <v>3582</v>
      </c>
      <c r="H207" s="16" t="s">
        <v>3583</v>
      </c>
      <c r="I207" s="16"/>
      <c r="J207" s="16" t="s">
        <v>3584</v>
      </c>
      <c r="K207" s="27" t="s">
        <v>24</v>
      </c>
      <c r="L207" s="16"/>
      <c r="M207" s="16" t="s">
        <v>3585</v>
      </c>
      <c r="N207" s="23" t="s">
        <v>34</v>
      </c>
      <c r="O207" s="22"/>
    </row>
    <row r="208" spans="1:15">
      <c r="A208" s="13">
        <v>207</v>
      </c>
      <c r="B208" s="14">
        <v>45848</v>
      </c>
      <c r="C208" s="16" t="s">
        <v>49</v>
      </c>
      <c r="D208" s="16" t="str">
        <f>VLOOKUP(E208,[1]Sheet3!A:B,2,0)</f>
        <v>家用空调</v>
      </c>
      <c r="E208" s="16" t="s">
        <v>318</v>
      </c>
      <c r="F208" s="16" t="s">
        <v>28</v>
      </c>
      <c r="G208" s="25" t="s">
        <v>3586</v>
      </c>
      <c r="H208" s="16" t="s">
        <v>3587</v>
      </c>
      <c r="I208" s="16"/>
      <c r="J208" s="26" t="s">
        <v>3588</v>
      </c>
      <c r="K208" s="27" t="s">
        <v>49</v>
      </c>
      <c r="L208" s="16"/>
      <c r="M208" s="26" t="s">
        <v>3589</v>
      </c>
      <c r="N208" s="23" t="s">
        <v>34</v>
      </c>
      <c r="O208" s="22"/>
    </row>
    <row r="209" spans="1:15">
      <c r="A209" s="13">
        <v>208</v>
      </c>
      <c r="B209" s="14">
        <v>45848</v>
      </c>
      <c r="C209" s="16" t="s">
        <v>68</v>
      </c>
      <c r="D209" s="16" t="str">
        <f>VLOOKUP(E209,[1]Sheet3!A:B,2,0)</f>
        <v>冰箱</v>
      </c>
      <c r="E209" s="16" t="s">
        <v>41</v>
      </c>
      <c r="F209" s="16" t="s">
        <v>28</v>
      </c>
      <c r="G209" s="25" t="s">
        <v>3590</v>
      </c>
      <c r="H209" s="16" t="s">
        <v>3591</v>
      </c>
      <c r="I209" s="16"/>
      <c r="J209" s="26" t="s">
        <v>3357</v>
      </c>
      <c r="K209" s="27" t="s">
        <v>68</v>
      </c>
      <c r="L209" s="16"/>
      <c r="M209" s="26" t="s">
        <v>3592</v>
      </c>
      <c r="N209" s="23" t="s">
        <v>34</v>
      </c>
      <c r="O209" s="22"/>
    </row>
    <row r="210" ht="252" customHeight="1" spans="1:15">
      <c r="A210" s="13">
        <v>209</v>
      </c>
      <c r="B210" s="14">
        <v>45848</v>
      </c>
      <c r="C210" s="16" t="s">
        <v>403</v>
      </c>
      <c r="D210" s="16" t="str">
        <f>VLOOKUP(E210,[1]Sheet3!A:B,2,0)</f>
        <v>洗衣机</v>
      </c>
      <c r="E210" s="16" t="s">
        <v>35</v>
      </c>
      <c r="F210" s="16" t="s">
        <v>28</v>
      </c>
      <c r="G210" s="25" t="s">
        <v>3593</v>
      </c>
      <c r="H210" s="16" t="s">
        <v>3594</v>
      </c>
      <c r="I210" s="16"/>
      <c r="J210" s="26" t="s">
        <v>3595</v>
      </c>
      <c r="K210" s="27" t="s">
        <v>92</v>
      </c>
      <c r="L210" s="16"/>
      <c r="M210" s="26" t="s">
        <v>3596</v>
      </c>
      <c r="N210" s="23" t="s">
        <v>34</v>
      </c>
      <c r="O210" s="22"/>
    </row>
    <row r="211" ht="184" customHeight="1" spans="1:15">
      <c r="A211" s="13">
        <v>210</v>
      </c>
      <c r="B211" s="14">
        <v>45848</v>
      </c>
      <c r="C211" s="16" t="s">
        <v>403</v>
      </c>
      <c r="D211" s="16" t="str">
        <f>VLOOKUP(E211,[1]Sheet3!A:B,2,0)</f>
        <v>洗衣机</v>
      </c>
      <c r="E211" s="16" t="s">
        <v>35</v>
      </c>
      <c r="F211" s="16" t="s">
        <v>28</v>
      </c>
      <c r="G211" s="25" t="s">
        <v>3597</v>
      </c>
      <c r="H211" s="16" t="s">
        <v>3598</v>
      </c>
      <c r="I211" s="16"/>
      <c r="J211" s="26" t="s">
        <v>3599</v>
      </c>
      <c r="K211" s="27" t="s">
        <v>92</v>
      </c>
      <c r="L211" s="16"/>
      <c r="M211" s="26" t="s">
        <v>3600</v>
      </c>
      <c r="N211" s="23" t="s">
        <v>34</v>
      </c>
      <c r="O211" s="22"/>
    </row>
    <row r="212" ht="204" customHeight="1" spans="1:15">
      <c r="A212" s="13">
        <v>211</v>
      </c>
      <c r="B212" s="14">
        <v>45848</v>
      </c>
      <c r="C212" s="16" t="s">
        <v>403</v>
      </c>
      <c r="D212" s="16" t="str">
        <f>VLOOKUP(E212,[1]Sheet3!A:B,2,0)</f>
        <v>洗衣机</v>
      </c>
      <c r="E212" s="16" t="s">
        <v>35</v>
      </c>
      <c r="F212" s="16" t="s">
        <v>28</v>
      </c>
      <c r="G212" s="25" t="s">
        <v>3601</v>
      </c>
      <c r="H212" s="16" t="s">
        <v>3602</v>
      </c>
      <c r="I212" s="16"/>
      <c r="J212" s="26" t="s">
        <v>3599</v>
      </c>
      <c r="K212" s="27" t="s">
        <v>92</v>
      </c>
      <c r="L212" s="16"/>
      <c r="M212" s="26" t="s">
        <v>3603</v>
      </c>
      <c r="N212" s="23" t="s">
        <v>34</v>
      </c>
      <c r="O212" s="22"/>
    </row>
    <row r="213" ht="49.5" spans="1:15">
      <c r="A213" s="13">
        <v>212</v>
      </c>
      <c r="B213" s="14">
        <v>45851</v>
      </c>
      <c r="C213" s="16" t="s">
        <v>25</v>
      </c>
      <c r="D213" s="16" t="str">
        <f>VLOOKUP(E213,[1]Sheet3!A:B,2,0)</f>
        <v>冰箱</v>
      </c>
      <c r="E213" s="16" t="s">
        <v>41</v>
      </c>
      <c r="F213" s="16" t="s">
        <v>28</v>
      </c>
      <c r="G213" s="25" t="s">
        <v>3604</v>
      </c>
      <c r="H213" s="16" t="s">
        <v>3605</v>
      </c>
      <c r="I213" s="16"/>
      <c r="J213" s="16" t="s">
        <v>3606</v>
      </c>
      <c r="K213" s="27" t="s">
        <v>3607</v>
      </c>
      <c r="L213" s="16"/>
      <c r="M213" s="26" t="s">
        <v>3608</v>
      </c>
      <c r="N213" s="23" t="s">
        <v>34</v>
      </c>
      <c r="O213" s="22"/>
    </row>
    <row r="214" spans="1:15">
      <c r="A214" s="13">
        <v>213</v>
      </c>
      <c r="B214" s="14">
        <v>45849</v>
      </c>
      <c r="C214" s="16" t="s">
        <v>49</v>
      </c>
      <c r="D214" s="16" t="str">
        <f>VLOOKUP(E214,[1]Sheet3!A:B,2,0)</f>
        <v>冰箱</v>
      </c>
      <c r="E214" s="16" t="s">
        <v>41</v>
      </c>
      <c r="F214" s="16" t="s">
        <v>28</v>
      </c>
      <c r="G214" s="25" t="s">
        <v>3609</v>
      </c>
      <c r="H214" s="16" t="s">
        <v>3610</v>
      </c>
      <c r="I214" s="16"/>
      <c r="J214" s="26" t="s">
        <v>3611</v>
      </c>
      <c r="K214" s="27" t="s">
        <v>49</v>
      </c>
      <c r="L214" s="16"/>
      <c r="M214" s="26" t="s">
        <v>3612</v>
      </c>
      <c r="N214" s="23" t="s">
        <v>34</v>
      </c>
      <c r="O214" s="22"/>
    </row>
    <row r="215" ht="33" spans="1:15">
      <c r="A215" s="13">
        <v>214</v>
      </c>
      <c r="B215" s="14">
        <v>45849</v>
      </c>
      <c r="C215" s="16" t="s">
        <v>49</v>
      </c>
      <c r="D215" s="16" t="str">
        <f>VLOOKUP(E215,[1]Sheet3!A:B,2,0)</f>
        <v>采购中心</v>
      </c>
      <c r="E215" s="16" t="s">
        <v>108</v>
      </c>
      <c r="F215" s="16" t="s">
        <v>28</v>
      </c>
      <c r="G215" s="25" t="s">
        <v>3613</v>
      </c>
      <c r="H215" s="16" t="s">
        <v>3614</v>
      </c>
      <c r="I215" s="16"/>
      <c r="J215" s="16" t="s">
        <v>3615</v>
      </c>
      <c r="K215" s="27" t="s">
        <v>49</v>
      </c>
      <c r="L215" s="16"/>
      <c r="M215" s="26" t="s">
        <v>3616</v>
      </c>
      <c r="N215" s="23" t="s">
        <v>34</v>
      </c>
      <c r="O215" s="22"/>
    </row>
    <row r="216" ht="49.5" spans="1:15">
      <c r="A216" s="13">
        <v>215</v>
      </c>
      <c r="B216" s="14">
        <v>45849</v>
      </c>
      <c r="C216" s="16" t="s">
        <v>49</v>
      </c>
      <c r="D216" s="16" t="str">
        <f>VLOOKUP(E216,[1]Sheet3!A:B,2,0)</f>
        <v>洗衣机</v>
      </c>
      <c r="E216" s="16" t="s">
        <v>35</v>
      </c>
      <c r="F216" s="16" t="s">
        <v>28</v>
      </c>
      <c r="G216" s="25" t="s">
        <v>3617</v>
      </c>
      <c r="H216" s="16" t="s">
        <v>3618</v>
      </c>
      <c r="I216" s="16"/>
      <c r="J216" s="16" t="s">
        <v>3619</v>
      </c>
      <c r="K216" s="27" t="s">
        <v>49</v>
      </c>
      <c r="L216" s="16"/>
      <c r="M216" s="26" t="s">
        <v>3620</v>
      </c>
      <c r="N216" s="23" t="s">
        <v>34</v>
      </c>
      <c r="O216" s="22"/>
    </row>
    <row r="217" ht="33" spans="1:15">
      <c r="A217" s="13">
        <v>216</v>
      </c>
      <c r="B217" s="14">
        <v>45852</v>
      </c>
      <c r="C217" s="16" t="s">
        <v>25</v>
      </c>
      <c r="D217" s="16" t="str">
        <f>VLOOKUP(E217,[1]Sheet3!A:B,2,0)</f>
        <v>洗衣机</v>
      </c>
      <c r="E217" s="16" t="s">
        <v>35</v>
      </c>
      <c r="F217" s="16" t="s">
        <v>28</v>
      </c>
      <c r="G217" s="25" t="s">
        <v>3621</v>
      </c>
      <c r="H217" s="16" t="s">
        <v>3622</v>
      </c>
      <c r="I217" s="16"/>
      <c r="J217" s="26" t="s">
        <v>3623</v>
      </c>
      <c r="K217" s="2" t="s">
        <v>355</v>
      </c>
      <c r="L217" s="16"/>
      <c r="M217" s="26" t="s">
        <v>3624</v>
      </c>
      <c r="N217" s="23" t="s">
        <v>34</v>
      </c>
      <c r="O217" s="22"/>
    </row>
    <row r="218" ht="82.5" spans="1:15">
      <c r="A218" s="13">
        <v>217</v>
      </c>
      <c r="B218" s="14">
        <v>45852</v>
      </c>
      <c r="C218" s="16" t="s">
        <v>403</v>
      </c>
      <c r="D218" s="16" t="str">
        <f>VLOOKUP(E218,[1]Sheet3!A:B,2,0)</f>
        <v>冰箱</v>
      </c>
      <c r="E218" s="16" t="s">
        <v>41</v>
      </c>
      <c r="F218" s="16" t="s">
        <v>28</v>
      </c>
      <c r="G218" s="25" t="s">
        <v>3625</v>
      </c>
      <c r="H218" s="16">
        <v>254168784</v>
      </c>
      <c r="I218" s="16"/>
      <c r="J218" s="16" t="s">
        <v>3626</v>
      </c>
      <c r="K218" s="27" t="s">
        <v>24</v>
      </c>
      <c r="L218" s="16"/>
      <c r="M218" s="26" t="s">
        <v>3627</v>
      </c>
      <c r="N218" s="23" t="s">
        <v>34</v>
      </c>
      <c r="O218" s="22"/>
    </row>
    <row r="219" spans="1:15">
      <c r="A219" s="13">
        <v>218</v>
      </c>
      <c r="B219" s="14">
        <v>45852</v>
      </c>
      <c r="C219" s="16" t="s">
        <v>25</v>
      </c>
      <c r="D219" s="16" t="str">
        <f>VLOOKUP(E219,[1]Sheet3!A:B,2,0)</f>
        <v>冰箱</v>
      </c>
      <c r="E219" s="16" t="s">
        <v>41</v>
      </c>
      <c r="F219" s="16" t="s">
        <v>28</v>
      </c>
      <c r="G219" s="115" t="s">
        <v>3628</v>
      </c>
      <c r="H219" s="16" t="s">
        <v>3629</v>
      </c>
      <c r="I219" s="16"/>
      <c r="J219" s="26" t="s">
        <v>3630</v>
      </c>
      <c r="K219" s="27" t="s">
        <v>24</v>
      </c>
      <c r="L219" s="16"/>
      <c r="M219" s="26" t="s">
        <v>3631</v>
      </c>
      <c r="N219" s="23" t="s">
        <v>34</v>
      </c>
      <c r="O219" s="22"/>
    </row>
    <row r="220" spans="1:15">
      <c r="A220" s="13">
        <v>219</v>
      </c>
      <c r="B220" s="14">
        <v>45852</v>
      </c>
      <c r="C220" s="16" t="s">
        <v>49</v>
      </c>
      <c r="D220" s="16" t="str">
        <f>VLOOKUP(E220,[1]Sheet3!A:B,2,0)</f>
        <v>洗衣机</v>
      </c>
      <c r="E220" s="16" t="s">
        <v>35</v>
      </c>
      <c r="F220" s="16" t="s">
        <v>28</v>
      </c>
      <c r="G220" s="25" t="s">
        <v>3632</v>
      </c>
      <c r="H220" s="16" t="s">
        <v>3633</v>
      </c>
      <c r="I220" s="16"/>
      <c r="J220" s="26" t="s">
        <v>3634</v>
      </c>
      <c r="K220" s="27" t="s">
        <v>49</v>
      </c>
      <c r="L220" s="16"/>
      <c r="M220" s="26" t="s">
        <v>3635</v>
      </c>
      <c r="N220" s="23" t="s">
        <v>34</v>
      </c>
      <c r="O220" s="22"/>
    </row>
    <row r="221" spans="1:15">
      <c r="A221" s="13">
        <v>220</v>
      </c>
      <c r="B221" s="14">
        <v>45852</v>
      </c>
      <c r="C221" s="16" t="s">
        <v>49</v>
      </c>
      <c r="D221" s="16" t="str">
        <f>VLOOKUP(E221,[1]Sheet3!A:B,2,0)</f>
        <v>洗衣机</v>
      </c>
      <c r="E221" s="16" t="s">
        <v>35</v>
      </c>
      <c r="F221" s="16" t="s">
        <v>28</v>
      </c>
      <c r="G221" s="25" t="s">
        <v>3636</v>
      </c>
      <c r="H221" s="16" t="s">
        <v>3637</v>
      </c>
      <c r="I221" s="16"/>
      <c r="J221" s="26" t="s">
        <v>3638</v>
      </c>
      <c r="K221" s="27" t="s">
        <v>49</v>
      </c>
      <c r="L221" s="16"/>
      <c r="M221" s="26" t="s">
        <v>3639</v>
      </c>
      <c r="N221" s="23" t="s">
        <v>34</v>
      </c>
      <c r="O221" s="22"/>
    </row>
    <row r="222" ht="33" spans="1:15">
      <c r="A222" s="13">
        <v>221</v>
      </c>
      <c r="B222" s="14">
        <v>45853</v>
      </c>
      <c r="C222" s="16" t="s">
        <v>49</v>
      </c>
      <c r="D222" s="16" t="str">
        <f>VLOOKUP(E222,[1]Sheet3!A:B,2,0)</f>
        <v>冰箱</v>
      </c>
      <c r="E222" s="16" t="s">
        <v>41</v>
      </c>
      <c r="F222" s="16" t="s">
        <v>28</v>
      </c>
      <c r="G222" s="25" t="s">
        <v>3640</v>
      </c>
      <c r="H222" s="16" t="s">
        <v>3641</v>
      </c>
      <c r="I222" s="16"/>
      <c r="J222" s="16" t="s">
        <v>3642</v>
      </c>
      <c r="K222" s="27" t="s">
        <v>49</v>
      </c>
      <c r="L222" s="16"/>
      <c r="M222" s="26" t="s">
        <v>3643</v>
      </c>
      <c r="N222" s="23" t="s">
        <v>34</v>
      </c>
      <c r="O222" s="22"/>
    </row>
    <row r="223" ht="49.5" spans="1:15">
      <c r="A223" s="13">
        <v>222</v>
      </c>
      <c r="B223" s="14">
        <v>45854</v>
      </c>
      <c r="C223" s="16" t="s">
        <v>25</v>
      </c>
      <c r="D223" s="16" t="str">
        <f>VLOOKUP(E223,[1]Sheet3!A:B,2,0)</f>
        <v>冰箱</v>
      </c>
      <c r="E223" s="16" t="s">
        <v>41</v>
      </c>
      <c r="F223" s="16" t="s">
        <v>28</v>
      </c>
      <c r="G223" s="25" t="s">
        <v>3644</v>
      </c>
      <c r="H223" s="16" t="s">
        <v>3645</v>
      </c>
      <c r="I223" s="16"/>
      <c r="J223" s="26" t="s">
        <v>3646</v>
      </c>
      <c r="K223" s="27" t="s">
        <v>24</v>
      </c>
      <c r="L223" s="16"/>
      <c r="M223" s="26" t="s">
        <v>3647</v>
      </c>
      <c r="N223" s="23" t="s">
        <v>34</v>
      </c>
      <c r="O223" s="22"/>
    </row>
    <row r="224" ht="188" customHeight="1" spans="1:15">
      <c r="A224" s="13">
        <v>223</v>
      </c>
      <c r="B224" s="14">
        <v>45854</v>
      </c>
      <c r="C224" s="16" t="s">
        <v>25</v>
      </c>
      <c r="D224" s="16" t="str">
        <f>VLOOKUP(E224,[1]Sheet3!A:B,2,0)</f>
        <v>厨热</v>
      </c>
      <c r="E224" s="16" t="s">
        <v>154</v>
      </c>
      <c r="F224" s="16" t="s">
        <v>28</v>
      </c>
      <c r="G224" s="25" t="s">
        <v>3648</v>
      </c>
      <c r="H224" s="16" t="s">
        <v>3649</v>
      </c>
      <c r="I224" s="16"/>
      <c r="J224" s="26" t="s">
        <v>3650</v>
      </c>
      <c r="K224" s="27" t="s">
        <v>24</v>
      </c>
      <c r="L224" s="16"/>
      <c r="M224" s="26" t="s">
        <v>3651</v>
      </c>
      <c r="N224" s="23" t="s">
        <v>34</v>
      </c>
      <c r="O224" s="22"/>
    </row>
    <row r="225" spans="1:15">
      <c r="A225" s="13">
        <v>224</v>
      </c>
      <c r="B225" s="14">
        <v>45854</v>
      </c>
      <c r="C225" s="16" t="s">
        <v>25</v>
      </c>
      <c r="D225" s="16" t="str">
        <f>VLOOKUP(E225,[1]Sheet3!A:B,2,0)</f>
        <v>冰箱</v>
      </c>
      <c r="E225" s="16" t="s">
        <v>41</v>
      </c>
      <c r="F225" s="16" t="s">
        <v>28</v>
      </c>
      <c r="G225" s="25" t="s">
        <v>3652</v>
      </c>
      <c r="H225" s="16" t="s">
        <v>3653</v>
      </c>
      <c r="I225" s="16"/>
      <c r="J225" s="26" t="s">
        <v>3654</v>
      </c>
      <c r="K225" s="27" t="s">
        <v>355</v>
      </c>
      <c r="L225" s="16"/>
      <c r="M225" s="26" t="s">
        <v>3655</v>
      </c>
      <c r="N225" s="23" t="s">
        <v>34</v>
      </c>
      <c r="O225" s="22"/>
    </row>
    <row r="226" spans="1:15">
      <c r="A226" s="13">
        <v>225</v>
      </c>
      <c r="B226" s="14">
        <v>45854</v>
      </c>
      <c r="C226" s="16" t="s">
        <v>68</v>
      </c>
      <c r="D226" s="16" t="str">
        <f>VLOOKUP(E226,[1]Sheet3!A:B,2,0)</f>
        <v>冰箱</v>
      </c>
      <c r="E226" s="16" t="s">
        <v>41</v>
      </c>
      <c r="F226" s="16" t="s">
        <v>28</v>
      </c>
      <c r="G226" s="25" t="s">
        <v>3656</v>
      </c>
      <c r="H226" s="16">
        <v>256264329</v>
      </c>
      <c r="I226" s="16"/>
      <c r="J226" s="26" t="s">
        <v>3657</v>
      </c>
      <c r="K226" s="27" t="s">
        <v>24</v>
      </c>
      <c r="L226" s="16"/>
      <c r="M226" s="26" t="s">
        <v>3658</v>
      </c>
      <c r="N226" s="23" t="s">
        <v>34</v>
      </c>
      <c r="O226" s="22"/>
    </row>
    <row r="227" spans="1:15">
      <c r="A227" s="13">
        <v>226</v>
      </c>
      <c r="B227" s="14">
        <v>45855</v>
      </c>
      <c r="C227" s="16" t="s">
        <v>49</v>
      </c>
      <c r="D227" s="16" t="str">
        <f>VLOOKUP(E227,[1]Sheet3!A:B,2,0)</f>
        <v>洗衣机</v>
      </c>
      <c r="E227" s="16" t="s">
        <v>27</v>
      </c>
      <c r="F227" s="16" t="s">
        <v>28</v>
      </c>
      <c r="G227" s="25" t="s">
        <v>3659</v>
      </c>
      <c r="H227" s="16" t="s">
        <v>3660</v>
      </c>
      <c r="I227" s="16"/>
      <c r="J227" s="26" t="s">
        <v>3661</v>
      </c>
      <c r="K227" s="27" t="s">
        <v>49</v>
      </c>
      <c r="L227" s="16"/>
      <c r="M227" s="26" t="s">
        <v>3662</v>
      </c>
      <c r="N227" s="23" t="s">
        <v>34</v>
      </c>
      <c r="O227" s="22"/>
    </row>
    <row r="228" spans="1:15">
      <c r="A228" s="13">
        <v>227</v>
      </c>
      <c r="B228" s="14">
        <v>45855</v>
      </c>
      <c r="C228" s="16" t="s">
        <v>68</v>
      </c>
      <c r="D228" s="16" t="str">
        <f>VLOOKUP(E228,[1]Sheet3!A:B,2,0)</f>
        <v>洗衣机</v>
      </c>
      <c r="E228" s="16" t="s">
        <v>35</v>
      </c>
      <c r="F228" s="16" t="s">
        <v>28</v>
      </c>
      <c r="G228" s="25" t="s">
        <v>3663</v>
      </c>
      <c r="H228" s="16" t="s">
        <v>3664</v>
      </c>
      <c r="I228" s="16"/>
      <c r="J228" s="26" t="s">
        <v>3665</v>
      </c>
      <c r="K228" s="27" t="s">
        <v>32</v>
      </c>
      <c r="L228" s="16"/>
      <c r="M228" s="26" t="s">
        <v>3666</v>
      </c>
      <c r="N228" s="23" t="s">
        <v>34</v>
      </c>
      <c r="O228" s="22"/>
    </row>
    <row r="229" ht="25" customHeight="1" spans="1:15">
      <c r="A229" s="13">
        <v>228</v>
      </c>
      <c r="B229" s="14">
        <v>45855</v>
      </c>
      <c r="C229" s="16" t="s">
        <v>49</v>
      </c>
      <c r="D229" s="16" t="str">
        <f>VLOOKUP(E229,[1]Sheet3!A:B,2,0)</f>
        <v>洗衣机</v>
      </c>
      <c r="E229" s="16" t="s">
        <v>27</v>
      </c>
      <c r="F229" s="16" t="s">
        <v>28</v>
      </c>
      <c r="G229" s="25" t="s">
        <v>3667</v>
      </c>
      <c r="H229" s="16" t="s">
        <v>3668</v>
      </c>
      <c r="I229" s="16"/>
      <c r="J229" s="26" t="s">
        <v>3661</v>
      </c>
      <c r="K229" s="27" t="s">
        <v>49</v>
      </c>
      <c r="L229" s="16"/>
      <c r="M229" s="26" t="s">
        <v>3662</v>
      </c>
      <c r="N229" s="23" t="s">
        <v>34</v>
      </c>
      <c r="O229" s="22"/>
    </row>
    <row r="230" ht="148.5" spans="1:15">
      <c r="A230" s="13">
        <v>229</v>
      </c>
      <c r="B230" s="14">
        <v>45856</v>
      </c>
      <c r="C230" s="16" t="s">
        <v>25</v>
      </c>
      <c r="D230" s="16" t="str">
        <f>VLOOKUP(E230,[1]Sheet3!A:B,2,0)</f>
        <v>微波和清洁</v>
      </c>
      <c r="E230" s="16" t="s">
        <v>223</v>
      </c>
      <c r="F230" s="16" t="s">
        <v>28</v>
      </c>
      <c r="G230" s="25" t="s">
        <v>3669</v>
      </c>
      <c r="H230" s="16" t="s">
        <v>3670</v>
      </c>
      <c r="I230" s="16"/>
      <c r="J230" s="26" t="s">
        <v>3671</v>
      </c>
      <c r="K230" s="27" t="s">
        <v>355</v>
      </c>
      <c r="L230" s="16"/>
      <c r="M230" s="26" t="s">
        <v>3672</v>
      </c>
      <c r="N230" s="23" t="s">
        <v>34</v>
      </c>
      <c r="O230" s="22"/>
    </row>
    <row r="231" spans="1:15">
      <c r="A231" s="13">
        <v>230</v>
      </c>
      <c r="B231" s="14">
        <v>45856</v>
      </c>
      <c r="C231" s="16" t="s">
        <v>68</v>
      </c>
      <c r="D231" s="16" t="str">
        <f>VLOOKUP(E231,[1]Sheet3!A:B,2,0)</f>
        <v>厨热</v>
      </c>
      <c r="E231" s="16" t="s">
        <v>411</v>
      </c>
      <c r="F231" s="16" t="s">
        <v>28</v>
      </c>
      <c r="G231" s="25" t="s">
        <v>3673</v>
      </c>
      <c r="H231" s="16">
        <v>720954192</v>
      </c>
      <c r="I231" s="16"/>
      <c r="J231" s="26" t="s">
        <v>3674</v>
      </c>
      <c r="K231" s="27" t="s">
        <v>97</v>
      </c>
      <c r="L231" s="16"/>
      <c r="M231" s="26" t="s">
        <v>3675</v>
      </c>
      <c r="N231" s="23" t="s">
        <v>34</v>
      </c>
      <c r="O231" s="22"/>
    </row>
    <row r="232" ht="33" spans="1:15">
      <c r="A232" s="13">
        <v>231</v>
      </c>
      <c r="B232" s="14">
        <v>45858</v>
      </c>
      <c r="C232" s="16" t="s">
        <v>49</v>
      </c>
      <c r="D232" s="16" t="str">
        <f>VLOOKUP(E232,[1]Sheet3!A:B,2,0)</f>
        <v>家用空调</v>
      </c>
      <c r="E232" s="16" t="s">
        <v>318</v>
      </c>
      <c r="F232" s="16" t="s">
        <v>28</v>
      </c>
      <c r="G232" s="25" t="s">
        <v>3676</v>
      </c>
      <c r="H232" s="16" t="s">
        <v>3677</v>
      </c>
      <c r="I232" s="16"/>
      <c r="J232" s="26" t="s">
        <v>3678</v>
      </c>
      <c r="K232" s="27" t="s">
        <v>49</v>
      </c>
      <c r="L232" s="16"/>
      <c r="M232" s="26" t="s">
        <v>3679</v>
      </c>
      <c r="N232" s="23" t="s">
        <v>34</v>
      </c>
      <c r="O232" s="22"/>
    </row>
    <row r="233" spans="1:15">
      <c r="A233" s="13">
        <v>232</v>
      </c>
      <c r="B233" s="14">
        <v>45859</v>
      </c>
      <c r="C233" s="16" t="s">
        <v>25</v>
      </c>
      <c r="D233" s="16" t="str">
        <f>VLOOKUP(E233,[1]Sheet3!A:B,2,0)</f>
        <v>微波和清洁</v>
      </c>
      <c r="E233" s="16" t="s">
        <v>223</v>
      </c>
      <c r="F233" s="16" t="s">
        <v>28</v>
      </c>
      <c r="G233" s="25" t="s">
        <v>3680</v>
      </c>
      <c r="H233" s="16" t="s">
        <v>3681</v>
      </c>
      <c r="I233" s="16"/>
      <c r="J233" s="26" t="s">
        <v>3682</v>
      </c>
      <c r="K233" s="27" t="s">
        <v>92</v>
      </c>
      <c r="L233" s="16"/>
      <c r="M233" s="26" t="s">
        <v>3683</v>
      </c>
      <c r="N233" s="23" t="s">
        <v>34</v>
      </c>
      <c r="O233" s="22"/>
    </row>
    <row r="234" ht="237" customHeight="1" spans="1:15">
      <c r="A234" s="13">
        <v>233</v>
      </c>
      <c r="B234" s="14">
        <v>45859</v>
      </c>
      <c r="C234" s="16" t="s">
        <v>25</v>
      </c>
      <c r="D234" s="16" t="str">
        <f>VLOOKUP(E234,[1]Sheet3!A:B,2,0)</f>
        <v>楼宇</v>
      </c>
      <c r="E234" s="16" t="s">
        <v>70</v>
      </c>
      <c r="F234" s="16" t="s">
        <v>28</v>
      </c>
      <c r="G234" s="25" t="s">
        <v>3684</v>
      </c>
      <c r="H234" s="16" t="s">
        <v>3685</v>
      </c>
      <c r="I234" s="16"/>
      <c r="J234" s="26" t="s">
        <v>3686</v>
      </c>
      <c r="K234" s="27" t="s">
        <v>24</v>
      </c>
      <c r="L234" s="16"/>
      <c r="M234" s="26" t="s">
        <v>3687</v>
      </c>
      <c r="N234" s="23" t="s">
        <v>34</v>
      </c>
      <c r="O234" s="22"/>
    </row>
    <row r="235" ht="66" spans="1:15">
      <c r="A235" s="13">
        <v>234</v>
      </c>
      <c r="B235" s="14">
        <v>45859</v>
      </c>
      <c r="C235" s="16" t="s">
        <v>25</v>
      </c>
      <c r="D235" s="16" t="str">
        <f>VLOOKUP(E235,[1]Sheet3!A:B,2,0)</f>
        <v>厨热</v>
      </c>
      <c r="E235" s="16" t="s">
        <v>154</v>
      </c>
      <c r="F235" s="16" t="s">
        <v>28</v>
      </c>
      <c r="G235" s="25" t="s">
        <v>3688</v>
      </c>
      <c r="H235" s="16" t="s">
        <v>3689</v>
      </c>
      <c r="I235" s="16"/>
      <c r="J235" s="26" t="s">
        <v>3690</v>
      </c>
      <c r="K235" s="27" t="s">
        <v>92</v>
      </c>
      <c r="L235" s="16"/>
      <c r="M235" s="26" t="s">
        <v>3691</v>
      </c>
      <c r="N235" s="23" t="s">
        <v>34</v>
      </c>
      <c r="O235" s="22"/>
    </row>
    <row r="236" ht="66" spans="1:15">
      <c r="A236" s="13">
        <v>235</v>
      </c>
      <c r="B236" s="14">
        <v>45859</v>
      </c>
      <c r="C236" s="16" t="s">
        <v>25</v>
      </c>
      <c r="D236" s="16" t="str">
        <f>VLOOKUP(E236,[1]Sheet3!A:B,2,0)</f>
        <v>厨热</v>
      </c>
      <c r="E236" s="16" t="s">
        <v>154</v>
      </c>
      <c r="F236" s="16" t="s">
        <v>28</v>
      </c>
      <c r="G236" s="25" t="s">
        <v>3692</v>
      </c>
      <c r="H236" s="16" t="s">
        <v>3693</v>
      </c>
      <c r="I236" s="16"/>
      <c r="J236" s="26" t="s">
        <v>3690</v>
      </c>
      <c r="K236" s="27" t="s">
        <v>92</v>
      </c>
      <c r="L236" s="16"/>
      <c r="M236" s="26" t="s">
        <v>3691</v>
      </c>
      <c r="N236" s="23" t="s">
        <v>34</v>
      </c>
      <c r="O236" s="22"/>
    </row>
    <row r="237" ht="66" spans="1:15">
      <c r="A237" s="13">
        <v>236</v>
      </c>
      <c r="B237" s="14">
        <v>45859</v>
      </c>
      <c r="C237" s="16" t="s">
        <v>25</v>
      </c>
      <c r="D237" s="16" t="str">
        <f>VLOOKUP(E237,[1]Sheet3!A:B,2,0)</f>
        <v>厨热</v>
      </c>
      <c r="E237" s="16" t="s">
        <v>154</v>
      </c>
      <c r="F237" s="16" t="s">
        <v>28</v>
      </c>
      <c r="G237" s="25" t="s">
        <v>3694</v>
      </c>
      <c r="H237" s="16" t="s">
        <v>3695</v>
      </c>
      <c r="I237" s="16"/>
      <c r="J237" s="26" t="s">
        <v>3690</v>
      </c>
      <c r="K237" s="27" t="s">
        <v>92</v>
      </c>
      <c r="L237" s="16"/>
      <c r="M237" s="26" t="s">
        <v>3691</v>
      </c>
      <c r="N237" s="23" t="s">
        <v>34</v>
      </c>
      <c r="O237" s="22"/>
    </row>
    <row r="238" ht="66" spans="1:15">
      <c r="A238" s="13">
        <v>237</v>
      </c>
      <c r="B238" s="14">
        <v>45859</v>
      </c>
      <c r="C238" s="16" t="s">
        <v>25</v>
      </c>
      <c r="D238" s="16" t="str">
        <f>VLOOKUP(E238,[1]Sheet3!A:B,2,0)</f>
        <v>厨热</v>
      </c>
      <c r="E238" s="16" t="s">
        <v>154</v>
      </c>
      <c r="F238" s="16" t="s">
        <v>28</v>
      </c>
      <c r="G238" s="25" t="s">
        <v>3696</v>
      </c>
      <c r="H238" s="16" t="s">
        <v>3697</v>
      </c>
      <c r="I238" s="16"/>
      <c r="J238" s="26" t="s">
        <v>3690</v>
      </c>
      <c r="K238" s="27" t="s">
        <v>92</v>
      </c>
      <c r="L238" s="16"/>
      <c r="M238" s="26" t="s">
        <v>3691</v>
      </c>
      <c r="N238" s="23" t="s">
        <v>34</v>
      </c>
      <c r="O238" s="22"/>
    </row>
    <row r="239" ht="66" spans="1:15">
      <c r="A239" s="13">
        <v>238</v>
      </c>
      <c r="B239" s="14">
        <v>45859</v>
      </c>
      <c r="C239" s="16" t="s">
        <v>25</v>
      </c>
      <c r="D239" s="16" t="str">
        <f>VLOOKUP(E239,[1]Sheet3!A:B,2,0)</f>
        <v>厨热</v>
      </c>
      <c r="E239" s="16" t="s">
        <v>154</v>
      </c>
      <c r="F239" s="16" t="s">
        <v>28</v>
      </c>
      <c r="G239" s="25" t="s">
        <v>3698</v>
      </c>
      <c r="H239" s="16" t="s">
        <v>3699</v>
      </c>
      <c r="I239" s="16"/>
      <c r="J239" s="26" t="s">
        <v>3690</v>
      </c>
      <c r="K239" s="27" t="s">
        <v>92</v>
      </c>
      <c r="L239" s="16"/>
      <c r="M239" s="26" t="s">
        <v>3691</v>
      </c>
      <c r="N239" s="23" t="s">
        <v>34</v>
      </c>
      <c r="O239" s="22"/>
    </row>
    <row r="240" ht="33" spans="1:15">
      <c r="A240" s="13">
        <v>239</v>
      </c>
      <c r="B240" s="14">
        <v>45859</v>
      </c>
      <c r="C240" s="16" t="s">
        <v>25</v>
      </c>
      <c r="D240" s="16" t="str">
        <f>VLOOKUP(E240,[1]Sheet3!A:B,2,0)</f>
        <v>厨热</v>
      </c>
      <c r="E240" s="16" t="s">
        <v>411</v>
      </c>
      <c r="F240" s="16" t="s">
        <v>28</v>
      </c>
      <c r="G240" s="25" t="s">
        <v>3700</v>
      </c>
      <c r="H240" s="16">
        <v>285472155</v>
      </c>
      <c r="I240" s="16"/>
      <c r="J240" s="26" t="s">
        <v>3701</v>
      </c>
      <c r="K240" s="27" t="s">
        <v>49</v>
      </c>
      <c r="L240" s="16"/>
      <c r="M240" s="26" t="s">
        <v>3702</v>
      </c>
      <c r="N240" s="23" t="s">
        <v>34</v>
      </c>
      <c r="O240" s="22"/>
    </row>
    <row r="241" ht="33" spans="1:15">
      <c r="A241" s="13">
        <v>240</v>
      </c>
      <c r="B241" s="14">
        <v>45859</v>
      </c>
      <c r="C241" s="16" t="s">
        <v>68</v>
      </c>
      <c r="D241" s="16" t="str">
        <f>VLOOKUP(E241,[1]Sheet3!A:B,2,0)</f>
        <v>洗衣机</v>
      </c>
      <c r="E241" s="16" t="s">
        <v>35</v>
      </c>
      <c r="F241" s="16" t="s">
        <v>28</v>
      </c>
      <c r="G241" s="25" t="s">
        <v>3703</v>
      </c>
      <c r="H241" s="16" t="s">
        <v>3704</v>
      </c>
      <c r="I241" s="16"/>
      <c r="J241" s="26" t="s">
        <v>3705</v>
      </c>
      <c r="K241" s="27" t="s">
        <v>24</v>
      </c>
      <c r="L241" s="16"/>
      <c r="M241" s="26" t="s">
        <v>3706</v>
      </c>
      <c r="N241" s="23" t="s">
        <v>34</v>
      </c>
      <c r="O241" s="22"/>
    </row>
    <row r="242" spans="1:15">
      <c r="A242" s="13">
        <v>241</v>
      </c>
      <c r="B242" s="14">
        <v>45860</v>
      </c>
      <c r="C242" s="16" t="s">
        <v>25</v>
      </c>
      <c r="D242" s="16" t="str">
        <f>VLOOKUP(E242,[1]Sheet3!A:B,2,0)</f>
        <v>洗衣机</v>
      </c>
      <c r="E242" s="16" t="s">
        <v>660</v>
      </c>
      <c r="F242" s="16" t="s">
        <v>28</v>
      </c>
      <c r="G242" s="25" t="s">
        <v>3707</v>
      </c>
      <c r="H242" s="16" t="s">
        <v>3708</v>
      </c>
      <c r="I242" s="16"/>
      <c r="J242" s="26" t="s">
        <v>3709</v>
      </c>
      <c r="K242" s="27" t="s">
        <v>24</v>
      </c>
      <c r="L242" s="16"/>
      <c r="M242" s="26" t="s">
        <v>3710</v>
      </c>
      <c r="N242" s="23" t="s">
        <v>34</v>
      </c>
      <c r="O242" s="22"/>
    </row>
    <row r="243" spans="1:15">
      <c r="A243" s="13">
        <v>242</v>
      </c>
      <c r="B243" s="14">
        <v>45860</v>
      </c>
      <c r="C243" s="16" t="s">
        <v>25</v>
      </c>
      <c r="D243" s="16" t="str">
        <f>VLOOKUP(E243,[1]Sheet3!A:B,2,0)</f>
        <v>洗衣机</v>
      </c>
      <c r="E243" s="16" t="s">
        <v>27</v>
      </c>
      <c r="F243" s="16" t="s">
        <v>28</v>
      </c>
      <c r="G243" s="25" t="s">
        <v>3711</v>
      </c>
      <c r="H243" s="16" t="s">
        <v>3712</v>
      </c>
      <c r="I243" s="16"/>
      <c r="J243" s="26" t="s">
        <v>3709</v>
      </c>
      <c r="K243" s="27" t="s">
        <v>24</v>
      </c>
      <c r="L243" s="16"/>
      <c r="M243" s="26" t="s">
        <v>3710</v>
      </c>
      <c r="N243" s="23" t="s">
        <v>34</v>
      </c>
      <c r="O243" s="22"/>
    </row>
    <row r="244" spans="1:15">
      <c r="A244" s="13">
        <v>243</v>
      </c>
      <c r="B244" s="14">
        <v>45860</v>
      </c>
      <c r="C244" s="16" t="s">
        <v>68</v>
      </c>
      <c r="D244" s="16" t="str">
        <f>VLOOKUP(E244,[1]Sheet3!A:B,2,0)</f>
        <v>冰箱</v>
      </c>
      <c r="E244" s="16" t="s">
        <v>41</v>
      </c>
      <c r="F244" s="16" t="s">
        <v>28</v>
      </c>
      <c r="G244" s="25" t="s">
        <v>3713</v>
      </c>
      <c r="H244" s="16" t="s">
        <v>3714</v>
      </c>
      <c r="I244" s="16"/>
      <c r="J244" s="26" t="s">
        <v>3715</v>
      </c>
      <c r="K244" s="27" t="s">
        <v>3358</v>
      </c>
      <c r="L244" s="16"/>
      <c r="M244" s="26" t="s">
        <v>3716</v>
      </c>
      <c r="N244" s="23" t="s">
        <v>34</v>
      </c>
      <c r="O244" s="22"/>
    </row>
    <row r="245" spans="1:15">
      <c r="A245" s="13">
        <v>244</v>
      </c>
      <c r="B245" s="14">
        <v>45861</v>
      </c>
      <c r="C245" s="16" t="s">
        <v>49</v>
      </c>
      <c r="D245" s="16" t="str">
        <f>VLOOKUP(E245,[1]Sheet3!A:B,2,0)</f>
        <v>洗衣机</v>
      </c>
      <c r="E245" s="16" t="s">
        <v>27</v>
      </c>
      <c r="F245" s="16" t="s">
        <v>28</v>
      </c>
      <c r="G245" s="25" t="s">
        <v>3717</v>
      </c>
      <c r="H245" s="16" t="s">
        <v>3718</v>
      </c>
      <c r="I245" s="16"/>
      <c r="J245" s="26" t="s">
        <v>3719</v>
      </c>
      <c r="K245" s="27" t="s">
        <v>49</v>
      </c>
      <c r="L245" s="16"/>
      <c r="M245" s="26" t="s">
        <v>3720</v>
      </c>
      <c r="N245" s="23" t="s">
        <v>34</v>
      </c>
      <c r="O245" s="22"/>
    </row>
    <row r="246" spans="1:15">
      <c r="A246" s="13">
        <v>245</v>
      </c>
      <c r="B246" s="14">
        <v>45861</v>
      </c>
      <c r="C246" s="16" t="s">
        <v>49</v>
      </c>
      <c r="D246" s="16" t="str">
        <f>VLOOKUP(E246,[1]Sheet3!A:B,2,0)</f>
        <v>冰箱</v>
      </c>
      <c r="E246" s="16" t="s">
        <v>41</v>
      </c>
      <c r="F246" s="16" t="s">
        <v>28</v>
      </c>
      <c r="G246" s="25" t="s">
        <v>3721</v>
      </c>
      <c r="H246" s="16" t="s">
        <v>3722</v>
      </c>
      <c r="I246" s="16"/>
      <c r="J246" s="26" t="s">
        <v>3723</v>
      </c>
      <c r="K246" s="27" t="s">
        <v>49</v>
      </c>
      <c r="L246" s="16"/>
      <c r="M246" s="26" t="s">
        <v>3724</v>
      </c>
      <c r="N246" s="23" t="s">
        <v>34</v>
      </c>
      <c r="O246" s="22"/>
    </row>
    <row r="247" ht="49.5" spans="1:15">
      <c r="A247" s="13">
        <v>246</v>
      </c>
      <c r="B247" s="14">
        <v>45861</v>
      </c>
      <c r="C247" s="16" t="s">
        <v>25</v>
      </c>
      <c r="D247" s="16" t="str">
        <f>VLOOKUP(E247,[1]Sheet3!A:B,2,0)</f>
        <v>洗衣机</v>
      </c>
      <c r="E247" s="16" t="s">
        <v>27</v>
      </c>
      <c r="F247" s="16" t="s">
        <v>28</v>
      </c>
      <c r="G247" s="25" t="s">
        <v>3725</v>
      </c>
      <c r="H247" s="16" t="s">
        <v>3726</v>
      </c>
      <c r="I247" s="16"/>
      <c r="J247" s="26" t="s">
        <v>3727</v>
      </c>
      <c r="K247" s="27" t="s">
        <v>24</v>
      </c>
      <c r="L247" s="16"/>
      <c r="M247" s="26" t="s">
        <v>3728</v>
      </c>
      <c r="N247" s="23" t="s">
        <v>34</v>
      </c>
      <c r="O247" s="22"/>
    </row>
    <row r="248" spans="1:15">
      <c r="A248" s="13">
        <v>247</v>
      </c>
      <c r="B248" s="14">
        <v>45861</v>
      </c>
      <c r="C248" s="16" t="s">
        <v>25</v>
      </c>
      <c r="D248" s="16" t="str">
        <f>VLOOKUP(E248,[1]Sheet3!A:B,2,0)</f>
        <v>家用空调</v>
      </c>
      <c r="E248" s="16" t="s">
        <v>318</v>
      </c>
      <c r="F248" s="16" t="s">
        <v>28</v>
      </c>
      <c r="G248" s="25" t="s">
        <v>3729</v>
      </c>
      <c r="H248" s="16">
        <v>264401737</v>
      </c>
      <c r="I248" s="16"/>
      <c r="J248" s="26" t="s">
        <v>3730</v>
      </c>
      <c r="K248" s="27" t="s">
        <v>92</v>
      </c>
      <c r="L248" s="16"/>
      <c r="M248" s="26" t="s">
        <v>3731</v>
      </c>
      <c r="N248" s="23" t="s">
        <v>34</v>
      </c>
      <c r="O248" s="22"/>
    </row>
    <row r="249" spans="1:15">
      <c r="A249" s="13">
        <v>248</v>
      </c>
      <c r="B249" s="14">
        <v>45861</v>
      </c>
      <c r="C249" s="16" t="s">
        <v>25</v>
      </c>
      <c r="D249" s="16" t="str">
        <f>VLOOKUP(E249,[1]Sheet3!A:B,2,0)</f>
        <v>家用空调</v>
      </c>
      <c r="E249" s="16" t="s">
        <v>318</v>
      </c>
      <c r="F249" s="16" t="s">
        <v>28</v>
      </c>
      <c r="G249" s="25" t="s">
        <v>3732</v>
      </c>
      <c r="H249" s="16">
        <v>264401739</v>
      </c>
      <c r="I249" s="16"/>
      <c r="J249" s="26" t="s">
        <v>3730</v>
      </c>
      <c r="K249" s="27" t="s">
        <v>92</v>
      </c>
      <c r="L249" s="16"/>
      <c r="M249" s="26" t="s">
        <v>3731</v>
      </c>
      <c r="N249" s="23" t="s">
        <v>34</v>
      </c>
      <c r="O249" s="22"/>
    </row>
    <row r="250" spans="1:15">
      <c r="A250" s="13">
        <v>249</v>
      </c>
      <c r="B250" s="14">
        <v>45861</v>
      </c>
      <c r="C250" s="16" t="s">
        <v>25</v>
      </c>
      <c r="D250" s="16" t="str">
        <f>VLOOKUP(E250,[1]Sheet3!A:B,2,0)</f>
        <v>家用空调</v>
      </c>
      <c r="E250" s="16" t="s">
        <v>318</v>
      </c>
      <c r="F250" s="16" t="s">
        <v>28</v>
      </c>
      <c r="G250" s="25" t="s">
        <v>3733</v>
      </c>
      <c r="H250" s="16">
        <v>264401740</v>
      </c>
      <c r="I250" s="16"/>
      <c r="J250" s="26" t="s">
        <v>3730</v>
      </c>
      <c r="K250" s="27" t="s">
        <v>92</v>
      </c>
      <c r="L250" s="16"/>
      <c r="M250" s="26" t="s">
        <v>3731</v>
      </c>
      <c r="N250" s="23" t="s">
        <v>34</v>
      </c>
      <c r="O250" s="22"/>
    </row>
    <row r="251" spans="1:15">
      <c r="A251" s="13">
        <v>250</v>
      </c>
      <c r="B251" s="14">
        <v>45862</v>
      </c>
      <c r="C251" s="16" t="s">
        <v>25</v>
      </c>
      <c r="D251" s="16" t="str">
        <f>VLOOKUP(E251,[1]Sheet3!A:B,2,0)</f>
        <v>微波和清洁</v>
      </c>
      <c r="E251" s="16" t="s">
        <v>223</v>
      </c>
      <c r="F251" s="16" t="s">
        <v>28</v>
      </c>
      <c r="G251" s="25" t="s">
        <v>3734</v>
      </c>
      <c r="H251" s="16" t="s">
        <v>3735</v>
      </c>
      <c r="I251" s="16"/>
      <c r="J251" s="26" t="s">
        <v>3736</v>
      </c>
      <c r="K251" s="27" t="s">
        <v>92</v>
      </c>
      <c r="L251" s="16"/>
      <c r="M251" s="26" t="s">
        <v>3737</v>
      </c>
      <c r="N251" s="23" t="s">
        <v>34</v>
      </c>
      <c r="O251" s="22"/>
    </row>
    <row r="252" ht="33" spans="1:15">
      <c r="A252" s="13">
        <v>251</v>
      </c>
      <c r="B252" s="14">
        <v>45862</v>
      </c>
      <c r="C252" s="16" t="s">
        <v>25</v>
      </c>
      <c r="D252" s="16" t="str">
        <f>VLOOKUP(E252,[1]Sheet3!A:B,2,0)</f>
        <v>冰箱</v>
      </c>
      <c r="E252" s="16" t="s">
        <v>41</v>
      </c>
      <c r="F252" s="16" t="s">
        <v>28</v>
      </c>
      <c r="G252" s="25" t="s">
        <v>3738</v>
      </c>
      <c r="H252" s="16" t="s">
        <v>3739</v>
      </c>
      <c r="I252" s="16"/>
      <c r="J252" s="30" t="s">
        <v>3740</v>
      </c>
      <c r="K252" s="27" t="s">
        <v>355</v>
      </c>
      <c r="L252" s="16"/>
      <c r="M252" s="26" t="s">
        <v>3741</v>
      </c>
      <c r="N252" s="23" t="s">
        <v>34</v>
      </c>
      <c r="O252" s="22"/>
    </row>
    <row r="253" ht="33" spans="1:15">
      <c r="A253" s="13">
        <v>252</v>
      </c>
      <c r="B253" s="14">
        <v>45862</v>
      </c>
      <c r="C253" s="16" t="s">
        <v>68</v>
      </c>
      <c r="D253" s="16" t="str">
        <f>VLOOKUP(E253,[1]Sheet3!A:B,2,0)</f>
        <v>冰箱</v>
      </c>
      <c r="E253" s="16" t="s">
        <v>148</v>
      </c>
      <c r="F253" s="16" t="s">
        <v>28</v>
      </c>
      <c r="G253" s="25" t="s">
        <v>3742</v>
      </c>
      <c r="H253" s="16" t="s">
        <v>3743</v>
      </c>
      <c r="I253" s="16"/>
      <c r="J253" s="33"/>
      <c r="K253" s="27" t="s">
        <v>355</v>
      </c>
      <c r="L253" s="16"/>
      <c r="M253" s="26" t="s">
        <v>3744</v>
      </c>
      <c r="N253" s="23" t="s">
        <v>34</v>
      </c>
      <c r="O253" s="22"/>
    </row>
    <row r="254" spans="1:15">
      <c r="A254" s="13">
        <v>253</v>
      </c>
      <c r="B254" s="14">
        <v>45862</v>
      </c>
      <c r="C254" s="16" t="s">
        <v>25</v>
      </c>
      <c r="D254" s="16" t="str">
        <f>VLOOKUP(E254,[1]Sheet3!A:B,2,0)</f>
        <v>冰箱</v>
      </c>
      <c r="E254" s="25" t="s">
        <v>41</v>
      </c>
      <c r="F254" s="16" t="s">
        <v>28</v>
      </c>
      <c r="G254" s="25" t="s">
        <v>3745</v>
      </c>
      <c r="H254" s="16" t="s">
        <v>3746</v>
      </c>
      <c r="I254" s="16"/>
      <c r="J254" s="26" t="s">
        <v>3747</v>
      </c>
      <c r="K254" s="27" t="s">
        <v>24</v>
      </c>
      <c r="L254" s="16"/>
      <c r="M254" s="26" t="s">
        <v>3748</v>
      </c>
      <c r="N254" s="23" t="s">
        <v>34</v>
      </c>
      <c r="O254" s="22"/>
    </row>
    <row r="255" spans="1:15">
      <c r="A255" s="13">
        <v>254</v>
      </c>
      <c r="B255" s="14">
        <v>45862</v>
      </c>
      <c r="C255" s="16" t="s">
        <v>25</v>
      </c>
      <c r="D255" s="16" t="str">
        <f>VLOOKUP(E255,[1]Sheet3!A:B,2,0)</f>
        <v>冰箱</v>
      </c>
      <c r="E255" s="25" t="s">
        <v>41</v>
      </c>
      <c r="F255" s="16" t="s">
        <v>28</v>
      </c>
      <c r="G255" s="25" t="s">
        <v>3749</v>
      </c>
      <c r="H255" s="16" t="s">
        <v>3750</v>
      </c>
      <c r="I255" s="16"/>
      <c r="J255" s="26" t="s">
        <v>3747</v>
      </c>
      <c r="K255" s="27" t="s">
        <v>24</v>
      </c>
      <c r="L255" s="16"/>
      <c r="M255" s="26" t="s">
        <v>3748</v>
      </c>
      <c r="N255" s="23" t="s">
        <v>34</v>
      </c>
      <c r="O255" s="22"/>
    </row>
    <row r="256" spans="1:15">
      <c r="A256" s="13">
        <v>255</v>
      </c>
      <c r="B256" s="14">
        <v>45862</v>
      </c>
      <c r="C256" s="16" t="s">
        <v>25</v>
      </c>
      <c r="D256" s="16" t="str">
        <f>VLOOKUP(E256,[1]Sheet3!A:B,2,0)</f>
        <v>冰箱</v>
      </c>
      <c r="E256" s="25" t="s">
        <v>41</v>
      </c>
      <c r="F256" s="16" t="s">
        <v>28</v>
      </c>
      <c r="G256" s="25" t="s">
        <v>3751</v>
      </c>
      <c r="H256" s="16" t="s">
        <v>3752</v>
      </c>
      <c r="I256" s="16"/>
      <c r="J256" s="26" t="s">
        <v>3747</v>
      </c>
      <c r="K256" s="27" t="s">
        <v>24</v>
      </c>
      <c r="L256" s="16"/>
      <c r="M256" s="26" t="s">
        <v>3748</v>
      </c>
      <c r="N256" s="23" t="s">
        <v>34</v>
      </c>
      <c r="O256" s="22"/>
    </row>
    <row r="257" spans="1:15">
      <c r="A257" s="13">
        <v>256</v>
      </c>
      <c r="B257" s="14">
        <v>45862</v>
      </c>
      <c r="C257" s="16" t="s">
        <v>49</v>
      </c>
      <c r="D257" s="16" t="str">
        <f>VLOOKUP(E257,[1]Sheet3!A:B,2,0)</f>
        <v>冰箱</v>
      </c>
      <c r="E257" s="16" t="s">
        <v>41</v>
      </c>
      <c r="F257" s="16" t="s">
        <v>28</v>
      </c>
      <c r="G257" s="25" t="s">
        <v>3753</v>
      </c>
      <c r="H257" s="16">
        <v>256732156</v>
      </c>
      <c r="I257" s="16"/>
      <c r="J257" s="26" t="s">
        <v>3754</v>
      </c>
      <c r="K257" s="27" t="s">
        <v>49</v>
      </c>
      <c r="L257" s="16"/>
      <c r="M257" s="26" t="s">
        <v>3755</v>
      </c>
      <c r="N257" s="23" t="s">
        <v>34</v>
      </c>
      <c r="O257" s="22"/>
    </row>
    <row r="258" spans="1:15">
      <c r="A258" s="13">
        <v>257</v>
      </c>
      <c r="B258" s="14">
        <v>45862</v>
      </c>
      <c r="C258" s="16" t="s">
        <v>49</v>
      </c>
      <c r="D258" s="16" t="str">
        <f>VLOOKUP(E258,[1]Sheet3!A:B,2,0)</f>
        <v>洗衣机</v>
      </c>
      <c r="E258" s="16" t="s">
        <v>27</v>
      </c>
      <c r="F258" s="16" t="s">
        <v>28</v>
      </c>
      <c r="G258" s="25" t="s">
        <v>3756</v>
      </c>
      <c r="H258" s="16" t="s">
        <v>3757</v>
      </c>
      <c r="I258" s="16"/>
      <c r="J258" s="26" t="s">
        <v>3758</v>
      </c>
      <c r="K258" s="27" t="s">
        <v>49</v>
      </c>
      <c r="L258" s="16"/>
      <c r="M258" s="26" t="s">
        <v>3724</v>
      </c>
      <c r="N258" s="23" t="s">
        <v>34</v>
      </c>
      <c r="O258" s="22"/>
    </row>
    <row r="259" spans="1:15">
      <c r="A259" s="13">
        <v>258</v>
      </c>
      <c r="B259" s="14">
        <v>45862</v>
      </c>
      <c r="C259" s="16" t="s">
        <v>68</v>
      </c>
      <c r="D259" s="16" t="str">
        <f>VLOOKUP(E259,[1]Sheet3!A:B,2,0)</f>
        <v>冰箱</v>
      </c>
      <c r="E259" s="16" t="s">
        <v>41</v>
      </c>
      <c r="F259" s="16" t="s">
        <v>28</v>
      </c>
      <c r="G259" s="25" t="s">
        <v>3759</v>
      </c>
      <c r="H259" s="16" t="s">
        <v>3760</v>
      </c>
      <c r="I259" s="16"/>
      <c r="J259" s="26" t="s">
        <v>3761</v>
      </c>
      <c r="K259" s="27" t="s">
        <v>32</v>
      </c>
      <c r="L259" s="16"/>
      <c r="M259" s="26" t="s">
        <v>3762</v>
      </c>
      <c r="N259" s="23" t="s">
        <v>34</v>
      </c>
      <c r="O259" s="22"/>
    </row>
    <row r="260" ht="21" customHeight="1" spans="1:15">
      <c r="A260" s="13">
        <v>259</v>
      </c>
      <c r="B260" s="14">
        <v>45863</v>
      </c>
      <c r="C260" s="16" t="s">
        <v>25</v>
      </c>
      <c r="D260" s="16" t="str">
        <f>VLOOKUP(E260,[1]Sheet3!A:B,2,0)</f>
        <v>洗衣机</v>
      </c>
      <c r="E260" s="16" t="s">
        <v>27</v>
      </c>
      <c r="F260" s="16" t="s">
        <v>28</v>
      </c>
      <c r="G260" s="25" t="s">
        <v>3763</v>
      </c>
      <c r="H260" s="16" t="s">
        <v>3764</v>
      </c>
      <c r="I260" s="16"/>
      <c r="J260" s="26" t="s">
        <v>3765</v>
      </c>
      <c r="K260" s="27" t="s">
        <v>355</v>
      </c>
      <c r="L260" s="16"/>
      <c r="M260" s="26" t="s">
        <v>3766</v>
      </c>
      <c r="N260" s="23" t="s">
        <v>34</v>
      </c>
      <c r="O260" s="22"/>
    </row>
    <row r="261" ht="36" customHeight="1" spans="1:15">
      <c r="A261" s="13">
        <v>260</v>
      </c>
      <c r="B261" s="14">
        <v>45863</v>
      </c>
      <c r="C261" s="16" t="s">
        <v>25</v>
      </c>
      <c r="D261" s="16" t="str">
        <f>VLOOKUP(E261,[1]Sheet3!A:B,2,0)</f>
        <v>洗衣机</v>
      </c>
      <c r="E261" s="16" t="s">
        <v>27</v>
      </c>
      <c r="F261" s="16" t="s">
        <v>28</v>
      </c>
      <c r="G261" s="25" t="s">
        <v>3767</v>
      </c>
      <c r="H261" s="16" t="s">
        <v>3768</v>
      </c>
      <c r="I261" s="16"/>
      <c r="J261" s="26" t="s">
        <v>3769</v>
      </c>
      <c r="K261" s="27" t="s">
        <v>355</v>
      </c>
      <c r="L261" s="16"/>
      <c r="M261" s="26" t="s">
        <v>3770</v>
      </c>
      <c r="N261" s="23" t="s">
        <v>34</v>
      </c>
      <c r="O261" s="22"/>
    </row>
    <row r="262" ht="38" customHeight="1" spans="1:15">
      <c r="A262" s="13">
        <v>261</v>
      </c>
      <c r="B262" s="14">
        <v>45863</v>
      </c>
      <c r="C262" s="16" t="s">
        <v>68</v>
      </c>
      <c r="D262" s="16" t="str">
        <f>VLOOKUP(E262,[1]Sheet3!A:B,2,0)</f>
        <v>冰箱</v>
      </c>
      <c r="E262" s="16" t="s">
        <v>41</v>
      </c>
      <c r="F262" s="16" t="s">
        <v>28</v>
      </c>
      <c r="G262" s="25" t="s">
        <v>3771</v>
      </c>
      <c r="H262" s="16" t="s">
        <v>3772</v>
      </c>
      <c r="I262" s="16"/>
      <c r="J262" s="26" t="s">
        <v>3773</v>
      </c>
      <c r="K262" s="27" t="s">
        <v>355</v>
      </c>
      <c r="L262" s="16"/>
      <c r="M262" s="26" t="s">
        <v>3774</v>
      </c>
      <c r="N262" s="23" t="s">
        <v>34</v>
      </c>
      <c r="O262" s="22"/>
    </row>
    <row r="263" ht="68" customHeight="1" spans="1:15">
      <c r="A263" s="13">
        <v>262</v>
      </c>
      <c r="B263" s="14">
        <v>45863</v>
      </c>
      <c r="C263" s="16" t="s">
        <v>25</v>
      </c>
      <c r="D263" s="16" t="str">
        <f>VLOOKUP(E263,[1]Sheet3!A:B,2,0)</f>
        <v>洗衣机</v>
      </c>
      <c r="E263" s="16" t="s">
        <v>27</v>
      </c>
      <c r="F263" s="16" t="s">
        <v>28</v>
      </c>
      <c r="G263" s="25" t="s">
        <v>3775</v>
      </c>
      <c r="H263" s="16" t="s">
        <v>3776</v>
      </c>
      <c r="I263" s="16"/>
      <c r="J263" s="26" t="s">
        <v>3777</v>
      </c>
      <c r="K263" s="27" t="s">
        <v>92</v>
      </c>
      <c r="L263" s="16"/>
      <c r="M263" s="26" t="s">
        <v>3778</v>
      </c>
      <c r="N263" s="23" t="s">
        <v>34</v>
      </c>
      <c r="O263" s="22"/>
    </row>
    <row r="264" spans="1:15">
      <c r="A264" s="13">
        <v>263</v>
      </c>
      <c r="B264" s="14">
        <v>45863</v>
      </c>
      <c r="C264" s="16" t="s">
        <v>49</v>
      </c>
      <c r="D264" s="16" t="str">
        <f>VLOOKUP(E264,[1]Sheet3!A:B,2,0)</f>
        <v>冰箱</v>
      </c>
      <c r="E264" s="16" t="s">
        <v>41</v>
      </c>
      <c r="F264" s="16" t="s">
        <v>28</v>
      </c>
      <c r="G264" s="25" t="s">
        <v>3779</v>
      </c>
      <c r="H264" s="16">
        <v>720975389</v>
      </c>
      <c r="I264" s="16"/>
      <c r="J264" s="26" t="s">
        <v>3780</v>
      </c>
      <c r="K264" s="27" t="s">
        <v>49</v>
      </c>
      <c r="L264" s="16"/>
      <c r="M264" s="26" t="s">
        <v>3781</v>
      </c>
      <c r="N264" s="23" t="s">
        <v>34</v>
      </c>
      <c r="O264" s="22"/>
    </row>
    <row r="265" spans="1:15">
      <c r="A265" s="13">
        <v>264</v>
      </c>
      <c r="B265" s="14">
        <v>45863</v>
      </c>
      <c r="C265" s="16" t="s">
        <v>49</v>
      </c>
      <c r="D265" s="16" t="str">
        <f>VLOOKUP(E265,[1]Sheet3!A:B,2,0)</f>
        <v>洗衣机</v>
      </c>
      <c r="E265" s="16" t="s">
        <v>35</v>
      </c>
      <c r="F265" s="16" t="s">
        <v>28</v>
      </c>
      <c r="G265" s="25" t="s">
        <v>3782</v>
      </c>
      <c r="H265" s="16" t="s">
        <v>3783</v>
      </c>
      <c r="I265" s="16"/>
      <c r="J265" s="26" t="s">
        <v>3780</v>
      </c>
      <c r="K265" s="27" t="s">
        <v>49</v>
      </c>
      <c r="L265" s="16"/>
      <c r="M265" s="26" t="s">
        <v>3781</v>
      </c>
      <c r="N265" s="23" t="s">
        <v>34</v>
      </c>
      <c r="O265" s="22"/>
    </row>
    <row r="266" spans="1:15">
      <c r="A266" s="13">
        <v>265</v>
      </c>
      <c r="B266" s="14">
        <v>45863</v>
      </c>
      <c r="C266" s="16" t="s">
        <v>49</v>
      </c>
      <c r="D266" s="16" t="str">
        <f>VLOOKUP(E266,[1]Sheet3!A:B,2,0)</f>
        <v>冰箱</v>
      </c>
      <c r="E266" s="16" t="s">
        <v>41</v>
      </c>
      <c r="F266" s="16" t="s">
        <v>28</v>
      </c>
      <c r="G266" s="25" t="s">
        <v>3784</v>
      </c>
      <c r="H266" s="16" t="s">
        <v>3785</v>
      </c>
      <c r="I266" s="16"/>
      <c r="J266" s="26" t="s">
        <v>3786</v>
      </c>
      <c r="K266" s="27" t="s">
        <v>49</v>
      </c>
      <c r="L266" s="16"/>
      <c r="M266" s="26" t="s">
        <v>3787</v>
      </c>
      <c r="N266" s="23" t="s">
        <v>34</v>
      </c>
      <c r="O266" s="22"/>
    </row>
    <row r="267" ht="33" spans="1:15">
      <c r="A267" s="13">
        <v>266</v>
      </c>
      <c r="B267" s="14">
        <v>45866</v>
      </c>
      <c r="C267" s="16" t="s">
        <v>25</v>
      </c>
      <c r="D267" s="16" t="str">
        <f>VLOOKUP(E267,[1]Sheet3!A:B,2,0)</f>
        <v>洗衣机</v>
      </c>
      <c r="E267" s="16" t="s">
        <v>27</v>
      </c>
      <c r="F267" s="16" t="s">
        <v>28</v>
      </c>
      <c r="G267" s="25" t="s">
        <v>3788</v>
      </c>
      <c r="H267" s="16" t="s">
        <v>3789</v>
      </c>
      <c r="I267" s="16"/>
      <c r="J267" s="26" t="s">
        <v>3790</v>
      </c>
      <c r="K267" s="27" t="s">
        <v>24</v>
      </c>
      <c r="L267" s="16"/>
      <c r="M267" s="26" t="s">
        <v>3791</v>
      </c>
      <c r="N267" s="23" t="s">
        <v>34</v>
      </c>
      <c r="O267" s="22"/>
    </row>
    <row r="268" ht="33" spans="1:15">
      <c r="A268" s="13">
        <v>267</v>
      </c>
      <c r="B268" s="14">
        <v>45866</v>
      </c>
      <c r="C268" s="16" t="s">
        <v>25</v>
      </c>
      <c r="D268" s="16" t="str">
        <f>VLOOKUP(E268,[1]Sheet3!A:B,2,0)</f>
        <v>洗衣机</v>
      </c>
      <c r="E268" s="16" t="s">
        <v>27</v>
      </c>
      <c r="F268" s="16" t="s">
        <v>28</v>
      </c>
      <c r="G268" s="25" t="s">
        <v>3792</v>
      </c>
      <c r="H268" s="16" t="s">
        <v>3793</v>
      </c>
      <c r="I268" s="16"/>
      <c r="J268" s="26" t="s">
        <v>3790</v>
      </c>
      <c r="K268" s="27" t="s">
        <v>24</v>
      </c>
      <c r="L268" s="16"/>
      <c r="M268" s="26" t="s">
        <v>3791</v>
      </c>
      <c r="N268" s="23" t="s">
        <v>34</v>
      </c>
      <c r="O268" s="22"/>
    </row>
    <row r="269" spans="1:15">
      <c r="A269" s="13">
        <v>268</v>
      </c>
      <c r="B269" s="14">
        <v>45866</v>
      </c>
      <c r="C269" s="16" t="s">
        <v>49</v>
      </c>
      <c r="D269" s="16" t="str">
        <f>VLOOKUP(E269,[1]Sheet3!A:B,2,0)</f>
        <v>冰箱</v>
      </c>
      <c r="E269" s="16" t="s">
        <v>41</v>
      </c>
      <c r="F269" s="16" t="s">
        <v>28</v>
      </c>
      <c r="G269" s="25" t="s">
        <v>3794</v>
      </c>
      <c r="H269" s="16" t="s">
        <v>3795</v>
      </c>
      <c r="I269" s="16"/>
      <c r="J269" s="26" t="s">
        <v>3796</v>
      </c>
      <c r="K269" s="27" t="s">
        <v>49</v>
      </c>
      <c r="L269" s="16"/>
      <c r="M269" s="26" t="s">
        <v>3797</v>
      </c>
      <c r="N269" s="23" t="s">
        <v>34</v>
      </c>
      <c r="O269" s="22"/>
    </row>
    <row r="270" ht="66" spans="1:15">
      <c r="A270" s="13">
        <v>269</v>
      </c>
      <c r="B270" s="14">
        <v>45866</v>
      </c>
      <c r="C270" s="16" t="s">
        <v>68</v>
      </c>
      <c r="D270" s="16" t="str">
        <f>VLOOKUP(E270,[1]Sheet3!A:B,2,0)</f>
        <v>洗衣机</v>
      </c>
      <c r="E270" s="16" t="s">
        <v>27</v>
      </c>
      <c r="F270" s="16" t="s">
        <v>28</v>
      </c>
      <c r="G270" s="25" t="s">
        <v>3798</v>
      </c>
      <c r="H270" s="16" t="s">
        <v>3799</v>
      </c>
      <c r="I270" s="16"/>
      <c r="J270" s="26" t="s">
        <v>3800</v>
      </c>
      <c r="K270" s="27" t="s">
        <v>97</v>
      </c>
      <c r="L270" s="16"/>
      <c r="M270" s="26" t="s">
        <v>3801</v>
      </c>
      <c r="N270" s="23" t="s">
        <v>34</v>
      </c>
      <c r="O270" s="22"/>
    </row>
    <row r="271" spans="1:15">
      <c r="A271" s="13">
        <v>270</v>
      </c>
      <c r="B271" s="14">
        <v>45867</v>
      </c>
      <c r="C271" s="16" t="s">
        <v>68</v>
      </c>
      <c r="D271" s="16" t="str">
        <f>VLOOKUP(E271,[1]Sheet3!A:B,2,0)</f>
        <v>洗衣机</v>
      </c>
      <c r="E271" s="16" t="s">
        <v>27</v>
      </c>
      <c r="F271" s="16" t="s">
        <v>28</v>
      </c>
      <c r="G271" s="25" t="s">
        <v>3802</v>
      </c>
      <c r="H271" s="16" t="s">
        <v>3803</v>
      </c>
      <c r="I271" s="16"/>
      <c r="J271" s="26" t="s">
        <v>3804</v>
      </c>
      <c r="K271" s="27" t="s">
        <v>32</v>
      </c>
      <c r="L271" s="16"/>
      <c r="M271" s="26" t="s">
        <v>3805</v>
      </c>
      <c r="N271" s="23" t="s">
        <v>34</v>
      </c>
      <c r="O271" s="22"/>
    </row>
    <row r="272" ht="33" spans="1:15">
      <c r="A272" s="13">
        <v>271</v>
      </c>
      <c r="B272" s="14">
        <v>45867</v>
      </c>
      <c r="C272" s="16" t="s">
        <v>25</v>
      </c>
      <c r="D272" s="16" t="str">
        <f>VLOOKUP(E272,[1]Sheet3!A:B,2,0)</f>
        <v>洗衣机</v>
      </c>
      <c r="E272" s="16" t="s">
        <v>27</v>
      </c>
      <c r="F272" s="16" t="s">
        <v>28</v>
      </c>
      <c r="G272" s="25" t="s">
        <v>3806</v>
      </c>
      <c r="H272" s="16" t="s">
        <v>3807</v>
      </c>
      <c r="I272" s="16"/>
      <c r="J272" s="26" t="s">
        <v>3808</v>
      </c>
      <c r="K272" s="27" t="s">
        <v>97</v>
      </c>
      <c r="L272" s="16"/>
      <c r="M272" s="26" t="s">
        <v>3809</v>
      </c>
      <c r="N272" s="23" t="s">
        <v>34</v>
      </c>
      <c r="O272" s="22"/>
    </row>
    <row r="273" ht="33" spans="1:15">
      <c r="A273" s="13">
        <v>272</v>
      </c>
      <c r="B273" s="14">
        <v>45867</v>
      </c>
      <c r="C273" s="16" t="s">
        <v>25</v>
      </c>
      <c r="D273" s="16" t="str">
        <f>VLOOKUP(E273,[1]Sheet3!A:B,2,0)</f>
        <v>洗衣机</v>
      </c>
      <c r="E273" s="16" t="s">
        <v>27</v>
      </c>
      <c r="F273" s="16" t="s">
        <v>28</v>
      </c>
      <c r="G273" s="25" t="s">
        <v>3810</v>
      </c>
      <c r="H273" s="16" t="s">
        <v>3811</v>
      </c>
      <c r="I273" s="16"/>
      <c r="J273" s="26" t="s">
        <v>3808</v>
      </c>
      <c r="K273" s="27" t="s">
        <v>97</v>
      </c>
      <c r="L273" s="16"/>
      <c r="M273" s="26" t="s">
        <v>3809</v>
      </c>
      <c r="N273" s="23" t="s">
        <v>34</v>
      </c>
      <c r="O273" s="22"/>
    </row>
    <row r="274" ht="33" spans="1:15">
      <c r="A274" s="13">
        <v>273</v>
      </c>
      <c r="B274" s="14">
        <v>45867</v>
      </c>
      <c r="C274" s="16" t="s">
        <v>25</v>
      </c>
      <c r="D274" s="16" t="str">
        <f>VLOOKUP(E274,[1]Sheet3!A:B,2,0)</f>
        <v>洗衣机</v>
      </c>
      <c r="E274" s="16" t="s">
        <v>27</v>
      </c>
      <c r="F274" s="16" t="s">
        <v>28</v>
      </c>
      <c r="G274" s="25" t="s">
        <v>3812</v>
      </c>
      <c r="H274" s="16" t="s">
        <v>3813</v>
      </c>
      <c r="I274" s="16"/>
      <c r="J274" s="26" t="s">
        <v>3808</v>
      </c>
      <c r="K274" s="27" t="s">
        <v>97</v>
      </c>
      <c r="L274" s="16"/>
      <c r="M274" s="26" t="s">
        <v>3809</v>
      </c>
      <c r="N274" s="23" t="s">
        <v>34</v>
      </c>
      <c r="O274" s="22"/>
    </row>
    <row r="275" ht="33" spans="1:15">
      <c r="A275" s="13">
        <v>274</v>
      </c>
      <c r="B275" s="14">
        <v>45867</v>
      </c>
      <c r="C275" s="16" t="s">
        <v>25</v>
      </c>
      <c r="D275" s="16" t="str">
        <f>VLOOKUP(E275,[1]Sheet3!A:B,2,0)</f>
        <v>洗衣机</v>
      </c>
      <c r="E275" s="16" t="s">
        <v>27</v>
      </c>
      <c r="F275" s="16" t="s">
        <v>28</v>
      </c>
      <c r="G275" s="25" t="s">
        <v>3814</v>
      </c>
      <c r="H275" s="16" t="s">
        <v>3815</v>
      </c>
      <c r="I275" s="16"/>
      <c r="J275" s="26" t="s">
        <v>3808</v>
      </c>
      <c r="K275" s="27" t="s">
        <v>97</v>
      </c>
      <c r="L275" s="16"/>
      <c r="M275" s="26" t="s">
        <v>3809</v>
      </c>
      <c r="N275" s="23" t="s">
        <v>34</v>
      </c>
      <c r="O275" s="22"/>
    </row>
    <row r="276" ht="49.5" spans="1:15">
      <c r="A276" s="13">
        <v>275</v>
      </c>
      <c r="B276" s="14">
        <v>45867</v>
      </c>
      <c r="C276" s="16" t="s">
        <v>25</v>
      </c>
      <c r="D276" s="16" t="str">
        <f>VLOOKUP(E276,[1]Sheet3!A:B,2,0)</f>
        <v>洗衣机</v>
      </c>
      <c r="E276" s="16" t="s">
        <v>27</v>
      </c>
      <c r="F276" s="16" t="s">
        <v>28</v>
      </c>
      <c r="G276" s="25" t="s">
        <v>3816</v>
      </c>
      <c r="H276" s="16" t="s">
        <v>3817</v>
      </c>
      <c r="I276" s="16"/>
      <c r="J276" s="26" t="s">
        <v>3818</v>
      </c>
      <c r="K276" s="27" t="s">
        <v>355</v>
      </c>
      <c r="L276" s="16"/>
      <c r="M276" s="26" t="s">
        <v>3819</v>
      </c>
      <c r="N276" s="23" t="s">
        <v>34</v>
      </c>
      <c r="O276" s="22"/>
    </row>
    <row r="277" ht="47" customHeight="1" spans="1:15">
      <c r="A277" s="13">
        <v>276</v>
      </c>
      <c r="B277" s="14">
        <v>45868</v>
      </c>
      <c r="C277" s="16" t="s">
        <v>68</v>
      </c>
      <c r="D277" s="16" t="str">
        <f>VLOOKUP(E277,[1]Sheet3!A:B,2,0)</f>
        <v>厨热</v>
      </c>
      <c r="E277" s="16" t="s">
        <v>154</v>
      </c>
      <c r="F277" s="16" t="s">
        <v>28</v>
      </c>
      <c r="G277" s="25" t="s">
        <v>3820</v>
      </c>
      <c r="H277" s="16" t="s">
        <v>3821</v>
      </c>
      <c r="I277" s="16"/>
      <c r="J277" s="26" t="s">
        <v>3822</v>
      </c>
      <c r="K277" s="27" t="s">
        <v>97</v>
      </c>
      <c r="L277" s="16"/>
      <c r="M277" s="26" t="s">
        <v>3823</v>
      </c>
      <c r="N277" s="23" t="s">
        <v>34</v>
      </c>
      <c r="O277" s="22"/>
    </row>
    <row r="278" spans="1:15">
      <c r="A278" s="13">
        <v>277</v>
      </c>
      <c r="B278" s="14">
        <v>45869</v>
      </c>
      <c r="C278" s="16" t="s">
        <v>49</v>
      </c>
      <c r="D278" s="16" t="str">
        <f>VLOOKUP(E278,[1]Sheet3!A:B,2,0)</f>
        <v>冰箱</v>
      </c>
      <c r="E278" s="16" t="s">
        <v>41</v>
      </c>
      <c r="F278" s="16" t="s">
        <v>28</v>
      </c>
      <c r="G278" s="25" t="s">
        <v>3824</v>
      </c>
      <c r="H278" s="16" t="s">
        <v>3825</v>
      </c>
      <c r="I278" s="16"/>
      <c r="J278" s="26" t="s">
        <v>3826</v>
      </c>
      <c r="K278" s="27" t="s">
        <v>49</v>
      </c>
      <c r="L278" s="16"/>
      <c r="M278" s="26" t="s">
        <v>3827</v>
      </c>
      <c r="N278" s="23" t="s">
        <v>34</v>
      </c>
      <c r="O278" s="22"/>
    </row>
    <row r="279" spans="1:15">
      <c r="A279" s="13">
        <v>278</v>
      </c>
      <c r="B279" s="14">
        <v>45869</v>
      </c>
      <c r="C279" s="16" t="s">
        <v>25</v>
      </c>
      <c r="D279" s="16" t="str">
        <f>VLOOKUP(E279,[1]Sheet3!A:B,2,0)</f>
        <v>洗衣机</v>
      </c>
      <c r="E279" s="16" t="s">
        <v>27</v>
      </c>
      <c r="F279" s="16" t="s">
        <v>28</v>
      </c>
      <c r="G279" s="25" t="s">
        <v>3828</v>
      </c>
      <c r="H279" s="16" t="s">
        <v>3829</v>
      </c>
      <c r="I279" s="16"/>
      <c r="J279" s="26" t="s">
        <v>3830</v>
      </c>
      <c r="K279" s="27" t="s">
        <v>97</v>
      </c>
      <c r="L279" s="16"/>
      <c r="M279" s="26" t="s">
        <v>3831</v>
      </c>
      <c r="N279" s="23" t="s">
        <v>34</v>
      </c>
      <c r="O279" s="22"/>
    </row>
    <row r="280" spans="1:15">
      <c r="A280" s="13">
        <v>279</v>
      </c>
      <c r="B280" s="14">
        <v>45869</v>
      </c>
      <c r="C280" s="16" t="s">
        <v>25</v>
      </c>
      <c r="D280" s="16" t="str">
        <f>VLOOKUP(E280,[1]Sheet3!A:B,2,0)</f>
        <v>洗衣机</v>
      </c>
      <c r="E280" s="16" t="s">
        <v>27</v>
      </c>
      <c r="F280" s="16" t="s">
        <v>28</v>
      </c>
      <c r="G280" s="25" t="s">
        <v>3832</v>
      </c>
      <c r="H280" s="16" t="s">
        <v>3833</v>
      </c>
      <c r="I280" s="16"/>
      <c r="J280" s="26" t="s">
        <v>3830</v>
      </c>
      <c r="K280" s="27" t="s">
        <v>97</v>
      </c>
      <c r="L280" s="16"/>
      <c r="M280" s="26" t="s">
        <v>3831</v>
      </c>
      <c r="N280" s="23" t="s">
        <v>34</v>
      </c>
      <c r="O280" s="22"/>
    </row>
    <row r="281" spans="1:15">
      <c r="A281" s="13">
        <v>280</v>
      </c>
      <c r="B281" s="14">
        <v>45869</v>
      </c>
      <c r="C281" s="16" t="s">
        <v>25</v>
      </c>
      <c r="D281" s="16" t="str">
        <f>VLOOKUP(E281,[1]Sheet3!A:B,2,0)</f>
        <v>洗衣机</v>
      </c>
      <c r="E281" s="16" t="s">
        <v>27</v>
      </c>
      <c r="F281" s="16" t="s">
        <v>28</v>
      </c>
      <c r="G281" s="25" t="s">
        <v>3834</v>
      </c>
      <c r="H281" s="16" t="s">
        <v>3835</v>
      </c>
      <c r="I281" s="16"/>
      <c r="J281" s="26" t="s">
        <v>3830</v>
      </c>
      <c r="K281" s="27" t="s">
        <v>97</v>
      </c>
      <c r="L281" s="16"/>
      <c r="M281" s="26" t="s">
        <v>3831</v>
      </c>
      <c r="N281" s="23" t="s">
        <v>34</v>
      </c>
      <c r="O281" s="22"/>
    </row>
    <row r="282" spans="1:15">
      <c r="A282" s="13">
        <v>281</v>
      </c>
      <c r="B282" s="14">
        <v>45869</v>
      </c>
      <c r="C282" s="16" t="s">
        <v>25</v>
      </c>
      <c r="D282" s="16" t="str">
        <f>VLOOKUP(E282,[1]Sheet3!A:B,2,0)</f>
        <v>洗衣机</v>
      </c>
      <c r="E282" s="16" t="s">
        <v>27</v>
      </c>
      <c r="F282" s="16" t="s">
        <v>28</v>
      </c>
      <c r="G282" s="25" t="s">
        <v>3836</v>
      </c>
      <c r="H282" s="16" t="s">
        <v>3837</v>
      </c>
      <c r="I282" s="16"/>
      <c r="J282" s="26" t="s">
        <v>3830</v>
      </c>
      <c r="K282" s="27" t="s">
        <v>97</v>
      </c>
      <c r="L282" s="16"/>
      <c r="M282" s="26" t="s">
        <v>3831</v>
      </c>
      <c r="N282" s="23" t="s">
        <v>34</v>
      </c>
      <c r="O282" s="22"/>
    </row>
    <row r="283" ht="88" customHeight="1" spans="1:15">
      <c r="A283" s="13">
        <v>282</v>
      </c>
      <c r="B283" s="14">
        <v>45869</v>
      </c>
      <c r="C283" s="16" t="s">
        <v>25</v>
      </c>
      <c r="D283" s="16" t="str">
        <f>VLOOKUP(E283,[1]Sheet3!A:B,2,0)</f>
        <v>洗衣机</v>
      </c>
      <c r="E283" s="16" t="s">
        <v>27</v>
      </c>
      <c r="F283" s="16" t="s">
        <v>28</v>
      </c>
      <c r="G283" s="25" t="s">
        <v>3838</v>
      </c>
      <c r="H283" s="16" t="s">
        <v>3839</v>
      </c>
      <c r="I283" s="16"/>
      <c r="J283" s="30" t="s">
        <v>3840</v>
      </c>
      <c r="K283" s="27" t="s">
        <v>355</v>
      </c>
      <c r="L283" s="16"/>
      <c r="M283" s="26" t="s">
        <v>3841</v>
      </c>
      <c r="N283" s="23" t="s">
        <v>34</v>
      </c>
      <c r="O283" s="22"/>
    </row>
    <row r="284" ht="33" spans="1:15">
      <c r="A284" s="13">
        <v>283</v>
      </c>
      <c r="B284" s="14">
        <v>45869</v>
      </c>
      <c r="C284" s="16" t="s">
        <v>25</v>
      </c>
      <c r="D284" s="16" t="str">
        <f>VLOOKUP(E284,[1]Sheet3!A:B,2,0)</f>
        <v>洗衣机</v>
      </c>
      <c r="E284" s="16" t="s">
        <v>660</v>
      </c>
      <c r="F284" s="16" t="s">
        <v>28</v>
      </c>
      <c r="G284" s="25" t="s">
        <v>3842</v>
      </c>
      <c r="H284" s="16" t="s">
        <v>3843</v>
      </c>
      <c r="I284" s="16"/>
      <c r="J284" s="33"/>
      <c r="K284" s="27" t="s">
        <v>355</v>
      </c>
      <c r="L284" s="16"/>
      <c r="M284" s="26" t="s">
        <v>3844</v>
      </c>
      <c r="N284" s="23" t="s">
        <v>34</v>
      </c>
      <c r="O284" s="22"/>
    </row>
    <row r="285" spans="1:15">
      <c r="A285" s="13">
        <v>284</v>
      </c>
      <c r="B285" s="14">
        <v>45869</v>
      </c>
      <c r="C285" s="16" t="s">
        <v>49</v>
      </c>
      <c r="D285" s="16" t="str">
        <f>VLOOKUP(E285,[1]Sheet3!A:B,2,0)</f>
        <v>厨热</v>
      </c>
      <c r="E285" s="16" t="s">
        <v>154</v>
      </c>
      <c r="F285" s="16" t="s">
        <v>28</v>
      </c>
      <c r="G285" s="25" t="s">
        <v>3845</v>
      </c>
      <c r="H285" s="16" t="s">
        <v>3846</v>
      </c>
      <c r="I285" s="16"/>
      <c r="J285" s="26" t="s">
        <v>3847</v>
      </c>
      <c r="K285" s="27" t="s">
        <v>49</v>
      </c>
      <c r="L285" s="16"/>
      <c r="M285" s="26" t="s">
        <v>3848</v>
      </c>
      <c r="N285" s="23" t="s">
        <v>34</v>
      </c>
      <c r="O285" s="22"/>
    </row>
    <row r="286" spans="1:15">
      <c r="A286" s="13">
        <v>285</v>
      </c>
      <c r="B286" s="14">
        <v>45869</v>
      </c>
      <c r="C286" s="16" t="s">
        <v>49</v>
      </c>
      <c r="D286" s="16" t="str">
        <f>VLOOKUP(E286,[1]Sheet3!A:B,2,0)</f>
        <v>洗衣机</v>
      </c>
      <c r="E286" s="16" t="s">
        <v>27</v>
      </c>
      <c r="F286" s="16" t="s">
        <v>28</v>
      </c>
      <c r="G286" s="25" t="s">
        <v>3849</v>
      </c>
      <c r="H286" s="16" t="s">
        <v>3850</v>
      </c>
      <c r="I286" s="16"/>
      <c r="J286" s="26" t="s">
        <v>3847</v>
      </c>
      <c r="K286" s="27" t="s">
        <v>49</v>
      </c>
      <c r="L286" s="16"/>
      <c r="M286" s="26" t="s">
        <v>3848</v>
      </c>
      <c r="N286" s="23" t="s">
        <v>34</v>
      </c>
      <c r="O286" s="22"/>
    </row>
    <row r="287" spans="1:15">
      <c r="A287" s="13">
        <v>286</v>
      </c>
      <c r="B287" s="14">
        <v>45869</v>
      </c>
      <c r="C287" s="16" t="s">
        <v>49</v>
      </c>
      <c r="D287" s="16" t="str">
        <f>VLOOKUP(E287,[1]Sheet3!A:B,2,0)</f>
        <v>洗衣机</v>
      </c>
      <c r="E287" s="16" t="s">
        <v>27</v>
      </c>
      <c r="F287" s="16" t="s">
        <v>28</v>
      </c>
      <c r="G287" s="25" t="s">
        <v>3851</v>
      </c>
      <c r="H287" s="16" t="s">
        <v>3852</v>
      </c>
      <c r="I287" s="16"/>
      <c r="J287" s="26" t="s">
        <v>3853</v>
      </c>
      <c r="K287" s="27" t="s">
        <v>49</v>
      </c>
      <c r="L287" s="16"/>
      <c r="M287" s="26" t="s">
        <v>3854</v>
      </c>
      <c r="N287" s="23" t="s">
        <v>34</v>
      </c>
      <c r="O287" s="22"/>
    </row>
    <row r="288" spans="1:15">
      <c r="A288" s="13">
        <v>287</v>
      </c>
      <c r="B288" s="14">
        <v>45869</v>
      </c>
      <c r="C288" s="16" t="s">
        <v>68</v>
      </c>
      <c r="D288" s="16" t="e">
        <f>VLOOKUP(E288,[1]Sheet3!A:B,2,0)</f>
        <v>#N/A</v>
      </c>
      <c r="E288" s="16" t="s">
        <v>3855</v>
      </c>
      <c r="F288" s="16" t="s">
        <v>28</v>
      </c>
      <c r="G288" s="25" t="s">
        <v>3856</v>
      </c>
      <c r="H288" s="16">
        <v>256802643</v>
      </c>
      <c r="I288" s="16"/>
      <c r="J288" s="26" t="s">
        <v>3857</v>
      </c>
      <c r="K288" s="27" t="s">
        <v>32</v>
      </c>
      <c r="L288" s="16"/>
      <c r="M288" s="26" t="s">
        <v>3858</v>
      </c>
      <c r="N288" s="23" t="s">
        <v>34</v>
      </c>
      <c r="O288" s="22"/>
    </row>
    <row r="289" spans="1:15">
      <c r="A289" s="13">
        <v>288</v>
      </c>
      <c r="B289" s="14">
        <v>45869</v>
      </c>
      <c r="C289" s="16" t="s">
        <v>68</v>
      </c>
      <c r="D289" s="16" t="str">
        <f>VLOOKUP(E289,[1]Sheet3!A:B,2,0)</f>
        <v>冰箱</v>
      </c>
      <c r="E289" s="16" t="s">
        <v>41</v>
      </c>
      <c r="F289" s="16" t="s">
        <v>28</v>
      </c>
      <c r="G289" s="25" t="s">
        <v>3859</v>
      </c>
      <c r="H289" s="16" t="s">
        <v>3860</v>
      </c>
      <c r="I289" s="16"/>
      <c r="J289" s="26" t="s">
        <v>3861</v>
      </c>
      <c r="K289" s="27" t="s">
        <v>24</v>
      </c>
      <c r="L289" s="16"/>
      <c r="M289" s="26" t="s">
        <v>3862</v>
      </c>
      <c r="N289" s="23" t="s">
        <v>34</v>
      </c>
      <c r="O289" s="22"/>
    </row>
    <row r="290" spans="1:15">
      <c r="A290" s="13">
        <v>289</v>
      </c>
      <c r="B290" s="14">
        <v>45870</v>
      </c>
      <c r="C290" s="16" t="s">
        <v>49</v>
      </c>
      <c r="D290" s="16" t="str">
        <f>VLOOKUP(E290,[1]Sheet3!A:B,2,0)</f>
        <v>冰箱</v>
      </c>
      <c r="E290" s="16" t="s">
        <v>148</v>
      </c>
      <c r="F290" s="16" t="s">
        <v>28</v>
      </c>
      <c r="G290" s="25" t="s">
        <v>3863</v>
      </c>
      <c r="H290" s="16" t="s">
        <v>3864</v>
      </c>
      <c r="I290" s="16"/>
      <c r="J290" s="26" t="s">
        <v>3865</v>
      </c>
      <c r="K290" s="27" t="s">
        <v>49</v>
      </c>
      <c r="L290" s="16"/>
      <c r="M290" s="26" t="s">
        <v>3866</v>
      </c>
      <c r="N290" s="23" t="s">
        <v>34</v>
      </c>
      <c r="O290" s="22"/>
    </row>
    <row r="291" spans="1:15">
      <c r="A291" s="13">
        <v>290</v>
      </c>
      <c r="B291" s="14">
        <v>45870</v>
      </c>
      <c r="C291" s="16" t="s">
        <v>68</v>
      </c>
      <c r="D291" s="16" t="str">
        <f>VLOOKUP(E291,[1]Sheet3!A:B,2,0)</f>
        <v>冰箱</v>
      </c>
      <c r="E291" s="16" t="s">
        <v>41</v>
      </c>
      <c r="F291" s="16" t="s">
        <v>28</v>
      </c>
      <c r="G291" s="25" t="s">
        <v>3867</v>
      </c>
      <c r="H291" s="16" t="s">
        <v>3868</v>
      </c>
      <c r="I291" s="16"/>
      <c r="J291" s="26" t="s">
        <v>3857</v>
      </c>
      <c r="K291" s="27" t="s">
        <v>32</v>
      </c>
      <c r="L291" s="16"/>
      <c r="M291" s="26" t="s">
        <v>3858</v>
      </c>
      <c r="N291" s="23" t="s">
        <v>34</v>
      </c>
      <c r="O291" s="22"/>
    </row>
    <row r="292" ht="33" spans="1:15">
      <c r="A292" s="13">
        <v>291</v>
      </c>
      <c r="B292" s="14">
        <v>45870</v>
      </c>
      <c r="C292" s="16" t="s">
        <v>25</v>
      </c>
      <c r="D292" s="16" t="str">
        <f>VLOOKUP(E292,[1]Sheet3!A:B,2,0)</f>
        <v>冰箱</v>
      </c>
      <c r="E292" s="16" t="s">
        <v>41</v>
      </c>
      <c r="F292" s="16" t="s">
        <v>28</v>
      </c>
      <c r="G292" s="25" t="s">
        <v>3869</v>
      </c>
      <c r="H292" s="16" t="s">
        <v>3870</v>
      </c>
      <c r="I292" s="16"/>
      <c r="J292" s="26" t="s">
        <v>3871</v>
      </c>
      <c r="K292" s="27" t="s">
        <v>355</v>
      </c>
      <c r="L292" s="16"/>
      <c r="M292" s="26" t="s">
        <v>3872</v>
      </c>
      <c r="N292" s="23" t="s">
        <v>34</v>
      </c>
      <c r="O292" s="22"/>
    </row>
    <row r="293" ht="33" spans="1:15">
      <c r="A293" s="13">
        <v>292</v>
      </c>
      <c r="B293" s="14">
        <v>45871</v>
      </c>
      <c r="C293" s="16" t="s">
        <v>49</v>
      </c>
      <c r="D293" s="16" t="str">
        <f>VLOOKUP(E293,[1]Sheet3!A:B,2,0)</f>
        <v>工业技术</v>
      </c>
      <c r="E293" s="16" t="s">
        <v>416</v>
      </c>
      <c r="F293" s="16" t="s">
        <v>28</v>
      </c>
      <c r="G293" s="25" t="s">
        <v>3873</v>
      </c>
      <c r="H293" s="16" t="s">
        <v>3874</v>
      </c>
      <c r="I293" s="16"/>
      <c r="J293" s="26" t="s">
        <v>3875</v>
      </c>
      <c r="K293" s="27" t="s">
        <v>49</v>
      </c>
      <c r="L293" s="16"/>
      <c r="M293" s="26" t="s">
        <v>3876</v>
      </c>
      <c r="N293" s="23" t="s">
        <v>34</v>
      </c>
      <c r="O293" s="22"/>
    </row>
    <row r="294" spans="1:15">
      <c r="A294" s="13">
        <v>293</v>
      </c>
      <c r="B294" s="14">
        <v>45871</v>
      </c>
      <c r="C294" s="16" t="s">
        <v>49</v>
      </c>
      <c r="D294" s="16" t="str">
        <f>VLOOKUP(E294,[1]Sheet3!A:B,2,0)</f>
        <v>洗衣机</v>
      </c>
      <c r="E294" s="16" t="s">
        <v>27</v>
      </c>
      <c r="F294" s="16" t="s">
        <v>28</v>
      </c>
      <c r="G294" s="25" t="s">
        <v>3877</v>
      </c>
      <c r="H294" s="16" t="s">
        <v>3878</v>
      </c>
      <c r="I294" s="16"/>
      <c r="J294" s="26" t="s">
        <v>3879</v>
      </c>
      <c r="K294" s="27" t="s">
        <v>49</v>
      </c>
      <c r="L294" s="16"/>
      <c r="M294" s="26" t="s">
        <v>3880</v>
      </c>
      <c r="N294" s="23" t="s">
        <v>34</v>
      </c>
      <c r="O294" s="22"/>
    </row>
    <row r="295" spans="1:15">
      <c r="A295" s="13">
        <v>294</v>
      </c>
      <c r="B295" s="14">
        <v>45873</v>
      </c>
      <c r="C295" s="16" t="s">
        <v>25</v>
      </c>
      <c r="D295" s="16" t="str">
        <f>VLOOKUP(E295,[1]Sheet3!A:B,2,0)</f>
        <v>洗衣机</v>
      </c>
      <c r="E295" s="16" t="s">
        <v>27</v>
      </c>
      <c r="F295" s="16" t="s">
        <v>28</v>
      </c>
      <c r="G295" s="25" t="s">
        <v>3881</v>
      </c>
      <c r="H295" s="16" t="s">
        <v>3882</v>
      </c>
      <c r="I295" s="16"/>
      <c r="J295" s="30" t="s">
        <v>3883</v>
      </c>
      <c r="K295" s="27" t="s">
        <v>24</v>
      </c>
      <c r="L295" s="16"/>
      <c r="M295" s="26" t="s">
        <v>3884</v>
      </c>
      <c r="N295" s="23" t="s">
        <v>34</v>
      </c>
      <c r="O295" s="22"/>
    </row>
    <row r="296" ht="47" customHeight="1" spans="1:15">
      <c r="A296" s="13">
        <v>295</v>
      </c>
      <c r="B296" s="14">
        <v>45873</v>
      </c>
      <c r="C296" s="16" t="s">
        <v>25</v>
      </c>
      <c r="D296" s="16" t="str">
        <f>VLOOKUP(E296,[1]Sheet3!A:B,2,0)</f>
        <v>洗衣机</v>
      </c>
      <c r="E296" s="16" t="s">
        <v>660</v>
      </c>
      <c r="F296" s="16" t="s">
        <v>28</v>
      </c>
      <c r="G296" s="25" t="s">
        <v>3885</v>
      </c>
      <c r="H296" s="16" t="s">
        <v>3886</v>
      </c>
      <c r="I296" s="16"/>
      <c r="J296" s="33"/>
      <c r="K296" s="27" t="s">
        <v>24</v>
      </c>
      <c r="L296" s="16"/>
      <c r="M296" s="26" t="s">
        <v>3887</v>
      </c>
      <c r="N296" s="23" t="s">
        <v>34</v>
      </c>
      <c r="O296" s="22"/>
    </row>
    <row r="297" ht="33" spans="1:15">
      <c r="A297" s="13">
        <v>296</v>
      </c>
      <c r="B297" s="14">
        <v>45873</v>
      </c>
      <c r="C297" s="16" t="s">
        <v>25</v>
      </c>
      <c r="D297" s="16" t="str">
        <f>VLOOKUP(E297,[1]Sheet3!A:B,2,0)</f>
        <v>微波和清洁</v>
      </c>
      <c r="E297" s="16" t="s">
        <v>223</v>
      </c>
      <c r="F297" s="16" t="s">
        <v>28</v>
      </c>
      <c r="G297" s="25" t="s">
        <v>3888</v>
      </c>
      <c r="H297" s="16" t="s">
        <v>3889</v>
      </c>
      <c r="I297" s="16"/>
      <c r="J297" s="26" t="s">
        <v>3890</v>
      </c>
      <c r="K297" s="27" t="s">
        <v>24</v>
      </c>
      <c r="L297" s="16"/>
      <c r="M297" s="26" t="s">
        <v>3891</v>
      </c>
      <c r="N297" s="23" t="s">
        <v>34</v>
      </c>
      <c r="O297" s="22"/>
    </row>
    <row r="298" spans="1:15">
      <c r="A298" s="13">
        <v>297</v>
      </c>
      <c r="B298" s="14">
        <v>45873</v>
      </c>
      <c r="C298" s="16" t="s">
        <v>68</v>
      </c>
      <c r="D298" s="16" t="str">
        <f>VLOOKUP(E298,[1]Sheet3!A:B,2,0)</f>
        <v>冰箱</v>
      </c>
      <c r="E298" s="16" t="s">
        <v>41</v>
      </c>
      <c r="F298" s="16" t="s">
        <v>28</v>
      </c>
      <c r="G298" s="25" t="s">
        <v>3892</v>
      </c>
      <c r="H298" s="16" t="s">
        <v>3893</v>
      </c>
      <c r="I298" s="16"/>
      <c r="J298" s="26" t="s">
        <v>3894</v>
      </c>
      <c r="K298" s="27" t="s">
        <v>32</v>
      </c>
      <c r="L298" s="16"/>
      <c r="M298" s="26" t="s">
        <v>3895</v>
      </c>
      <c r="N298" s="23" t="s">
        <v>34</v>
      </c>
      <c r="O298" s="22"/>
    </row>
    <row r="299" ht="66" spans="1:15">
      <c r="A299" s="13">
        <v>298</v>
      </c>
      <c r="B299" s="14">
        <v>45873</v>
      </c>
      <c r="C299" s="16" t="s">
        <v>49</v>
      </c>
      <c r="D299" s="16" t="str">
        <f>VLOOKUP(E299,[1]Sheet3!A:B,2,0)</f>
        <v>冰箱</v>
      </c>
      <c r="E299" s="16" t="s">
        <v>41</v>
      </c>
      <c r="F299" s="16" t="s">
        <v>28</v>
      </c>
      <c r="G299" s="25" t="s">
        <v>3896</v>
      </c>
      <c r="H299" s="16" t="s">
        <v>3897</v>
      </c>
      <c r="I299" s="16"/>
      <c r="J299" s="26" t="s">
        <v>3898</v>
      </c>
      <c r="K299" s="27" t="s">
        <v>49</v>
      </c>
      <c r="L299" s="16"/>
      <c r="M299" s="26" t="s">
        <v>3899</v>
      </c>
      <c r="N299" s="23" t="s">
        <v>34</v>
      </c>
      <c r="O299" s="22"/>
    </row>
    <row r="300" spans="1:15">
      <c r="A300" s="13">
        <v>299</v>
      </c>
      <c r="B300" s="14">
        <v>45876</v>
      </c>
      <c r="C300" s="16" t="s">
        <v>68</v>
      </c>
      <c r="D300" s="16" t="str">
        <f>VLOOKUP(E300,[1]Sheet3!A:B,2,0)</f>
        <v>冰箱</v>
      </c>
      <c r="E300" s="16" t="s">
        <v>41</v>
      </c>
      <c r="F300" s="16" t="s">
        <v>28</v>
      </c>
      <c r="G300" s="25" t="s">
        <v>3900</v>
      </c>
      <c r="H300" s="16" t="s">
        <v>3901</v>
      </c>
      <c r="I300" s="16"/>
      <c r="J300" s="26" t="s">
        <v>3902</v>
      </c>
      <c r="K300" s="27"/>
      <c r="L300" s="16"/>
      <c r="M300" s="26"/>
      <c r="N300" s="23"/>
      <c r="O300" s="22"/>
    </row>
    <row r="301" spans="1:15">
      <c r="A301" s="13">
        <v>300</v>
      </c>
      <c r="B301" s="14">
        <v>45873</v>
      </c>
      <c r="C301" s="16" t="s">
        <v>49</v>
      </c>
      <c r="D301" s="16" t="str">
        <f>VLOOKUP(E301,[1]Sheet3!A:B,2,0)</f>
        <v>冰箱</v>
      </c>
      <c r="E301" s="16" t="s">
        <v>41</v>
      </c>
      <c r="F301" s="16" t="s">
        <v>28</v>
      </c>
      <c r="G301" s="25" t="s">
        <v>3903</v>
      </c>
      <c r="H301" s="16" t="s">
        <v>3904</v>
      </c>
      <c r="I301" s="16"/>
      <c r="J301" s="26" t="s">
        <v>3905</v>
      </c>
      <c r="K301" s="27" t="s">
        <v>49</v>
      </c>
      <c r="L301" s="16"/>
      <c r="M301" s="26" t="s">
        <v>3906</v>
      </c>
      <c r="N301" s="23" t="s">
        <v>34</v>
      </c>
      <c r="O301" s="22"/>
    </row>
    <row r="302" spans="1:15">
      <c r="A302" s="13">
        <v>301</v>
      </c>
      <c r="B302" s="14">
        <v>45873</v>
      </c>
      <c r="C302" s="16" t="s">
        <v>49</v>
      </c>
      <c r="D302" s="16" t="str">
        <f>VLOOKUP(E302,[1]Sheet3!A:B,2,0)</f>
        <v>洗衣机</v>
      </c>
      <c r="E302" s="16" t="s">
        <v>27</v>
      </c>
      <c r="F302" s="16" t="s">
        <v>28</v>
      </c>
      <c r="G302" s="115" t="s">
        <v>3907</v>
      </c>
      <c r="H302" s="16" t="s">
        <v>3908</v>
      </c>
      <c r="I302" s="16"/>
      <c r="J302" s="26" t="s">
        <v>3905</v>
      </c>
      <c r="K302" s="27" t="s">
        <v>49</v>
      </c>
      <c r="L302" s="16"/>
      <c r="M302" s="26" t="s">
        <v>3906</v>
      </c>
      <c r="N302" s="23" t="s">
        <v>34</v>
      </c>
      <c r="O302" s="22"/>
    </row>
    <row r="303" ht="66" spans="1:15">
      <c r="A303" s="13">
        <v>302</v>
      </c>
      <c r="B303" s="14">
        <v>45873</v>
      </c>
      <c r="C303" s="16" t="s">
        <v>25</v>
      </c>
      <c r="D303" s="16" t="str">
        <f>VLOOKUP(E303,[1]Sheet3!A:B,2,0)</f>
        <v>家用空调</v>
      </c>
      <c r="E303" s="16" t="s">
        <v>318</v>
      </c>
      <c r="F303" s="16" t="s">
        <v>28</v>
      </c>
      <c r="G303" s="25" t="s">
        <v>3909</v>
      </c>
      <c r="H303" s="16" t="s">
        <v>3910</v>
      </c>
      <c r="I303" s="16"/>
      <c r="J303" s="26" t="s">
        <v>3911</v>
      </c>
      <c r="K303" s="27" t="s">
        <v>92</v>
      </c>
      <c r="L303" s="16"/>
      <c r="M303" s="26" t="s">
        <v>3912</v>
      </c>
      <c r="N303" s="23" t="s">
        <v>34</v>
      </c>
      <c r="O303" s="22"/>
    </row>
    <row r="304" spans="1:15">
      <c r="A304" s="13">
        <v>303</v>
      </c>
      <c r="B304" s="14">
        <v>45873</v>
      </c>
      <c r="C304" s="16" t="s">
        <v>49</v>
      </c>
      <c r="D304" s="16" t="str">
        <f>VLOOKUP(E304,[1]Sheet3!A:B,2,0)</f>
        <v>洗衣机</v>
      </c>
      <c r="E304" s="16" t="s">
        <v>27</v>
      </c>
      <c r="F304" s="16" t="s">
        <v>28</v>
      </c>
      <c r="G304" s="25" t="s">
        <v>3913</v>
      </c>
      <c r="H304" s="16" t="s">
        <v>3914</v>
      </c>
      <c r="I304" s="16"/>
      <c r="J304" s="26" t="s">
        <v>3905</v>
      </c>
      <c r="K304" s="27" t="s">
        <v>49</v>
      </c>
      <c r="L304" s="16"/>
      <c r="M304" s="26" t="s">
        <v>3915</v>
      </c>
      <c r="N304" s="23" t="s">
        <v>34</v>
      </c>
      <c r="O304" s="22"/>
    </row>
    <row r="305" spans="1:15">
      <c r="A305" s="13">
        <v>304</v>
      </c>
      <c r="B305" s="14">
        <v>45873</v>
      </c>
      <c r="C305" s="16" t="s">
        <v>68</v>
      </c>
      <c r="D305" s="16" t="str">
        <f>VLOOKUP(E305,[1]Sheet3!A:B,2,0)</f>
        <v>冰箱</v>
      </c>
      <c r="E305" s="16" t="s">
        <v>41</v>
      </c>
      <c r="F305" s="16" t="s">
        <v>28</v>
      </c>
      <c r="G305" s="25" t="s">
        <v>3916</v>
      </c>
      <c r="H305" s="16" t="s">
        <v>3917</v>
      </c>
      <c r="I305" s="16"/>
      <c r="J305" s="26" t="s">
        <v>3918</v>
      </c>
      <c r="K305" s="27" t="s">
        <v>68</v>
      </c>
      <c r="L305" s="16"/>
      <c r="M305" s="26" t="s">
        <v>3919</v>
      </c>
      <c r="N305" s="23" t="s">
        <v>34</v>
      </c>
      <c r="O305" s="22"/>
    </row>
    <row r="306" spans="1:15">
      <c r="A306" s="13">
        <v>305</v>
      </c>
      <c r="B306" s="14">
        <v>45874</v>
      </c>
      <c r="C306" s="16" t="s">
        <v>68</v>
      </c>
      <c r="D306" s="16" t="str">
        <f>VLOOKUP(E306,[1]Sheet3!A:B,2,0)</f>
        <v>冰箱</v>
      </c>
      <c r="E306" s="16" t="s">
        <v>41</v>
      </c>
      <c r="F306" s="16" t="s">
        <v>28</v>
      </c>
      <c r="G306" s="25" t="s">
        <v>3920</v>
      </c>
      <c r="H306" s="16" t="s">
        <v>3921</v>
      </c>
      <c r="I306" s="16"/>
      <c r="J306" s="26" t="s">
        <v>3922</v>
      </c>
      <c r="K306" s="27" t="s">
        <v>68</v>
      </c>
      <c r="L306" s="16"/>
      <c r="M306" s="26" t="s">
        <v>3923</v>
      </c>
      <c r="N306" s="23" t="s">
        <v>34</v>
      </c>
      <c r="O306" s="22"/>
    </row>
    <row r="307" ht="20" customHeight="1" spans="1:15">
      <c r="A307" s="13">
        <v>306</v>
      </c>
      <c r="B307" s="14">
        <v>45874</v>
      </c>
      <c r="C307" s="16" t="s">
        <v>25</v>
      </c>
      <c r="D307" s="16" t="str">
        <f>VLOOKUP(E307,[1]Sheet3!A:B,2,0)</f>
        <v>洗衣机</v>
      </c>
      <c r="E307" s="16" t="s">
        <v>27</v>
      </c>
      <c r="F307" s="16" t="s">
        <v>28</v>
      </c>
      <c r="G307" s="25" t="s">
        <v>3924</v>
      </c>
      <c r="H307" s="16" t="s">
        <v>3925</v>
      </c>
      <c r="I307" s="16"/>
      <c r="J307" s="26" t="s">
        <v>3922</v>
      </c>
      <c r="K307" s="27" t="s">
        <v>24</v>
      </c>
      <c r="L307" s="16"/>
      <c r="M307" s="26" t="s">
        <v>3926</v>
      </c>
      <c r="N307" s="23" t="s">
        <v>34</v>
      </c>
      <c r="O307" s="22"/>
    </row>
    <row r="308" ht="114" customHeight="1" spans="1:15">
      <c r="A308" s="13">
        <v>307</v>
      </c>
      <c r="B308" s="14">
        <v>45874</v>
      </c>
      <c r="C308" s="16" t="s">
        <v>25</v>
      </c>
      <c r="D308" s="16" t="e">
        <f>VLOOKUP(E308,[1]Sheet3!A:B,2,0)</f>
        <v>#N/A</v>
      </c>
      <c r="E308" s="16" t="s">
        <v>3927</v>
      </c>
      <c r="F308" s="16" t="s">
        <v>28</v>
      </c>
      <c r="G308" s="25" t="s">
        <v>3928</v>
      </c>
      <c r="H308" s="16" t="s">
        <v>3929</v>
      </c>
      <c r="I308" s="16"/>
      <c r="J308" s="42" t="s">
        <v>3930</v>
      </c>
      <c r="K308" s="27" t="s">
        <v>355</v>
      </c>
      <c r="L308" s="16"/>
      <c r="M308" s="26" t="s">
        <v>3931</v>
      </c>
      <c r="N308" s="23" t="s">
        <v>34</v>
      </c>
      <c r="O308" s="22"/>
    </row>
    <row r="309" ht="74" customHeight="1" spans="1:15">
      <c r="A309" s="13">
        <v>308</v>
      </c>
      <c r="B309" s="14">
        <v>45874</v>
      </c>
      <c r="C309" s="16" t="s">
        <v>25</v>
      </c>
      <c r="D309" s="16" t="str">
        <f>VLOOKUP(E309,[1]Sheet3!A:B,2,0)</f>
        <v>冰箱</v>
      </c>
      <c r="E309" s="16" t="s">
        <v>41</v>
      </c>
      <c r="F309" s="16" t="s">
        <v>28</v>
      </c>
      <c r="G309" s="25" t="s">
        <v>3932</v>
      </c>
      <c r="H309" s="16" t="s">
        <v>3933</v>
      </c>
      <c r="I309" s="16"/>
      <c r="J309" s="43"/>
      <c r="K309" s="27" t="s">
        <v>355</v>
      </c>
      <c r="L309" s="16"/>
      <c r="M309" s="26" t="s">
        <v>3934</v>
      </c>
      <c r="N309" s="23" t="s">
        <v>34</v>
      </c>
      <c r="O309" s="22"/>
    </row>
    <row r="310" ht="49.5" spans="1:15">
      <c r="A310" s="13">
        <v>309</v>
      </c>
      <c r="B310" s="14">
        <v>45874</v>
      </c>
      <c r="C310" s="16" t="s">
        <v>49</v>
      </c>
      <c r="D310" s="16" t="str">
        <f>VLOOKUP(E310,[1]Sheet3!A:B,2,0)</f>
        <v>冰箱</v>
      </c>
      <c r="E310" s="16" t="s">
        <v>41</v>
      </c>
      <c r="F310" s="16" t="s">
        <v>28</v>
      </c>
      <c r="G310" s="25" t="s">
        <v>3935</v>
      </c>
      <c r="H310" s="16" t="s">
        <v>3936</v>
      </c>
      <c r="I310" s="16"/>
      <c r="J310" s="26" t="s">
        <v>3937</v>
      </c>
      <c r="K310" s="27" t="s">
        <v>49</v>
      </c>
      <c r="L310" s="16"/>
      <c r="M310" s="26" t="s">
        <v>3938</v>
      </c>
      <c r="N310" s="23" t="s">
        <v>34</v>
      </c>
      <c r="O310" s="22"/>
    </row>
    <row r="311" ht="33" spans="1:15">
      <c r="A311" s="13">
        <v>310</v>
      </c>
      <c r="B311" s="14">
        <v>45875</v>
      </c>
      <c r="C311" s="16" t="s">
        <v>25</v>
      </c>
      <c r="D311" s="16" t="str">
        <f>VLOOKUP(E311,[1]Sheet3!A:B,2,0)</f>
        <v>厨热</v>
      </c>
      <c r="E311" s="16" t="s">
        <v>411</v>
      </c>
      <c r="F311" s="16" t="s">
        <v>28</v>
      </c>
      <c r="G311" s="25" t="s">
        <v>3939</v>
      </c>
      <c r="H311" s="16" t="s">
        <v>3940</v>
      </c>
      <c r="I311" s="16"/>
      <c r="J311" s="26" t="s">
        <v>3941</v>
      </c>
      <c r="K311" s="27" t="s">
        <v>24</v>
      </c>
      <c r="L311" s="16"/>
      <c r="M311" s="26" t="s">
        <v>3942</v>
      </c>
      <c r="N311" s="23" t="s">
        <v>34</v>
      </c>
      <c r="O311" s="22"/>
    </row>
    <row r="312" spans="1:15">
      <c r="A312" s="13">
        <v>311</v>
      </c>
      <c r="B312" s="14">
        <v>45875</v>
      </c>
      <c r="C312" s="16" t="s">
        <v>49</v>
      </c>
      <c r="D312" s="16" t="str">
        <f>VLOOKUP(E312,[1]Sheet3!A:B,2,0)</f>
        <v>冰箱</v>
      </c>
      <c r="E312" s="16" t="s">
        <v>41</v>
      </c>
      <c r="F312" s="16" t="s">
        <v>28</v>
      </c>
      <c r="G312" s="25" t="s">
        <v>3943</v>
      </c>
      <c r="H312" s="16" t="s">
        <v>3944</v>
      </c>
      <c r="I312" s="16"/>
      <c r="J312" s="26" t="s">
        <v>3945</v>
      </c>
      <c r="K312" s="27" t="s">
        <v>49</v>
      </c>
      <c r="L312" s="16"/>
      <c r="M312" s="26" t="s">
        <v>3946</v>
      </c>
      <c r="N312" s="23" t="s">
        <v>34</v>
      </c>
      <c r="O312" s="22"/>
    </row>
    <row r="313" spans="1:15">
      <c r="A313" s="13">
        <v>312</v>
      </c>
      <c r="B313" s="14">
        <v>45876</v>
      </c>
      <c r="C313" s="16" t="s">
        <v>49</v>
      </c>
      <c r="D313" s="16" t="str">
        <f>VLOOKUP(E313,[1]Sheet3!A:B,2,0)</f>
        <v>冰箱</v>
      </c>
      <c r="E313" s="16" t="s">
        <v>41</v>
      </c>
      <c r="F313" s="16" t="s">
        <v>28</v>
      </c>
      <c r="G313" s="25" t="s">
        <v>3947</v>
      </c>
      <c r="H313" s="16" t="s">
        <v>3948</v>
      </c>
      <c r="I313" s="16"/>
      <c r="J313" s="26" t="s">
        <v>3949</v>
      </c>
      <c r="K313" s="27" t="s">
        <v>49</v>
      </c>
      <c r="L313" s="16"/>
      <c r="M313" s="26" t="s">
        <v>3946</v>
      </c>
      <c r="N313" s="23" t="s">
        <v>34</v>
      </c>
      <c r="O313" s="22"/>
    </row>
    <row r="314" ht="33" spans="1:15">
      <c r="A314" s="13">
        <v>313</v>
      </c>
      <c r="B314" s="14">
        <v>45876</v>
      </c>
      <c r="C314" s="16" t="s">
        <v>49</v>
      </c>
      <c r="D314" s="16" t="str">
        <f>VLOOKUP(E314,[1]Sheet3!A:B,2,0)</f>
        <v>冰箱</v>
      </c>
      <c r="E314" s="16" t="s">
        <v>41</v>
      </c>
      <c r="F314" s="16" t="s">
        <v>28</v>
      </c>
      <c r="G314" s="25" t="s">
        <v>3950</v>
      </c>
      <c r="H314" s="16" t="s">
        <v>3951</v>
      </c>
      <c r="I314" s="16"/>
      <c r="J314" s="26" t="s">
        <v>3952</v>
      </c>
      <c r="K314" s="27" t="s">
        <v>49</v>
      </c>
      <c r="L314" s="16"/>
      <c r="M314" s="26" t="s">
        <v>3953</v>
      </c>
      <c r="N314" s="23" t="s">
        <v>34</v>
      </c>
      <c r="O314" s="22"/>
    </row>
    <row r="315" ht="82.5" spans="1:15">
      <c r="A315" s="13">
        <v>314</v>
      </c>
      <c r="B315" s="14">
        <v>45877</v>
      </c>
      <c r="C315" s="16" t="s">
        <v>68</v>
      </c>
      <c r="D315" s="16" t="str">
        <f>VLOOKUP(E315,[1]Sheet3!A:B,2,0)</f>
        <v>冰箱</v>
      </c>
      <c r="E315" s="16" t="s">
        <v>41</v>
      </c>
      <c r="F315" s="16" t="s">
        <v>28</v>
      </c>
      <c r="G315" s="25" t="s">
        <v>3954</v>
      </c>
      <c r="H315" s="16" t="s">
        <v>3955</v>
      </c>
      <c r="I315" s="16"/>
      <c r="J315" s="26" t="s">
        <v>3956</v>
      </c>
      <c r="K315" s="27" t="s">
        <v>32</v>
      </c>
      <c r="L315" s="16"/>
      <c r="M315" s="26" t="s">
        <v>3957</v>
      </c>
      <c r="N315" s="23" t="s">
        <v>34</v>
      </c>
      <c r="O315" s="22"/>
    </row>
    <row r="316" spans="1:15">
      <c r="A316" s="13">
        <v>315</v>
      </c>
      <c r="B316" s="14">
        <v>45877</v>
      </c>
      <c r="C316" s="16" t="s">
        <v>25</v>
      </c>
      <c r="D316" s="16" t="str">
        <f>VLOOKUP(E316,[1]Sheet3!A:B,2,0)</f>
        <v>洗衣机</v>
      </c>
      <c r="E316" s="16" t="s">
        <v>35</v>
      </c>
      <c r="F316" s="16" t="s">
        <v>28</v>
      </c>
      <c r="G316" s="25" t="s">
        <v>3958</v>
      </c>
      <c r="H316" s="16" t="s">
        <v>3959</v>
      </c>
      <c r="I316" s="16"/>
      <c r="J316" s="26" t="s">
        <v>3960</v>
      </c>
      <c r="K316" s="27" t="s">
        <v>24</v>
      </c>
      <c r="L316" s="16"/>
      <c r="M316" s="26" t="s">
        <v>3961</v>
      </c>
      <c r="N316" s="23" t="s">
        <v>34</v>
      </c>
      <c r="O316" s="22"/>
    </row>
    <row r="317" spans="1:15">
      <c r="A317" s="13">
        <v>316</v>
      </c>
      <c r="B317" s="14">
        <v>45877</v>
      </c>
      <c r="C317" s="16" t="s">
        <v>68</v>
      </c>
      <c r="D317" s="16" t="str">
        <f>VLOOKUP(E317,[1]Sheet3!A:B,2,0)</f>
        <v>洗衣机</v>
      </c>
      <c r="E317" s="16" t="s">
        <v>35</v>
      </c>
      <c r="F317" s="16" t="s">
        <v>28</v>
      </c>
      <c r="G317" s="25" t="s">
        <v>3962</v>
      </c>
      <c r="H317" s="16">
        <v>285356305</v>
      </c>
      <c r="I317" s="16"/>
      <c r="J317" s="26" t="s">
        <v>3963</v>
      </c>
      <c r="K317" s="27" t="s">
        <v>24</v>
      </c>
      <c r="L317" s="16"/>
      <c r="M317" s="26" t="s">
        <v>3964</v>
      </c>
      <c r="N317" s="23" t="s">
        <v>34</v>
      </c>
      <c r="O317" s="22"/>
    </row>
    <row r="318" ht="42" customHeight="1" spans="1:15">
      <c r="A318" s="13">
        <v>317</v>
      </c>
      <c r="B318" s="14">
        <v>45880</v>
      </c>
      <c r="C318" s="16" t="s">
        <v>25</v>
      </c>
      <c r="D318" s="16" t="str">
        <f>VLOOKUP(E318,[1]Sheet3!A:B,2,0)</f>
        <v>洗衣机</v>
      </c>
      <c r="E318" s="16" t="s">
        <v>27</v>
      </c>
      <c r="F318" s="16" t="s">
        <v>28</v>
      </c>
      <c r="G318" s="25" t="s">
        <v>3965</v>
      </c>
      <c r="H318" s="16" t="s">
        <v>3966</v>
      </c>
      <c r="I318" s="16"/>
      <c r="J318" s="26" t="s">
        <v>3967</v>
      </c>
      <c r="K318" s="27" t="s">
        <v>355</v>
      </c>
      <c r="L318" s="16"/>
      <c r="M318" s="26" t="s">
        <v>3968</v>
      </c>
      <c r="N318" s="23" t="s">
        <v>34</v>
      </c>
      <c r="O318" s="22"/>
    </row>
    <row r="319" ht="99" customHeight="1" spans="1:15">
      <c r="A319" s="13">
        <v>318</v>
      </c>
      <c r="B319" s="14">
        <v>45880</v>
      </c>
      <c r="C319" s="16" t="s">
        <v>25</v>
      </c>
      <c r="D319" s="16" t="str">
        <f>VLOOKUP(E319,[1]Sheet3!A:B,2,0)</f>
        <v>冰箱</v>
      </c>
      <c r="E319" s="16" t="s">
        <v>41</v>
      </c>
      <c r="F319" s="16" t="s">
        <v>28</v>
      </c>
      <c r="G319" s="25" t="s">
        <v>3969</v>
      </c>
      <c r="H319" s="16" t="s">
        <v>3970</v>
      </c>
      <c r="I319" s="16"/>
      <c r="J319" s="26" t="s">
        <v>3971</v>
      </c>
      <c r="K319" s="27" t="s">
        <v>92</v>
      </c>
      <c r="L319" s="16"/>
      <c r="M319" s="26" t="s">
        <v>3972</v>
      </c>
      <c r="N319" s="23" t="s">
        <v>34</v>
      </c>
      <c r="O319" s="22"/>
    </row>
    <row r="320" ht="55" customHeight="1" spans="1:15">
      <c r="A320" s="13">
        <v>319</v>
      </c>
      <c r="B320" s="14">
        <v>45881</v>
      </c>
      <c r="C320" s="16" t="s">
        <v>68</v>
      </c>
      <c r="D320" s="16" t="str">
        <f>VLOOKUP(E320,[1]Sheet3!A:B,2,0)</f>
        <v>冰箱</v>
      </c>
      <c r="E320" s="16" t="s">
        <v>41</v>
      </c>
      <c r="F320" s="16" t="s">
        <v>28</v>
      </c>
      <c r="G320" s="25" t="s">
        <v>3973</v>
      </c>
      <c r="H320" s="16" t="s">
        <v>3974</v>
      </c>
      <c r="I320" s="16"/>
      <c r="J320" s="26" t="s">
        <v>3975</v>
      </c>
      <c r="K320" s="27" t="s">
        <v>355</v>
      </c>
      <c r="L320" s="16"/>
      <c r="M320" s="26" t="s">
        <v>3976</v>
      </c>
      <c r="N320" s="23" t="s">
        <v>34</v>
      </c>
      <c r="O320" s="22"/>
    </row>
    <row r="321" ht="41" customHeight="1" spans="1:15">
      <c r="A321" s="13">
        <v>320</v>
      </c>
      <c r="B321" s="14">
        <v>45883</v>
      </c>
      <c r="C321" s="16" t="s">
        <v>25</v>
      </c>
      <c r="D321" s="16" t="str">
        <f>VLOOKUP(E321,[1]Sheet3!A:B,2,0)</f>
        <v>洗衣机</v>
      </c>
      <c r="E321" s="16" t="s">
        <v>35</v>
      </c>
      <c r="F321" s="16" t="s">
        <v>28</v>
      </c>
      <c r="G321" s="25" t="s">
        <v>3977</v>
      </c>
      <c r="H321" s="16" t="s">
        <v>3978</v>
      </c>
      <c r="I321" s="16"/>
      <c r="J321" s="26" t="s">
        <v>3979</v>
      </c>
      <c r="K321" s="27" t="s">
        <v>24</v>
      </c>
      <c r="L321" s="16"/>
      <c r="M321" s="26" t="s">
        <v>3980</v>
      </c>
      <c r="N321" s="23" t="s">
        <v>34</v>
      </c>
      <c r="O321" s="22"/>
    </row>
    <row r="322" ht="40" customHeight="1" spans="1:15">
      <c r="A322" s="13">
        <v>321</v>
      </c>
      <c r="B322" s="14">
        <v>45883</v>
      </c>
      <c r="C322" s="16" t="s">
        <v>25</v>
      </c>
      <c r="D322" s="16" t="str">
        <f>VLOOKUP(E322,[1]Sheet3!A:B,2,0)</f>
        <v>洗衣机</v>
      </c>
      <c r="E322" s="16" t="s">
        <v>35</v>
      </c>
      <c r="F322" s="16" t="s">
        <v>28</v>
      </c>
      <c r="G322" s="25" t="s">
        <v>3981</v>
      </c>
      <c r="H322" s="16" t="s">
        <v>3982</v>
      </c>
      <c r="I322" s="16"/>
      <c r="J322" s="26" t="s">
        <v>3983</v>
      </c>
      <c r="K322" s="27" t="s">
        <v>24</v>
      </c>
      <c r="L322" s="16"/>
      <c r="M322" s="26" t="s">
        <v>3984</v>
      </c>
      <c r="N322" s="23" t="s">
        <v>34</v>
      </c>
      <c r="O322" s="22"/>
    </row>
    <row r="323" ht="33" spans="1:15">
      <c r="A323" s="13">
        <v>322</v>
      </c>
      <c r="B323" s="14">
        <v>45883</v>
      </c>
      <c r="C323" s="16" t="s">
        <v>49</v>
      </c>
      <c r="D323" s="16" t="str">
        <f>VLOOKUP(E323,[1]Sheet3!A:B,2,0)</f>
        <v>洗衣机</v>
      </c>
      <c r="E323" s="16" t="s">
        <v>27</v>
      </c>
      <c r="F323" s="16" t="s">
        <v>28</v>
      </c>
      <c r="G323" s="25" t="s">
        <v>3985</v>
      </c>
      <c r="H323" s="16" t="s">
        <v>3986</v>
      </c>
      <c r="I323" s="16"/>
      <c r="J323" s="26" t="s">
        <v>3987</v>
      </c>
      <c r="K323" s="27" t="s">
        <v>49</v>
      </c>
      <c r="L323" s="16"/>
      <c r="M323" s="26" t="s">
        <v>3988</v>
      </c>
      <c r="N323" s="23" t="s">
        <v>34</v>
      </c>
      <c r="O323" s="22"/>
    </row>
    <row r="324" ht="49.5" spans="1:15">
      <c r="A324" s="13">
        <v>323</v>
      </c>
      <c r="B324" s="14">
        <v>45883</v>
      </c>
      <c r="C324" s="16" t="s">
        <v>25</v>
      </c>
      <c r="D324" s="16" t="str">
        <f>VLOOKUP(E324,[1]Sheet3!A:B,2,0)</f>
        <v>厨热</v>
      </c>
      <c r="E324" s="16" t="s">
        <v>411</v>
      </c>
      <c r="F324" s="16" t="s">
        <v>28</v>
      </c>
      <c r="G324" s="25" t="s">
        <v>3989</v>
      </c>
      <c r="H324" s="16" t="s">
        <v>3990</v>
      </c>
      <c r="I324" s="16"/>
      <c r="J324" s="26" t="s">
        <v>3991</v>
      </c>
      <c r="K324" s="27" t="s">
        <v>355</v>
      </c>
      <c r="L324" s="16"/>
      <c r="M324" s="26" t="s">
        <v>3992</v>
      </c>
      <c r="N324" s="23" t="s">
        <v>34</v>
      </c>
      <c r="O324" s="22"/>
    </row>
    <row r="325" s="1" customFormat="1" ht="27" customHeight="1" spans="1:15">
      <c r="A325" s="13">
        <v>324</v>
      </c>
      <c r="B325" s="14">
        <v>45884</v>
      </c>
      <c r="C325" s="16" t="s">
        <v>25</v>
      </c>
      <c r="D325" s="16" t="str">
        <f>VLOOKUP(E325,[1]Sheet3!A:B,2,0)</f>
        <v>冰箱</v>
      </c>
      <c r="E325" s="16" t="s">
        <v>41</v>
      </c>
      <c r="F325" s="16" t="s">
        <v>28</v>
      </c>
      <c r="G325" s="25" t="s">
        <v>3993</v>
      </c>
      <c r="H325" s="16" t="s">
        <v>3994</v>
      </c>
      <c r="I325" s="16"/>
      <c r="J325" s="26" t="s">
        <v>3979</v>
      </c>
      <c r="K325" s="27" t="s">
        <v>24</v>
      </c>
      <c r="L325" s="16"/>
      <c r="M325" s="26" t="s">
        <v>3995</v>
      </c>
      <c r="N325" s="23" t="s">
        <v>34</v>
      </c>
      <c r="O325" s="22"/>
    </row>
    <row r="326" ht="72" customHeight="1" spans="1:15">
      <c r="A326" s="13">
        <v>325</v>
      </c>
      <c r="B326" s="14">
        <v>45887</v>
      </c>
      <c r="C326" s="16" t="s">
        <v>25</v>
      </c>
      <c r="D326" s="16" t="str">
        <f>VLOOKUP(E326,[1]Sheet3!A:B,2,0)</f>
        <v>洗衣机</v>
      </c>
      <c r="E326" s="16" t="s">
        <v>660</v>
      </c>
      <c r="F326" s="16" t="s">
        <v>28</v>
      </c>
      <c r="G326" s="25" t="s">
        <v>3996</v>
      </c>
      <c r="H326" s="16" t="s">
        <v>3997</v>
      </c>
      <c r="I326" s="16"/>
      <c r="J326" s="42" t="s">
        <v>3998</v>
      </c>
      <c r="K326" s="27" t="s">
        <v>355</v>
      </c>
      <c r="L326" s="16"/>
      <c r="M326" s="26" t="s">
        <v>3999</v>
      </c>
      <c r="N326" s="23" t="s">
        <v>34</v>
      </c>
      <c r="O326" s="22"/>
    </row>
    <row r="327" ht="90" customHeight="1" spans="1:15">
      <c r="A327" s="13">
        <v>326</v>
      </c>
      <c r="B327" s="14">
        <v>45887</v>
      </c>
      <c r="C327" s="16" t="s">
        <v>25</v>
      </c>
      <c r="D327" s="16" t="str">
        <f>VLOOKUP(E327,[1]Sheet3!A:B,2,0)</f>
        <v>洗衣机</v>
      </c>
      <c r="E327" s="16" t="s">
        <v>27</v>
      </c>
      <c r="F327" s="16" t="s">
        <v>28</v>
      </c>
      <c r="G327" s="25" t="s">
        <v>4000</v>
      </c>
      <c r="H327" s="16" t="s">
        <v>4001</v>
      </c>
      <c r="I327" s="16"/>
      <c r="J327" s="43"/>
      <c r="K327" s="27" t="s">
        <v>355</v>
      </c>
      <c r="L327" s="16"/>
      <c r="M327" s="26" t="s">
        <v>4002</v>
      </c>
      <c r="N327" s="23" t="s">
        <v>34</v>
      </c>
      <c r="O327" s="22"/>
    </row>
    <row r="328" ht="49.5" spans="1:15">
      <c r="A328" s="13">
        <v>327</v>
      </c>
      <c r="B328" s="14">
        <v>45888</v>
      </c>
      <c r="C328" s="16" t="s">
        <v>25</v>
      </c>
      <c r="D328" s="16" t="str">
        <f>VLOOKUP(E328,[1]Sheet3!A:B,2,0)</f>
        <v>洗衣机</v>
      </c>
      <c r="E328" s="16" t="s">
        <v>35</v>
      </c>
      <c r="F328" s="16" t="s">
        <v>28</v>
      </c>
      <c r="G328" s="25" t="s">
        <v>4003</v>
      </c>
      <c r="H328" s="16" t="s">
        <v>4004</v>
      </c>
      <c r="I328" s="16"/>
      <c r="J328" s="26" t="s">
        <v>4005</v>
      </c>
      <c r="K328" s="27" t="s">
        <v>4006</v>
      </c>
      <c r="L328" s="16"/>
      <c r="M328" s="26" t="s">
        <v>4007</v>
      </c>
      <c r="N328" s="23" t="s">
        <v>34</v>
      </c>
      <c r="O328" s="22"/>
    </row>
    <row r="329" ht="33" spans="1:15">
      <c r="A329" s="13">
        <v>328</v>
      </c>
      <c r="B329" s="14">
        <v>45888</v>
      </c>
      <c r="C329" s="16" t="s">
        <v>25</v>
      </c>
      <c r="D329" s="16" t="str">
        <f>VLOOKUP(E329,[1]Sheet3!A:B,2,0)</f>
        <v>冰箱</v>
      </c>
      <c r="E329" s="16" t="s">
        <v>41</v>
      </c>
      <c r="F329" s="16" t="s">
        <v>28</v>
      </c>
      <c r="G329" s="25" t="s">
        <v>4008</v>
      </c>
      <c r="H329" s="16" t="s">
        <v>4009</v>
      </c>
      <c r="I329" s="16"/>
      <c r="J329" s="26" t="s">
        <v>4010</v>
      </c>
      <c r="K329" s="27" t="s">
        <v>24</v>
      </c>
      <c r="L329" s="16"/>
      <c r="M329" s="26" t="s">
        <v>4011</v>
      </c>
      <c r="N329" s="23" t="s">
        <v>34</v>
      </c>
      <c r="O329" s="22"/>
    </row>
    <row r="330" ht="66" spans="1:15">
      <c r="A330" s="13">
        <v>329</v>
      </c>
      <c r="B330" s="14">
        <v>45888</v>
      </c>
      <c r="C330" s="16" t="s">
        <v>25</v>
      </c>
      <c r="D330" s="16" t="str">
        <f>VLOOKUP(E330,[1]Sheet3!A:B,2,0)</f>
        <v>洗衣机</v>
      </c>
      <c r="E330" s="16" t="s">
        <v>27</v>
      </c>
      <c r="F330" s="16" t="s">
        <v>28</v>
      </c>
      <c r="G330" s="25" t="s">
        <v>4012</v>
      </c>
      <c r="H330" s="16" t="s">
        <v>4013</v>
      </c>
      <c r="I330" s="16"/>
      <c r="J330" s="26" t="s">
        <v>4014</v>
      </c>
      <c r="K330" s="27" t="s">
        <v>24</v>
      </c>
      <c r="L330" s="16"/>
      <c r="M330" s="26" t="s">
        <v>4015</v>
      </c>
      <c r="N330" s="23" t="s">
        <v>34</v>
      </c>
      <c r="O330" s="22"/>
    </row>
    <row r="331" ht="62" customHeight="1" spans="1:15">
      <c r="A331" s="13">
        <v>330</v>
      </c>
      <c r="B331" s="14">
        <v>45888</v>
      </c>
      <c r="C331" s="16" t="s">
        <v>25</v>
      </c>
      <c r="D331" s="16" t="str">
        <f>VLOOKUP(E331,[1]Sheet3!A:B,2,0)</f>
        <v>冰箱</v>
      </c>
      <c r="E331" s="16" t="s">
        <v>41</v>
      </c>
      <c r="F331" s="16" t="s">
        <v>28</v>
      </c>
      <c r="G331" s="25" t="s">
        <v>4016</v>
      </c>
      <c r="H331" s="16" t="s">
        <v>4017</v>
      </c>
      <c r="I331" s="16"/>
      <c r="J331" s="26" t="s">
        <v>4018</v>
      </c>
      <c r="K331" s="27" t="s">
        <v>24</v>
      </c>
      <c r="L331" s="16"/>
      <c r="M331" s="26" t="s">
        <v>4019</v>
      </c>
      <c r="N331" s="23" t="s">
        <v>34</v>
      </c>
      <c r="O331" s="22"/>
    </row>
    <row r="332" ht="49.5" spans="1:15">
      <c r="A332" s="13">
        <v>331</v>
      </c>
      <c r="B332" s="14">
        <v>45888</v>
      </c>
      <c r="C332" s="16" t="s">
        <v>25</v>
      </c>
      <c r="D332" s="16" t="str">
        <f>VLOOKUP(E332,[1]Sheet3!A:B,2,0)</f>
        <v>冰箱</v>
      </c>
      <c r="E332" s="16" t="s">
        <v>41</v>
      </c>
      <c r="F332" s="16" t="s">
        <v>28</v>
      </c>
      <c r="G332" s="25" t="s">
        <v>4020</v>
      </c>
      <c r="H332" s="16" t="s">
        <v>4021</v>
      </c>
      <c r="I332" s="16"/>
      <c r="J332" s="26" t="s">
        <v>4018</v>
      </c>
      <c r="K332" s="27" t="s">
        <v>24</v>
      </c>
      <c r="L332" s="16"/>
      <c r="M332" s="26" t="s">
        <v>4019</v>
      </c>
      <c r="N332" s="23" t="s">
        <v>34</v>
      </c>
      <c r="O332" s="22"/>
    </row>
    <row r="333" ht="49.5" spans="1:15">
      <c r="A333" s="13">
        <v>332</v>
      </c>
      <c r="B333" s="14">
        <v>45888</v>
      </c>
      <c r="C333" s="16" t="s">
        <v>25</v>
      </c>
      <c r="D333" s="16" t="str">
        <f>VLOOKUP(E333,[1]Sheet3!A:B,2,0)</f>
        <v>冰箱</v>
      </c>
      <c r="E333" s="16" t="s">
        <v>41</v>
      </c>
      <c r="F333" s="16" t="s">
        <v>28</v>
      </c>
      <c r="G333" s="25" t="s">
        <v>4022</v>
      </c>
      <c r="H333" s="16" t="s">
        <v>4023</v>
      </c>
      <c r="I333" s="16"/>
      <c r="J333" s="26" t="s">
        <v>4018</v>
      </c>
      <c r="K333" s="27" t="s">
        <v>24</v>
      </c>
      <c r="L333" s="16"/>
      <c r="M333" s="26" t="s">
        <v>4019</v>
      </c>
      <c r="N333" s="23" t="s">
        <v>34</v>
      </c>
      <c r="O333" s="22"/>
    </row>
    <row r="334" spans="1:15">
      <c r="A334" s="13">
        <v>333</v>
      </c>
      <c r="B334" s="14">
        <v>45888</v>
      </c>
      <c r="C334" s="16" t="s">
        <v>49</v>
      </c>
      <c r="D334" s="16" t="str">
        <f>VLOOKUP(E334,[1]Sheet3!A:B,2,0)</f>
        <v>洗衣机</v>
      </c>
      <c r="E334" s="16" t="s">
        <v>35</v>
      </c>
      <c r="F334" s="16" t="s">
        <v>28</v>
      </c>
      <c r="G334" s="25" t="s">
        <v>4024</v>
      </c>
      <c r="H334" s="16">
        <v>264511637</v>
      </c>
      <c r="I334" s="16"/>
      <c r="J334" s="26" t="s">
        <v>4025</v>
      </c>
      <c r="K334" s="27" t="s">
        <v>49</v>
      </c>
      <c r="L334" s="16"/>
      <c r="M334" s="26" t="s">
        <v>4026</v>
      </c>
      <c r="N334" s="23" t="s">
        <v>34</v>
      </c>
      <c r="O334" s="22"/>
    </row>
    <row r="335" ht="60" customHeight="1" spans="1:15">
      <c r="A335" s="13">
        <v>334</v>
      </c>
      <c r="B335" s="14">
        <v>45888</v>
      </c>
      <c r="C335" s="16" t="s">
        <v>49</v>
      </c>
      <c r="D335" s="16" t="str">
        <f>VLOOKUP(E335,[1]Sheet3!A:B,2,0)</f>
        <v>采购中心</v>
      </c>
      <c r="E335" s="16" t="s">
        <v>108</v>
      </c>
      <c r="F335" s="16" t="s">
        <v>28</v>
      </c>
      <c r="G335" s="25" t="s">
        <v>4027</v>
      </c>
      <c r="H335" s="16" t="s">
        <v>4028</v>
      </c>
      <c r="I335" s="16"/>
      <c r="J335" s="26" t="s">
        <v>4025</v>
      </c>
      <c r="K335" s="27" t="s">
        <v>49</v>
      </c>
      <c r="L335" s="16"/>
      <c r="M335" s="26" t="s">
        <v>4029</v>
      </c>
      <c r="N335" s="23" t="s">
        <v>34</v>
      </c>
      <c r="O335" s="22"/>
    </row>
    <row r="336" spans="1:15">
      <c r="A336" s="13">
        <v>335</v>
      </c>
      <c r="B336" s="14">
        <v>45889</v>
      </c>
      <c r="C336" s="16" t="s">
        <v>49</v>
      </c>
      <c r="D336" s="16" t="str">
        <f>VLOOKUP(E336,[1]Sheet3!A:B,2,0)</f>
        <v>厨热</v>
      </c>
      <c r="E336" s="16" t="s">
        <v>411</v>
      </c>
      <c r="F336" s="16" t="s">
        <v>28</v>
      </c>
      <c r="G336" s="25" t="s">
        <v>4030</v>
      </c>
      <c r="H336" s="16" t="s">
        <v>4031</v>
      </c>
      <c r="I336" s="16"/>
      <c r="J336" s="26" t="s">
        <v>4032</v>
      </c>
      <c r="K336" s="27" t="s">
        <v>49</v>
      </c>
      <c r="L336" s="16"/>
      <c r="M336" s="26" t="s">
        <v>4033</v>
      </c>
      <c r="N336" s="23" t="s">
        <v>34</v>
      </c>
      <c r="O336" s="22"/>
    </row>
    <row r="337" spans="1:15">
      <c r="A337" s="13">
        <v>336</v>
      </c>
      <c r="B337" s="14">
        <v>45890</v>
      </c>
      <c r="C337" s="16" t="s">
        <v>25</v>
      </c>
      <c r="D337" s="16" t="str">
        <f>VLOOKUP(E337,[1]Sheet3!A:B,2,0)</f>
        <v>冰箱</v>
      </c>
      <c r="E337" s="16" t="s">
        <v>41</v>
      </c>
      <c r="F337" s="16" t="s">
        <v>28</v>
      </c>
      <c r="G337" s="25" t="s">
        <v>4034</v>
      </c>
      <c r="H337" s="16" t="s">
        <v>4035</v>
      </c>
      <c r="I337" s="16"/>
      <c r="J337" s="26" t="s">
        <v>4036</v>
      </c>
      <c r="K337" s="27" t="s">
        <v>24</v>
      </c>
      <c r="L337" s="16"/>
      <c r="M337" s="26" t="s">
        <v>4037</v>
      </c>
      <c r="N337" s="23" t="s">
        <v>34</v>
      </c>
      <c r="O337" s="22"/>
    </row>
    <row r="338" ht="33" spans="1:15">
      <c r="A338" s="13">
        <v>337</v>
      </c>
      <c r="B338" s="14">
        <v>45890</v>
      </c>
      <c r="C338" s="16" t="s">
        <v>25</v>
      </c>
      <c r="D338" s="16" t="str">
        <f>VLOOKUP(E338,[1]Sheet3!A:B,2,0)</f>
        <v>洗衣机</v>
      </c>
      <c r="E338" s="16" t="s">
        <v>27</v>
      </c>
      <c r="F338" s="16" t="s">
        <v>28</v>
      </c>
      <c r="G338" s="25" t="s">
        <v>4038</v>
      </c>
      <c r="H338" s="16" t="s">
        <v>4039</v>
      </c>
      <c r="I338" s="16"/>
      <c r="J338" s="26" t="s">
        <v>4040</v>
      </c>
      <c r="K338" s="27" t="s">
        <v>24</v>
      </c>
      <c r="L338" s="16"/>
      <c r="M338" s="26" t="s">
        <v>4041</v>
      </c>
      <c r="N338" s="23" t="s">
        <v>34</v>
      </c>
      <c r="O338" s="22"/>
    </row>
    <row r="339" ht="33" spans="1:15">
      <c r="A339" s="13">
        <v>338</v>
      </c>
      <c r="B339" s="14">
        <v>45890</v>
      </c>
      <c r="C339" s="16" t="s">
        <v>25</v>
      </c>
      <c r="D339" s="16" t="str">
        <f>VLOOKUP(E339,[1]Sheet3!A:B,2,0)</f>
        <v>洗衣机</v>
      </c>
      <c r="E339" s="16" t="s">
        <v>27</v>
      </c>
      <c r="F339" s="16" t="s">
        <v>28</v>
      </c>
      <c r="G339" s="25" t="s">
        <v>4042</v>
      </c>
      <c r="H339" s="16" t="s">
        <v>4043</v>
      </c>
      <c r="I339" s="16"/>
      <c r="J339" s="26" t="s">
        <v>4044</v>
      </c>
      <c r="K339" s="27" t="s">
        <v>24</v>
      </c>
      <c r="L339" s="16"/>
      <c r="M339" s="26" t="s">
        <v>4045</v>
      </c>
      <c r="N339" s="23" t="s">
        <v>34</v>
      </c>
      <c r="O339" s="22"/>
    </row>
    <row r="340" spans="1:15">
      <c r="A340" s="13">
        <v>339</v>
      </c>
      <c r="B340" s="14">
        <v>45890</v>
      </c>
      <c r="C340" s="16" t="s">
        <v>25</v>
      </c>
      <c r="D340" s="16" t="str">
        <f>VLOOKUP(E340,[1]Sheet3!A:B,2,0)</f>
        <v>冰箱</v>
      </c>
      <c r="E340" s="16" t="s">
        <v>41</v>
      </c>
      <c r="F340" s="16" t="s">
        <v>28</v>
      </c>
      <c r="G340" s="25" t="s">
        <v>4046</v>
      </c>
      <c r="H340" s="16" t="s">
        <v>4047</v>
      </c>
      <c r="I340" s="16"/>
      <c r="J340" s="26" t="s">
        <v>4048</v>
      </c>
      <c r="K340" s="27" t="s">
        <v>24</v>
      </c>
      <c r="L340" s="16"/>
      <c r="M340" s="26" t="s">
        <v>4049</v>
      </c>
      <c r="N340" s="23" t="s">
        <v>34</v>
      </c>
      <c r="O340" s="22"/>
    </row>
    <row r="341" spans="1:15">
      <c r="A341" s="13">
        <v>340</v>
      </c>
      <c r="B341" s="14">
        <v>45890</v>
      </c>
      <c r="C341" s="16" t="s">
        <v>49</v>
      </c>
      <c r="D341" s="16" t="str">
        <f>VLOOKUP(E341,[1]Sheet3!A:B,2,0)</f>
        <v>冰箱</v>
      </c>
      <c r="E341" s="16" t="s">
        <v>41</v>
      </c>
      <c r="F341" s="16" t="s">
        <v>28</v>
      </c>
      <c r="G341" s="25" t="s">
        <v>4050</v>
      </c>
      <c r="H341" s="16" t="s">
        <v>4051</v>
      </c>
      <c r="I341" s="16"/>
      <c r="J341" s="26" t="s">
        <v>4052</v>
      </c>
      <c r="K341" s="27" t="s">
        <v>49</v>
      </c>
      <c r="L341" s="16"/>
      <c r="M341" s="26" t="s">
        <v>4053</v>
      </c>
      <c r="N341" s="23" t="s">
        <v>34</v>
      </c>
      <c r="O341" s="22"/>
    </row>
    <row r="342" spans="1:15">
      <c r="A342" s="13">
        <v>341</v>
      </c>
      <c r="B342" s="14">
        <v>45891</v>
      </c>
      <c r="C342" s="16" t="s">
        <v>68</v>
      </c>
      <c r="D342" s="16" t="str">
        <f>VLOOKUP(E342,[1]Sheet3!A:B,2,0)</f>
        <v>冰箱</v>
      </c>
      <c r="E342" s="16" t="s">
        <v>41</v>
      </c>
      <c r="F342" s="16" t="s">
        <v>28</v>
      </c>
      <c r="G342" s="25" t="s">
        <v>4054</v>
      </c>
      <c r="H342" s="16" t="s">
        <v>4055</v>
      </c>
      <c r="I342" s="16"/>
      <c r="J342" s="26" t="s">
        <v>4056</v>
      </c>
      <c r="K342" s="27" t="s">
        <v>32</v>
      </c>
      <c r="L342" s="16"/>
      <c r="M342" s="26" t="s">
        <v>4057</v>
      </c>
      <c r="N342" s="23" t="s">
        <v>34</v>
      </c>
      <c r="O342" s="22"/>
    </row>
    <row r="343" spans="1:15">
      <c r="A343" s="13">
        <v>342</v>
      </c>
      <c r="B343" s="14">
        <v>45891</v>
      </c>
      <c r="C343" s="16" t="s">
        <v>68</v>
      </c>
      <c r="D343" s="16" t="str">
        <f>VLOOKUP(E343,[1]Sheet3!A:B,2,0)</f>
        <v>冰箱</v>
      </c>
      <c r="E343" s="16" t="s">
        <v>41</v>
      </c>
      <c r="F343" s="16" t="s">
        <v>28</v>
      </c>
      <c r="G343" s="25" t="s">
        <v>4058</v>
      </c>
      <c r="H343" s="16">
        <v>257524498</v>
      </c>
      <c r="I343" s="16"/>
      <c r="J343" s="26" t="s">
        <v>4056</v>
      </c>
      <c r="K343" s="27" t="s">
        <v>32</v>
      </c>
      <c r="L343" s="16"/>
      <c r="M343" s="26" t="s">
        <v>4059</v>
      </c>
      <c r="N343" s="23" t="s">
        <v>34</v>
      </c>
      <c r="O343" s="22"/>
    </row>
    <row r="344" spans="1:15">
      <c r="A344" s="13">
        <v>343</v>
      </c>
      <c r="B344" s="14">
        <v>45891</v>
      </c>
      <c r="C344" s="16" t="s">
        <v>68</v>
      </c>
      <c r="D344" s="16" t="str">
        <f>VLOOKUP(E344,[1]Sheet3!A:B,2,0)</f>
        <v>冰箱</v>
      </c>
      <c r="E344" s="16" t="s">
        <v>41</v>
      </c>
      <c r="F344" s="16" t="s">
        <v>28</v>
      </c>
      <c r="G344" s="25" t="s">
        <v>4060</v>
      </c>
      <c r="H344" s="16" t="s">
        <v>4061</v>
      </c>
      <c r="I344" s="16"/>
      <c r="J344" s="26" t="s">
        <v>4062</v>
      </c>
      <c r="K344" s="27" t="s">
        <v>355</v>
      </c>
      <c r="L344" s="16"/>
      <c r="M344" s="26" t="s">
        <v>4063</v>
      </c>
      <c r="N344" s="23" t="s">
        <v>34</v>
      </c>
      <c r="O344" s="22"/>
    </row>
    <row r="345" spans="1:15">
      <c r="A345" s="13">
        <v>344</v>
      </c>
      <c r="B345" s="14">
        <v>45891</v>
      </c>
      <c r="C345" s="16" t="s">
        <v>68</v>
      </c>
      <c r="D345" s="16" t="str">
        <f>VLOOKUP(E345,[1]Sheet3!A:B,2,0)</f>
        <v>冰箱</v>
      </c>
      <c r="E345" s="16" t="s">
        <v>148</v>
      </c>
      <c r="F345" s="16" t="s">
        <v>28</v>
      </c>
      <c r="G345" s="25" t="s">
        <v>4064</v>
      </c>
      <c r="H345" s="16" t="s">
        <v>4065</v>
      </c>
      <c r="I345" s="16"/>
      <c r="J345" s="26" t="s">
        <v>3500</v>
      </c>
      <c r="K345" s="27" t="s">
        <v>24</v>
      </c>
      <c r="L345" s="16"/>
      <c r="M345" s="26" t="s">
        <v>4066</v>
      </c>
      <c r="N345" s="23" t="s">
        <v>34</v>
      </c>
      <c r="O345" s="22"/>
    </row>
    <row r="346" ht="33" spans="1:15">
      <c r="A346" s="13">
        <v>345</v>
      </c>
      <c r="B346" s="14">
        <v>45891</v>
      </c>
      <c r="C346" s="16" t="s">
        <v>68</v>
      </c>
      <c r="D346" s="16" t="str">
        <f>VLOOKUP(E346,[1]Sheet3!A:B,2,0)</f>
        <v>洗衣机</v>
      </c>
      <c r="E346" s="16" t="s">
        <v>35</v>
      </c>
      <c r="F346" s="16" t="s">
        <v>28</v>
      </c>
      <c r="G346" s="25" t="s">
        <v>4067</v>
      </c>
      <c r="H346" s="16" t="s">
        <v>4068</v>
      </c>
      <c r="I346" s="16"/>
      <c r="J346" s="26" t="s">
        <v>4069</v>
      </c>
      <c r="K346" s="27" t="s">
        <v>32</v>
      </c>
      <c r="L346" s="16"/>
      <c r="M346" s="26" t="s">
        <v>4070</v>
      </c>
      <c r="N346" s="23" t="s">
        <v>34</v>
      </c>
      <c r="O346" s="22"/>
    </row>
    <row r="347" ht="33" spans="1:15">
      <c r="A347" s="13">
        <v>346</v>
      </c>
      <c r="B347" s="14">
        <v>45891</v>
      </c>
      <c r="C347" s="16" t="s">
        <v>49</v>
      </c>
      <c r="D347" s="16" t="str">
        <f>VLOOKUP(E347,[1]Sheet3!A:B,2,0)</f>
        <v>洗衣机</v>
      </c>
      <c r="E347" s="16" t="s">
        <v>35</v>
      </c>
      <c r="F347" s="16" t="s">
        <v>28</v>
      </c>
      <c r="G347" s="25" t="s">
        <v>4071</v>
      </c>
      <c r="H347" s="16">
        <v>264497108</v>
      </c>
      <c r="I347" s="16"/>
      <c r="J347" s="26" t="s">
        <v>4072</v>
      </c>
      <c r="K347" s="27" t="s">
        <v>49</v>
      </c>
      <c r="L347" s="16"/>
      <c r="M347" s="26" t="s">
        <v>4073</v>
      </c>
      <c r="N347" s="23" t="s">
        <v>34</v>
      </c>
      <c r="O347" s="22"/>
    </row>
    <row r="348" spans="1:15">
      <c r="A348" s="13">
        <v>347</v>
      </c>
      <c r="B348" s="14">
        <v>45891</v>
      </c>
      <c r="C348" s="16" t="s">
        <v>68</v>
      </c>
      <c r="D348" s="16" t="str">
        <f>VLOOKUP(E348,[1]Sheet3!A:B,2,0)</f>
        <v>洗衣机</v>
      </c>
      <c r="E348" s="16" t="s">
        <v>35</v>
      </c>
      <c r="F348" s="16" t="s">
        <v>28</v>
      </c>
      <c r="G348" s="25" t="s">
        <v>4074</v>
      </c>
      <c r="H348" s="16" t="s">
        <v>4075</v>
      </c>
      <c r="I348" s="16"/>
      <c r="J348" s="26" t="s">
        <v>4076</v>
      </c>
      <c r="K348" s="27" t="s">
        <v>32</v>
      </c>
      <c r="L348" s="16"/>
      <c r="M348" s="26" t="s">
        <v>4077</v>
      </c>
      <c r="N348" s="23" t="s">
        <v>34</v>
      </c>
      <c r="O348" s="22"/>
    </row>
    <row r="349" spans="1:15">
      <c r="A349" s="13">
        <v>348</v>
      </c>
      <c r="B349" s="14">
        <v>45891</v>
      </c>
      <c r="C349" s="16" t="s">
        <v>49</v>
      </c>
      <c r="D349" s="16" t="str">
        <f>VLOOKUP(E349,[1]Sheet3!A:B,2,0)</f>
        <v>厨热</v>
      </c>
      <c r="E349" s="16" t="s">
        <v>411</v>
      </c>
      <c r="F349" s="16" t="s">
        <v>28</v>
      </c>
      <c r="G349" s="25" t="s">
        <v>4078</v>
      </c>
      <c r="H349" s="16" t="s">
        <v>4079</v>
      </c>
      <c r="I349" s="16"/>
      <c r="J349" s="26" t="s">
        <v>4072</v>
      </c>
      <c r="K349" s="27" t="s">
        <v>49</v>
      </c>
      <c r="L349" s="16"/>
      <c r="M349" s="26" t="s">
        <v>4077</v>
      </c>
      <c r="N349" s="23" t="s">
        <v>34</v>
      </c>
      <c r="O349" s="22"/>
    </row>
    <row r="350" customFormat="1" ht="33" spans="1:15">
      <c r="A350" s="13">
        <v>349</v>
      </c>
      <c r="B350" s="14">
        <v>45891</v>
      </c>
      <c r="C350" s="16" t="s">
        <v>68</v>
      </c>
      <c r="D350" s="16" t="str">
        <f>VLOOKUP(E350,[1]Sheet3!A:B,2,0)</f>
        <v>冰箱</v>
      </c>
      <c r="E350" s="16" t="s">
        <v>41</v>
      </c>
      <c r="F350" s="16" t="s">
        <v>28</v>
      </c>
      <c r="G350" s="25" t="s">
        <v>4080</v>
      </c>
      <c r="H350" s="16" t="s">
        <v>4081</v>
      </c>
      <c r="I350" s="16"/>
      <c r="J350" s="26" t="s">
        <v>4082</v>
      </c>
      <c r="K350" s="27" t="s">
        <v>24</v>
      </c>
      <c r="L350" s="16"/>
      <c r="M350" s="26" t="s">
        <v>4083</v>
      </c>
      <c r="N350" s="23" t="s">
        <v>34</v>
      </c>
      <c r="O350" s="44"/>
    </row>
    <row r="351" ht="33" spans="1:15">
      <c r="A351" s="13">
        <v>350</v>
      </c>
      <c r="B351" s="14">
        <v>45894</v>
      </c>
      <c r="C351" s="16" t="s">
        <v>49</v>
      </c>
      <c r="D351" s="16" t="str">
        <f>VLOOKUP(E351,[1]Sheet3!A:B,2,0)</f>
        <v>冰箱</v>
      </c>
      <c r="E351" s="16" t="s">
        <v>41</v>
      </c>
      <c r="F351" s="16" t="s">
        <v>28</v>
      </c>
      <c r="G351" s="25" t="s">
        <v>4084</v>
      </c>
      <c r="H351" s="16" t="s">
        <v>4085</v>
      </c>
      <c r="I351" s="16"/>
      <c r="J351" s="26" t="s">
        <v>4072</v>
      </c>
      <c r="K351" s="27" t="s">
        <v>49</v>
      </c>
      <c r="L351" s="16"/>
      <c r="M351" s="26" t="s">
        <v>4073</v>
      </c>
      <c r="N351" s="23" t="s">
        <v>34</v>
      </c>
      <c r="O351" s="22"/>
    </row>
    <row r="352" ht="99" spans="1:15">
      <c r="A352" s="13">
        <v>351</v>
      </c>
      <c r="B352" s="14">
        <v>45894</v>
      </c>
      <c r="C352" s="16" t="s">
        <v>49</v>
      </c>
      <c r="D352" s="16" t="str">
        <f>VLOOKUP(E352,[1]Sheet3!A:B,2,0)</f>
        <v>洗衣机</v>
      </c>
      <c r="E352" s="16" t="s">
        <v>27</v>
      </c>
      <c r="F352" s="16" t="s">
        <v>28</v>
      </c>
      <c r="G352" s="25" t="s">
        <v>4086</v>
      </c>
      <c r="H352" s="116" t="s">
        <v>4087</v>
      </c>
      <c r="I352" s="16"/>
      <c r="J352" s="26" t="s">
        <v>4088</v>
      </c>
      <c r="K352" s="27" t="s">
        <v>49</v>
      </c>
      <c r="L352" s="16"/>
      <c r="M352" s="26" t="s">
        <v>4089</v>
      </c>
      <c r="N352" s="23" t="s">
        <v>34</v>
      </c>
      <c r="O352" s="22"/>
    </row>
    <row r="353" spans="1:15">
      <c r="A353" s="13">
        <v>352</v>
      </c>
      <c r="B353" s="14">
        <v>45894</v>
      </c>
      <c r="C353" s="16" t="s">
        <v>68</v>
      </c>
      <c r="D353" s="16" t="str">
        <f>VLOOKUP(E353,[1]Sheet3!A:B,2,0)</f>
        <v>厨热</v>
      </c>
      <c r="E353" s="16" t="s">
        <v>411</v>
      </c>
      <c r="F353" s="16" t="s">
        <v>28</v>
      </c>
      <c r="G353" s="25" t="s">
        <v>4090</v>
      </c>
      <c r="H353" s="16" t="s">
        <v>4091</v>
      </c>
      <c r="I353" s="16"/>
      <c r="J353" s="26" t="s">
        <v>4092</v>
      </c>
      <c r="K353" s="27" t="s">
        <v>32</v>
      </c>
      <c r="L353" s="16"/>
      <c r="M353" s="26" t="s">
        <v>4093</v>
      </c>
      <c r="N353" s="23" t="s">
        <v>34</v>
      </c>
      <c r="O353" s="22"/>
    </row>
    <row r="354" ht="33" spans="1:15">
      <c r="A354" s="13">
        <v>353</v>
      </c>
      <c r="B354" s="14">
        <v>45894</v>
      </c>
      <c r="C354" s="16" t="s">
        <v>25</v>
      </c>
      <c r="D354" s="16" t="str">
        <f>VLOOKUP(E354,[1]Sheet3!A:B,2,0)</f>
        <v>洗衣机</v>
      </c>
      <c r="E354" s="16" t="s">
        <v>35</v>
      </c>
      <c r="F354" s="16" t="s">
        <v>28</v>
      </c>
      <c r="G354" s="25" t="s">
        <v>4094</v>
      </c>
      <c r="H354" s="16" t="s">
        <v>4095</v>
      </c>
      <c r="I354" s="16"/>
      <c r="J354" s="26" t="s">
        <v>4096</v>
      </c>
      <c r="K354" s="27" t="s">
        <v>24</v>
      </c>
      <c r="L354" s="16"/>
      <c r="M354" s="26" t="s">
        <v>4097</v>
      </c>
      <c r="N354" s="23" t="s">
        <v>34</v>
      </c>
      <c r="O354" s="22"/>
    </row>
    <row r="355" ht="33" spans="1:15">
      <c r="A355" s="13">
        <v>354</v>
      </c>
      <c r="B355" s="14">
        <v>45894</v>
      </c>
      <c r="C355" s="16" t="s">
        <v>25</v>
      </c>
      <c r="D355" s="16" t="str">
        <f>VLOOKUP(E355,[1]Sheet3!A:B,2,0)</f>
        <v>冰箱</v>
      </c>
      <c r="E355" s="16" t="s">
        <v>41</v>
      </c>
      <c r="F355" s="16" t="s">
        <v>28</v>
      </c>
      <c r="G355" s="25" t="s">
        <v>4098</v>
      </c>
      <c r="H355" s="16" t="s">
        <v>4099</v>
      </c>
      <c r="I355" s="16"/>
      <c r="J355" s="26" t="s">
        <v>4096</v>
      </c>
      <c r="K355" s="27" t="s">
        <v>24</v>
      </c>
      <c r="L355" s="16"/>
      <c r="M355" s="26" t="s">
        <v>4097</v>
      </c>
      <c r="N355" s="23" t="s">
        <v>34</v>
      </c>
      <c r="O355" s="22"/>
    </row>
    <row r="356" ht="260" customHeight="1" spans="1:15">
      <c r="A356" s="13">
        <v>355</v>
      </c>
      <c r="B356" s="14">
        <v>45894</v>
      </c>
      <c r="C356" s="16" t="s">
        <v>49</v>
      </c>
      <c r="D356" s="16" t="str">
        <f>VLOOKUP(E356,[1]Sheet3!A:B,2,0)</f>
        <v>MIL</v>
      </c>
      <c r="E356" s="16" t="s">
        <v>490</v>
      </c>
      <c r="F356" s="16" t="s">
        <v>521</v>
      </c>
      <c r="G356" s="25" t="s">
        <v>491</v>
      </c>
      <c r="H356" s="16" t="s">
        <v>492</v>
      </c>
      <c r="I356" s="16"/>
      <c r="J356" s="26" t="s">
        <v>4100</v>
      </c>
      <c r="K356" s="27" t="s">
        <v>49</v>
      </c>
      <c r="L356" s="16"/>
      <c r="M356" s="26" t="s">
        <v>4101</v>
      </c>
      <c r="N356" s="23" t="s">
        <v>34</v>
      </c>
      <c r="O356" s="22"/>
    </row>
    <row r="357" spans="1:15">
      <c r="A357" s="13">
        <v>356</v>
      </c>
      <c r="B357" s="14">
        <v>45894</v>
      </c>
      <c r="C357" s="16" t="s">
        <v>68</v>
      </c>
      <c r="D357" s="16" t="str">
        <f>VLOOKUP(E357,[1]Sheet3!A:B,2,0)</f>
        <v>洗衣机</v>
      </c>
      <c r="E357" s="16" t="s">
        <v>35</v>
      </c>
      <c r="F357" s="16" t="s">
        <v>28</v>
      </c>
      <c r="G357" s="25" t="s">
        <v>3099</v>
      </c>
      <c r="H357" s="16" t="s">
        <v>4102</v>
      </c>
      <c r="I357" s="16"/>
      <c r="J357" s="26" t="s">
        <v>4103</v>
      </c>
      <c r="K357" s="27" t="s">
        <v>355</v>
      </c>
      <c r="L357" s="16"/>
      <c r="M357" s="26" t="s">
        <v>4104</v>
      </c>
      <c r="N357" s="23" t="s">
        <v>34</v>
      </c>
      <c r="O357" s="22"/>
    </row>
    <row r="358" spans="1:15">
      <c r="A358" s="13">
        <v>357</v>
      </c>
      <c r="B358" s="14">
        <v>45894</v>
      </c>
      <c r="C358" s="16" t="s">
        <v>68</v>
      </c>
      <c r="D358" s="16" t="str">
        <f>VLOOKUP(E358,[1]Sheet3!A:B,2,0)</f>
        <v>冰箱</v>
      </c>
      <c r="E358" s="16" t="s">
        <v>41</v>
      </c>
      <c r="F358" s="16" t="s">
        <v>28</v>
      </c>
      <c r="G358" s="25" t="s">
        <v>3099</v>
      </c>
      <c r="H358" s="16" t="s">
        <v>4105</v>
      </c>
      <c r="I358" s="16"/>
      <c r="J358" s="26" t="s">
        <v>4103</v>
      </c>
      <c r="K358" s="27" t="s">
        <v>355</v>
      </c>
      <c r="L358" s="16"/>
      <c r="M358" s="26" t="s">
        <v>4106</v>
      </c>
      <c r="N358" s="23" t="s">
        <v>34</v>
      </c>
      <c r="O358" s="22"/>
    </row>
    <row r="359" spans="1:15">
      <c r="A359" s="13">
        <v>358</v>
      </c>
      <c r="B359" s="14">
        <v>45894</v>
      </c>
      <c r="C359" s="16" t="s">
        <v>49</v>
      </c>
      <c r="D359" s="16" t="str">
        <f>VLOOKUP(E359,[1]Sheet3!A:B,2,0)</f>
        <v>冰箱</v>
      </c>
      <c r="E359" s="16" t="s">
        <v>41</v>
      </c>
      <c r="F359" s="16" t="s">
        <v>28</v>
      </c>
      <c r="G359" s="25" t="s">
        <v>4107</v>
      </c>
      <c r="H359" s="16" t="s">
        <v>4108</v>
      </c>
      <c r="I359" s="16"/>
      <c r="J359" s="26" t="s">
        <v>4109</v>
      </c>
      <c r="K359" s="27" t="s">
        <v>49</v>
      </c>
      <c r="L359" s="16"/>
      <c r="M359" s="26" t="s">
        <v>4110</v>
      </c>
      <c r="N359" s="23" t="s">
        <v>34</v>
      </c>
      <c r="O359" s="22"/>
    </row>
    <row r="360" spans="1:15">
      <c r="A360" s="13">
        <v>359</v>
      </c>
      <c r="B360" s="14">
        <v>45895</v>
      </c>
      <c r="C360" s="16" t="s">
        <v>68</v>
      </c>
      <c r="D360" s="16" t="str">
        <f>VLOOKUP(E360,[1]Sheet3!A:B,2,0)</f>
        <v>冰箱</v>
      </c>
      <c r="E360" s="16" t="s">
        <v>41</v>
      </c>
      <c r="F360" s="16" t="s">
        <v>28</v>
      </c>
      <c r="G360" s="25" t="s">
        <v>4111</v>
      </c>
      <c r="H360" s="16" t="s">
        <v>4112</v>
      </c>
      <c r="I360" s="16"/>
      <c r="J360" s="26" t="s">
        <v>3357</v>
      </c>
      <c r="K360" s="27" t="s">
        <v>32</v>
      </c>
      <c r="L360" s="16"/>
      <c r="M360" s="26" t="s">
        <v>4113</v>
      </c>
      <c r="N360" s="23" t="s">
        <v>34</v>
      </c>
      <c r="O360" s="22"/>
    </row>
    <row r="361" ht="30" customHeight="1" spans="1:15">
      <c r="A361" s="13">
        <v>360</v>
      </c>
      <c r="B361" s="14">
        <v>45895</v>
      </c>
      <c r="C361" s="16" t="s">
        <v>68</v>
      </c>
      <c r="D361" s="16" t="str">
        <f>VLOOKUP(E361,[1]Sheet3!A:B,2,0)</f>
        <v>冰箱</v>
      </c>
      <c r="E361" s="16" t="s">
        <v>41</v>
      </c>
      <c r="F361" s="16" t="s">
        <v>28</v>
      </c>
      <c r="G361" s="25" t="s">
        <v>4114</v>
      </c>
      <c r="H361" s="16" t="s">
        <v>4115</v>
      </c>
      <c r="I361" s="16"/>
      <c r="J361" s="26" t="s">
        <v>3357</v>
      </c>
      <c r="K361" s="27" t="s">
        <v>32</v>
      </c>
      <c r="L361" s="16"/>
      <c r="M361" s="26" t="s">
        <v>4113</v>
      </c>
      <c r="N361" s="23" t="s">
        <v>34</v>
      </c>
      <c r="O361" s="22"/>
    </row>
    <row r="362" ht="53" customHeight="1" spans="1:15">
      <c r="A362" s="13">
        <v>361</v>
      </c>
      <c r="B362" s="14">
        <v>45895</v>
      </c>
      <c r="C362" s="16" t="s">
        <v>68</v>
      </c>
      <c r="D362" s="16" t="str">
        <f>VLOOKUP(E362,[1]Sheet3!A:B,2,0)</f>
        <v>冰箱</v>
      </c>
      <c r="E362" s="16" t="s">
        <v>41</v>
      </c>
      <c r="F362" s="16" t="s">
        <v>28</v>
      </c>
      <c r="G362" s="25" t="s">
        <v>4116</v>
      </c>
      <c r="H362" s="16" t="s">
        <v>4117</v>
      </c>
      <c r="I362" s="16"/>
      <c r="J362" s="26" t="s">
        <v>4118</v>
      </c>
      <c r="K362" s="27" t="s">
        <v>355</v>
      </c>
      <c r="L362" s="16"/>
      <c r="M362" s="26" t="s">
        <v>4119</v>
      </c>
      <c r="N362" s="23" t="s">
        <v>34</v>
      </c>
      <c r="O362" s="22"/>
    </row>
    <row r="363" spans="1:15">
      <c r="A363" s="13">
        <v>362</v>
      </c>
      <c r="B363" s="14">
        <v>45895</v>
      </c>
      <c r="C363" s="16" t="s">
        <v>68</v>
      </c>
      <c r="D363" s="16" t="str">
        <f>VLOOKUP(E363,[1]Sheet3!A:B,2,0)</f>
        <v>洗衣机</v>
      </c>
      <c r="E363" s="16" t="s">
        <v>35</v>
      </c>
      <c r="F363" s="16" t="s">
        <v>28</v>
      </c>
      <c r="G363" s="25" t="s">
        <v>4120</v>
      </c>
      <c r="H363" s="16" t="s">
        <v>4121</v>
      </c>
      <c r="I363" s="16"/>
      <c r="J363" s="26" t="s">
        <v>4122</v>
      </c>
      <c r="K363" s="27" t="s">
        <v>49</v>
      </c>
      <c r="L363" s="16"/>
      <c r="M363" s="26" t="s">
        <v>4123</v>
      </c>
      <c r="N363" s="23" t="s">
        <v>34</v>
      </c>
      <c r="O363" s="22"/>
    </row>
    <row r="364" ht="95" customHeight="1" spans="1:15">
      <c r="A364" s="13">
        <v>363</v>
      </c>
      <c r="B364" s="14">
        <v>45896</v>
      </c>
      <c r="C364" s="16" t="s">
        <v>68</v>
      </c>
      <c r="D364" s="16" t="str">
        <f>VLOOKUP(E364,[1]Sheet3!A:B,2,0)</f>
        <v>洗衣机</v>
      </c>
      <c r="E364" s="16" t="s">
        <v>27</v>
      </c>
      <c r="F364" s="16" t="s">
        <v>28</v>
      </c>
      <c r="G364" s="25" t="s">
        <v>4124</v>
      </c>
      <c r="H364" s="16" t="s">
        <v>4125</v>
      </c>
      <c r="I364" s="16"/>
      <c r="J364" s="45" t="s">
        <v>4126</v>
      </c>
      <c r="K364" s="27" t="s">
        <v>355</v>
      </c>
      <c r="L364" s="16"/>
      <c r="M364" s="26" t="s">
        <v>4127</v>
      </c>
      <c r="N364" s="23" t="s">
        <v>34</v>
      </c>
      <c r="O364" s="22"/>
    </row>
    <row r="365" spans="1:15">
      <c r="A365" s="13">
        <v>364</v>
      </c>
      <c r="B365" s="14">
        <v>45896</v>
      </c>
      <c r="C365" s="16" t="s">
        <v>25</v>
      </c>
      <c r="D365" s="16" t="str">
        <f>VLOOKUP(E365,[1]Sheet3!A:B,2,0)</f>
        <v>厨热</v>
      </c>
      <c r="E365" s="16" t="s">
        <v>154</v>
      </c>
      <c r="F365" s="16" t="s">
        <v>28</v>
      </c>
      <c r="G365" s="25" t="s">
        <v>4128</v>
      </c>
      <c r="H365" s="16" t="s">
        <v>4129</v>
      </c>
      <c r="I365" s="16"/>
      <c r="J365" s="26" t="s">
        <v>4130</v>
      </c>
      <c r="K365" s="27" t="s">
        <v>355</v>
      </c>
      <c r="L365" s="16"/>
      <c r="M365" s="26" t="s">
        <v>4131</v>
      </c>
      <c r="N365" s="23" t="s">
        <v>34</v>
      </c>
      <c r="O365" s="22"/>
    </row>
    <row r="366" ht="102" customHeight="1" spans="1:15">
      <c r="A366" s="13">
        <v>365</v>
      </c>
      <c r="B366" s="14">
        <v>45896</v>
      </c>
      <c r="C366" s="16" t="s">
        <v>25</v>
      </c>
      <c r="D366" s="16" t="str">
        <f>VLOOKUP(E366,[1]Sheet3!A:B,2,0)</f>
        <v>冰箱</v>
      </c>
      <c r="E366" s="16" t="s">
        <v>41</v>
      </c>
      <c r="F366" s="16" t="s">
        <v>28</v>
      </c>
      <c r="G366" s="25" t="s">
        <v>4132</v>
      </c>
      <c r="H366" s="16" t="s">
        <v>4133</v>
      </c>
      <c r="I366" s="16"/>
      <c r="J366" s="26" t="s">
        <v>4134</v>
      </c>
      <c r="K366" s="27" t="s">
        <v>3607</v>
      </c>
      <c r="L366" s="16"/>
      <c r="M366" s="26" t="s">
        <v>4135</v>
      </c>
      <c r="N366" s="23" t="s">
        <v>34</v>
      </c>
      <c r="O366" s="22"/>
    </row>
    <row r="367" spans="1:15">
      <c r="A367" s="13">
        <v>366</v>
      </c>
      <c r="B367" s="14">
        <v>45897</v>
      </c>
      <c r="C367" s="16" t="s">
        <v>68</v>
      </c>
      <c r="D367" s="16" t="str">
        <f>VLOOKUP(E367,[1]Sheet3!A:B,2,0)</f>
        <v>冰箱</v>
      </c>
      <c r="E367" s="16" t="s">
        <v>148</v>
      </c>
      <c r="F367" s="16" t="s">
        <v>28</v>
      </c>
      <c r="G367" s="25" t="s">
        <v>4136</v>
      </c>
      <c r="H367" s="16" t="s">
        <v>4137</v>
      </c>
      <c r="I367" s="16"/>
      <c r="J367" s="26" t="s">
        <v>4138</v>
      </c>
      <c r="K367" s="27" t="s">
        <v>24</v>
      </c>
      <c r="L367" s="16"/>
      <c r="M367" s="26" t="s">
        <v>4139</v>
      </c>
      <c r="N367" s="23" t="s">
        <v>34</v>
      </c>
      <c r="O367" s="22"/>
    </row>
    <row r="368" ht="58" customHeight="1" spans="1:15">
      <c r="A368" s="13">
        <v>367</v>
      </c>
      <c r="B368" s="14">
        <v>45897</v>
      </c>
      <c r="C368" s="16" t="s">
        <v>68</v>
      </c>
      <c r="D368" s="16" t="str">
        <f>VLOOKUP(E368,[1]Sheet3!A:B,2,0)</f>
        <v>冰箱</v>
      </c>
      <c r="E368" s="16" t="s">
        <v>41</v>
      </c>
      <c r="F368" s="16" t="s">
        <v>28</v>
      </c>
      <c r="G368" s="25" t="s">
        <v>4140</v>
      </c>
      <c r="H368" s="16" t="s">
        <v>4141</v>
      </c>
      <c r="I368" s="16"/>
      <c r="J368" s="26" t="s">
        <v>4142</v>
      </c>
      <c r="K368" s="27" t="s">
        <v>355</v>
      </c>
      <c r="L368" s="16"/>
      <c r="M368" s="26" t="s">
        <v>4143</v>
      </c>
      <c r="N368" s="23" t="s">
        <v>34</v>
      </c>
      <c r="O368" s="22"/>
    </row>
    <row r="369" ht="49.5" spans="1:15">
      <c r="A369" s="13">
        <v>368</v>
      </c>
      <c r="B369" s="14">
        <v>45897</v>
      </c>
      <c r="C369" s="16" t="s">
        <v>25</v>
      </c>
      <c r="D369" s="16" t="str">
        <f>VLOOKUP(E369,[1]Sheet3!A:B,2,0)</f>
        <v>工业技术</v>
      </c>
      <c r="E369" s="16" t="s">
        <v>416</v>
      </c>
      <c r="F369" s="16" t="s">
        <v>28</v>
      </c>
      <c r="G369" s="25" t="s">
        <v>4144</v>
      </c>
      <c r="H369" s="16" t="s">
        <v>4145</v>
      </c>
      <c r="I369" s="16"/>
      <c r="J369" s="26" t="s">
        <v>4146</v>
      </c>
      <c r="K369" s="27" t="s">
        <v>24</v>
      </c>
      <c r="L369" s="16"/>
      <c r="M369" s="26" t="s">
        <v>4147</v>
      </c>
      <c r="N369" s="23" t="s">
        <v>34</v>
      </c>
      <c r="O369" s="22"/>
    </row>
    <row r="370" spans="1:15">
      <c r="A370" s="13">
        <v>369</v>
      </c>
      <c r="B370" s="14">
        <v>45898</v>
      </c>
      <c r="C370" s="16" t="s">
        <v>49</v>
      </c>
      <c r="D370" s="16" t="str">
        <f>VLOOKUP(E370,[1]Sheet3!A:B,2,0)</f>
        <v>洗衣机</v>
      </c>
      <c r="E370" s="16" t="s">
        <v>27</v>
      </c>
      <c r="F370" s="16" t="s">
        <v>28</v>
      </c>
      <c r="G370" s="25" t="s">
        <v>4148</v>
      </c>
      <c r="H370" s="16" t="s">
        <v>4149</v>
      </c>
      <c r="I370" s="16"/>
      <c r="J370" s="26" t="s">
        <v>4150</v>
      </c>
      <c r="K370" s="27" t="s">
        <v>49</v>
      </c>
      <c r="L370" s="16"/>
      <c r="M370" s="26" t="s">
        <v>4151</v>
      </c>
      <c r="N370" s="23" t="s">
        <v>34</v>
      </c>
      <c r="O370" s="22"/>
    </row>
    <row r="371" spans="1:15">
      <c r="A371" s="13">
        <v>370</v>
      </c>
      <c r="B371" s="14">
        <v>45898</v>
      </c>
      <c r="C371" s="16" t="s">
        <v>68</v>
      </c>
      <c r="D371" s="16" t="str">
        <f>VLOOKUP(E371,[1]Sheet3!A:B,2,0)</f>
        <v>冰箱</v>
      </c>
      <c r="E371" s="16" t="s">
        <v>41</v>
      </c>
      <c r="F371" s="16" t="s">
        <v>28</v>
      </c>
      <c r="G371" s="25" t="s">
        <v>4152</v>
      </c>
      <c r="H371" s="16" t="s">
        <v>4153</v>
      </c>
      <c r="I371" s="16"/>
      <c r="J371" s="26" t="s">
        <v>4138</v>
      </c>
      <c r="K371" s="27" t="s">
        <v>24</v>
      </c>
      <c r="L371" s="16"/>
      <c r="M371" s="26" t="s">
        <v>4154</v>
      </c>
      <c r="N371" s="23" t="s">
        <v>34</v>
      </c>
      <c r="O371" s="22"/>
    </row>
    <row r="372" spans="1:15">
      <c r="A372" s="13">
        <v>371</v>
      </c>
      <c r="B372" s="14">
        <v>45898</v>
      </c>
      <c r="C372" s="16" t="s">
        <v>68</v>
      </c>
      <c r="D372" s="16" t="str">
        <f>VLOOKUP(E372,[1]Sheet3!A:B,2,0)</f>
        <v>冰箱</v>
      </c>
      <c r="E372" s="16" t="s">
        <v>41</v>
      </c>
      <c r="F372" s="16" t="s">
        <v>28</v>
      </c>
      <c r="G372" s="25" t="s">
        <v>4155</v>
      </c>
      <c r="H372" s="16" t="s">
        <v>4156</v>
      </c>
      <c r="I372" s="16"/>
      <c r="J372" s="26" t="s">
        <v>4138</v>
      </c>
      <c r="K372" s="27" t="s">
        <v>24</v>
      </c>
      <c r="L372" s="16"/>
      <c r="M372" s="26" t="s">
        <v>4154</v>
      </c>
      <c r="N372" s="23" t="s">
        <v>34</v>
      </c>
      <c r="O372" s="22"/>
    </row>
    <row r="373" ht="20" customHeight="1" spans="1:15">
      <c r="A373" s="13">
        <v>372</v>
      </c>
      <c r="B373" s="14">
        <v>45898</v>
      </c>
      <c r="C373" s="16" t="s">
        <v>68</v>
      </c>
      <c r="D373" s="16" t="str">
        <f>VLOOKUP(E373,[1]Sheet3!A:B,2,0)</f>
        <v>洗衣机</v>
      </c>
      <c r="E373" s="16" t="s">
        <v>27</v>
      </c>
      <c r="F373" s="16" t="s">
        <v>28</v>
      </c>
      <c r="G373" s="25" t="s">
        <v>3099</v>
      </c>
      <c r="H373" s="16" t="s">
        <v>4157</v>
      </c>
      <c r="I373" s="16"/>
      <c r="J373" s="30" t="s">
        <v>4158</v>
      </c>
      <c r="K373" s="27" t="s">
        <v>92</v>
      </c>
      <c r="L373" s="16"/>
      <c r="M373" s="26" t="s">
        <v>4159</v>
      </c>
      <c r="N373" s="23" t="s">
        <v>34</v>
      </c>
      <c r="O373" s="22"/>
    </row>
    <row r="374" ht="19" customHeight="1" spans="1:15">
      <c r="A374" s="13">
        <v>373</v>
      </c>
      <c r="B374" s="14">
        <v>45898</v>
      </c>
      <c r="C374" s="16" t="s">
        <v>68</v>
      </c>
      <c r="D374" s="16" t="str">
        <f>VLOOKUP(E374,[1]Sheet3!A:B,2,0)</f>
        <v>洗衣机</v>
      </c>
      <c r="E374" s="16" t="s">
        <v>27</v>
      </c>
      <c r="F374" s="16" t="s">
        <v>28</v>
      </c>
      <c r="G374" s="25" t="s">
        <v>3099</v>
      </c>
      <c r="H374" s="16" t="s">
        <v>4160</v>
      </c>
      <c r="I374" s="16"/>
      <c r="J374" s="33"/>
      <c r="K374" s="27" t="s">
        <v>92</v>
      </c>
      <c r="L374" s="16"/>
      <c r="M374" s="26" t="s">
        <v>4159</v>
      </c>
      <c r="N374" s="23" t="s">
        <v>34</v>
      </c>
      <c r="O374" s="22"/>
    </row>
    <row r="375" spans="1:15">
      <c r="A375" s="13">
        <v>374</v>
      </c>
      <c r="B375" s="14">
        <v>45901</v>
      </c>
      <c r="C375" s="16" t="s">
        <v>25</v>
      </c>
      <c r="D375" s="16" t="str">
        <f>VLOOKUP(E375,[1]Sheet3!A:B,2,0)</f>
        <v>冰箱</v>
      </c>
      <c r="E375" s="16" t="s">
        <v>41</v>
      </c>
      <c r="F375" s="16" t="s">
        <v>28</v>
      </c>
      <c r="G375" s="25" t="s">
        <v>4161</v>
      </c>
      <c r="H375" s="16" t="s">
        <v>4162</v>
      </c>
      <c r="I375" s="16"/>
      <c r="J375" s="26" t="s">
        <v>4163</v>
      </c>
      <c r="K375" s="27" t="s">
        <v>24</v>
      </c>
      <c r="L375" s="16"/>
      <c r="M375" s="26" t="s">
        <v>4164</v>
      </c>
      <c r="N375" s="23" t="s">
        <v>34</v>
      </c>
      <c r="O375" s="22"/>
    </row>
    <row r="376" ht="33" spans="1:15">
      <c r="A376" s="13">
        <v>375</v>
      </c>
      <c r="B376" s="14">
        <v>45901</v>
      </c>
      <c r="C376" s="16" t="s">
        <v>68</v>
      </c>
      <c r="D376" s="16" t="str">
        <f>VLOOKUP(E376,[1]Sheet3!A:B,2,0)</f>
        <v>厨热</v>
      </c>
      <c r="E376" s="16" t="s">
        <v>411</v>
      </c>
      <c r="F376" s="16" t="s">
        <v>28</v>
      </c>
      <c r="G376" s="25" t="s">
        <v>3099</v>
      </c>
      <c r="H376" s="16" t="s">
        <v>4165</v>
      </c>
      <c r="I376" s="16"/>
      <c r="J376" s="26" t="s">
        <v>4166</v>
      </c>
      <c r="K376" s="27" t="s">
        <v>92</v>
      </c>
      <c r="L376" s="16"/>
      <c r="M376" s="26" t="s">
        <v>4167</v>
      </c>
      <c r="N376" s="23" t="s">
        <v>34</v>
      </c>
      <c r="O376" s="22"/>
    </row>
    <row r="377" spans="1:15">
      <c r="A377" s="13">
        <v>376</v>
      </c>
      <c r="B377" s="14">
        <v>45901</v>
      </c>
      <c r="C377" s="16" t="s">
        <v>68</v>
      </c>
      <c r="D377" s="16" t="str">
        <f>VLOOKUP(E377,[1]Sheet3!A:B,2,0)</f>
        <v>冰箱</v>
      </c>
      <c r="E377" s="16" t="s">
        <v>41</v>
      </c>
      <c r="F377" s="16" t="s">
        <v>28</v>
      </c>
      <c r="G377" s="25" t="s">
        <v>4168</v>
      </c>
      <c r="H377" s="16" t="s">
        <v>4169</v>
      </c>
      <c r="I377" s="16"/>
      <c r="J377" s="26" t="s">
        <v>4170</v>
      </c>
      <c r="K377" s="27" t="s">
        <v>32</v>
      </c>
      <c r="L377" s="16"/>
      <c r="M377" s="26" t="s">
        <v>4171</v>
      </c>
      <c r="N377" s="23" t="s">
        <v>34</v>
      </c>
      <c r="O377" s="22"/>
    </row>
    <row r="378" spans="1:15">
      <c r="A378" s="13">
        <v>377</v>
      </c>
      <c r="B378" s="14">
        <v>45901</v>
      </c>
      <c r="C378" s="16" t="s">
        <v>68</v>
      </c>
      <c r="D378" s="16" t="str">
        <f>VLOOKUP(E378,[1]Sheet3!A:B,2,0)</f>
        <v>厨热</v>
      </c>
      <c r="E378" s="16" t="s">
        <v>411</v>
      </c>
      <c r="F378" s="16" t="s">
        <v>28</v>
      </c>
      <c r="G378" s="25" t="s">
        <v>4172</v>
      </c>
      <c r="H378" s="16" t="s">
        <v>4173</v>
      </c>
      <c r="I378" s="16"/>
      <c r="J378" s="26" t="s">
        <v>4174</v>
      </c>
      <c r="K378" s="27" t="s">
        <v>32</v>
      </c>
      <c r="L378" s="16"/>
      <c r="M378" s="26" t="s">
        <v>4175</v>
      </c>
      <c r="N378" s="23" t="s">
        <v>34</v>
      </c>
      <c r="O378" s="22"/>
    </row>
    <row r="379" spans="1:15">
      <c r="A379" s="13">
        <v>378</v>
      </c>
      <c r="B379" s="14">
        <v>45901</v>
      </c>
      <c r="C379" s="16" t="s">
        <v>49</v>
      </c>
      <c r="D379" s="16" t="str">
        <f>VLOOKUP(E379,[1]Sheet3!A:B,2,0)</f>
        <v>冰箱</v>
      </c>
      <c r="E379" s="16" t="s">
        <v>41</v>
      </c>
      <c r="F379" s="16" t="s">
        <v>28</v>
      </c>
      <c r="G379" s="25" t="s">
        <v>4176</v>
      </c>
      <c r="H379" s="16" t="s">
        <v>4177</v>
      </c>
      <c r="I379" s="16"/>
      <c r="J379" s="26" t="s">
        <v>4150</v>
      </c>
      <c r="K379" s="27" t="s">
        <v>49</v>
      </c>
      <c r="L379" s="16"/>
      <c r="M379" s="26" t="s">
        <v>4178</v>
      </c>
      <c r="N379" s="23" t="s">
        <v>34</v>
      </c>
      <c r="O379" s="22"/>
    </row>
    <row r="380" ht="33" spans="1:15">
      <c r="A380" s="13">
        <v>379</v>
      </c>
      <c r="B380" s="14">
        <v>45901</v>
      </c>
      <c r="C380" s="16" t="s">
        <v>68</v>
      </c>
      <c r="D380" s="16" t="str">
        <f>VLOOKUP(E380,[1]Sheet3!A:B,2,0)</f>
        <v>冰箱</v>
      </c>
      <c r="E380" s="16" t="s">
        <v>41</v>
      </c>
      <c r="F380" s="16" t="s">
        <v>28</v>
      </c>
      <c r="G380" s="25" t="s">
        <v>4161</v>
      </c>
      <c r="H380" s="16" t="s">
        <v>4179</v>
      </c>
      <c r="I380" s="16"/>
      <c r="J380" s="26" t="s">
        <v>4180</v>
      </c>
      <c r="K380" s="27" t="s">
        <v>32</v>
      </c>
      <c r="L380" s="16"/>
      <c r="M380" s="26" t="s">
        <v>4181</v>
      </c>
      <c r="N380" s="23" t="s">
        <v>34</v>
      </c>
      <c r="O380" s="22"/>
    </row>
    <row r="381" spans="1:15">
      <c r="A381" s="13">
        <v>380</v>
      </c>
      <c r="B381" s="14">
        <v>45901</v>
      </c>
      <c r="C381" s="16" t="s">
        <v>68</v>
      </c>
      <c r="D381" s="16" t="str">
        <f>VLOOKUP(E381,[1]Sheet3!A:B,2,0)</f>
        <v>冰箱</v>
      </c>
      <c r="E381" s="16" t="s">
        <v>41</v>
      </c>
      <c r="F381" s="16" t="s">
        <v>28</v>
      </c>
      <c r="G381" s="25" t="s">
        <v>4182</v>
      </c>
      <c r="H381" s="16" t="s">
        <v>4183</v>
      </c>
      <c r="I381" s="16"/>
      <c r="J381" s="26" t="s">
        <v>4184</v>
      </c>
      <c r="K381" s="27" t="s">
        <v>32</v>
      </c>
      <c r="L381" s="16"/>
      <c r="M381" s="26" t="s">
        <v>4185</v>
      </c>
      <c r="N381" s="23" t="s">
        <v>34</v>
      </c>
      <c r="O381" s="22"/>
    </row>
    <row r="382" ht="33" spans="1:15">
      <c r="A382" s="13">
        <v>381</v>
      </c>
      <c r="B382" s="14">
        <v>45901</v>
      </c>
      <c r="C382" s="16" t="s">
        <v>68</v>
      </c>
      <c r="D382" s="16" t="str">
        <f>VLOOKUP(E382,[1]Sheet3!A:B,2,0)</f>
        <v>工业技术</v>
      </c>
      <c r="E382" s="16" t="s">
        <v>416</v>
      </c>
      <c r="F382" s="16" t="s">
        <v>28</v>
      </c>
      <c r="G382" s="25" t="s">
        <v>4186</v>
      </c>
      <c r="H382" s="16" t="s">
        <v>4187</v>
      </c>
      <c r="I382" s="16"/>
      <c r="J382" s="26" t="s">
        <v>4188</v>
      </c>
      <c r="K382" s="27" t="s">
        <v>24</v>
      </c>
      <c r="L382" s="16"/>
      <c r="M382" s="26" t="s">
        <v>4189</v>
      </c>
      <c r="N382" s="23" t="s">
        <v>34</v>
      </c>
      <c r="O382" s="22"/>
    </row>
    <row r="383" spans="1:15">
      <c r="A383" s="13">
        <v>382</v>
      </c>
      <c r="B383" s="14">
        <v>45902</v>
      </c>
      <c r="C383" s="16" t="s">
        <v>49</v>
      </c>
      <c r="D383" s="16" t="str">
        <f>VLOOKUP(E383,[1]Sheet3!A:B,2,0)</f>
        <v>冰箱</v>
      </c>
      <c r="E383" s="16" t="s">
        <v>41</v>
      </c>
      <c r="F383" s="16" t="s">
        <v>28</v>
      </c>
      <c r="G383" s="25" t="s">
        <v>4190</v>
      </c>
      <c r="H383" s="16">
        <v>258513850</v>
      </c>
      <c r="I383" s="16"/>
      <c r="J383" s="26" t="s">
        <v>4191</v>
      </c>
      <c r="K383" s="27" t="s">
        <v>49</v>
      </c>
      <c r="L383" s="16"/>
      <c r="M383" s="26" t="s">
        <v>4192</v>
      </c>
      <c r="N383" s="23" t="s">
        <v>34</v>
      </c>
      <c r="O383" s="22"/>
    </row>
    <row r="384" ht="33" spans="1:15">
      <c r="A384" s="13">
        <v>383</v>
      </c>
      <c r="B384" s="14">
        <v>45902</v>
      </c>
      <c r="C384" s="16" t="s">
        <v>25</v>
      </c>
      <c r="D384" s="16" t="str">
        <f>VLOOKUP(E384,[1]Sheet3!A:B,2,0)</f>
        <v>采购中心</v>
      </c>
      <c r="E384" s="16" t="s">
        <v>108</v>
      </c>
      <c r="F384" s="16" t="s">
        <v>28</v>
      </c>
      <c r="G384" s="25" t="s">
        <v>4193</v>
      </c>
      <c r="H384" s="16" t="s">
        <v>4194</v>
      </c>
      <c r="I384" s="16"/>
      <c r="J384" s="26" t="s">
        <v>4163</v>
      </c>
      <c r="K384" s="27" t="s">
        <v>24</v>
      </c>
      <c r="L384" s="16"/>
      <c r="M384" s="26" t="s">
        <v>4195</v>
      </c>
      <c r="N384" s="23" t="s">
        <v>34</v>
      </c>
      <c r="O384" s="22"/>
    </row>
    <row r="385" spans="1:15">
      <c r="A385" s="13">
        <v>384</v>
      </c>
      <c r="B385" s="14">
        <v>45902</v>
      </c>
      <c r="C385" s="16" t="s">
        <v>25</v>
      </c>
      <c r="D385" s="16" t="str">
        <f>VLOOKUP(E385,[1]Sheet3!A:B,2,0)</f>
        <v>采购中心</v>
      </c>
      <c r="E385" s="16" t="s">
        <v>108</v>
      </c>
      <c r="F385" s="16" t="s">
        <v>28</v>
      </c>
      <c r="G385" s="25" t="s">
        <v>4196</v>
      </c>
      <c r="H385" s="16" t="s">
        <v>4197</v>
      </c>
      <c r="I385" s="16"/>
      <c r="J385" s="26" t="s">
        <v>4198</v>
      </c>
      <c r="K385" s="27" t="s">
        <v>24</v>
      </c>
      <c r="L385" s="16"/>
      <c r="M385" s="26" t="s">
        <v>4199</v>
      </c>
      <c r="N385" s="23" t="s">
        <v>34</v>
      </c>
      <c r="O385" s="22"/>
    </row>
    <row r="386" spans="1:15">
      <c r="A386" s="13">
        <v>385</v>
      </c>
      <c r="B386" s="14">
        <v>45902</v>
      </c>
      <c r="C386" s="16" t="s">
        <v>68</v>
      </c>
      <c r="D386" s="16" t="str">
        <f>VLOOKUP(E386,[1]Sheet3!A:B,2,0)</f>
        <v>冰箱</v>
      </c>
      <c r="E386" s="16" t="s">
        <v>41</v>
      </c>
      <c r="F386" s="16" t="s">
        <v>28</v>
      </c>
      <c r="G386" s="25" t="s">
        <v>4200</v>
      </c>
      <c r="H386" s="16" t="s">
        <v>4201</v>
      </c>
      <c r="I386" s="16"/>
      <c r="J386" s="26" t="s">
        <v>4184</v>
      </c>
      <c r="K386" s="27" t="s">
        <v>32</v>
      </c>
      <c r="L386" s="16"/>
      <c r="M386" s="26" t="s">
        <v>4202</v>
      </c>
      <c r="N386" s="23" t="s">
        <v>34</v>
      </c>
      <c r="O386" s="22"/>
    </row>
    <row r="387" spans="1:15">
      <c r="A387" s="13">
        <v>386</v>
      </c>
      <c r="B387" s="14">
        <v>45902</v>
      </c>
      <c r="C387" s="16" t="s">
        <v>68</v>
      </c>
      <c r="D387" s="16" t="str">
        <f>VLOOKUP(E387,[1]Sheet3!A:B,2,0)</f>
        <v>冰箱</v>
      </c>
      <c r="E387" s="16" t="s">
        <v>41</v>
      </c>
      <c r="F387" s="16" t="s">
        <v>28</v>
      </c>
      <c r="G387" s="25" t="s">
        <v>4203</v>
      </c>
      <c r="H387" s="16" t="s">
        <v>4204</v>
      </c>
      <c r="I387" s="16"/>
      <c r="J387" s="26" t="s">
        <v>4184</v>
      </c>
      <c r="K387" s="27" t="s">
        <v>32</v>
      </c>
      <c r="L387" s="16"/>
      <c r="M387" s="26" t="s">
        <v>4205</v>
      </c>
      <c r="N387" s="23" t="s">
        <v>34</v>
      </c>
      <c r="O387" s="22"/>
    </row>
    <row r="388" spans="1:15">
      <c r="A388" s="13">
        <v>387</v>
      </c>
      <c r="B388" s="14">
        <v>45902</v>
      </c>
      <c r="C388" s="16" t="s">
        <v>68</v>
      </c>
      <c r="D388" s="16" t="str">
        <f>VLOOKUP(E388,[1]Sheet3!A:B,2,0)</f>
        <v>冰箱</v>
      </c>
      <c r="E388" s="16" t="s">
        <v>41</v>
      </c>
      <c r="F388" s="16" t="s">
        <v>28</v>
      </c>
      <c r="G388" s="25" t="s">
        <v>4206</v>
      </c>
      <c r="H388" s="16" t="s">
        <v>4207</v>
      </c>
      <c r="I388" s="16"/>
      <c r="J388" s="26" t="s">
        <v>4184</v>
      </c>
      <c r="K388" s="27" t="s">
        <v>32</v>
      </c>
      <c r="L388" s="16"/>
      <c r="M388" s="26" t="s">
        <v>4205</v>
      </c>
      <c r="N388" s="23" t="s">
        <v>34</v>
      </c>
      <c r="O388" s="22"/>
    </row>
    <row r="389" ht="49.5" spans="1:15">
      <c r="A389" s="13">
        <v>388</v>
      </c>
      <c r="B389" s="14">
        <v>45902</v>
      </c>
      <c r="C389" s="16" t="s">
        <v>68</v>
      </c>
      <c r="D389" s="16" t="str">
        <f>VLOOKUP(E389,[1]Sheet3!A:B,2,0)</f>
        <v>冰箱</v>
      </c>
      <c r="E389" s="16" t="s">
        <v>41</v>
      </c>
      <c r="F389" s="16" t="s">
        <v>28</v>
      </c>
      <c r="G389" s="25" t="s">
        <v>4208</v>
      </c>
      <c r="H389" s="16" t="s">
        <v>4209</v>
      </c>
      <c r="I389" s="16"/>
      <c r="J389" s="26" t="s">
        <v>4210</v>
      </c>
      <c r="K389" s="27" t="s">
        <v>24</v>
      </c>
      <c r="L389" s="16"/>
      <c r="M389" s="26" t="s">
        <v>4211</v>
      </c>
      <c r="N389" s="23" t="s">
        <v>34</v>
      </c>
      <c r="O389" s="22"/>
    </row>
    <row r="390" ht="49.5" spans="1:15">
      <c r="A390" s="13">
        <v>389</v>
      </c>
      <c r="B390" s="14">
        <v>45902</v>
      </c>
      <c r="C390" s="16" t="s">
        <v>68</v>
      </c>
      <c r="D390" s="16" t="str">
        <f>VLOOKUP(E390,[1]Sheet3!A:B,2,0)</f>
        <v>冰箱</v>
      </c>
      <c r="E390" s="16" t="s">
        <v>41</v>
      </c>
      <c r="F390" s="16" t="s">
        <v>28</v>
      </c>
      <c r="G390" s="25" t="s">
        <v>4212</v>
      </c>
      <c r="H390" s="16" t="s">
        <v>4213</v>
      </c>
      <c r="I390" s="16"/>
      <c r="J390" s="26" t="s">
        <v>4210</v>
      </c>
      <c r="K390" s="27" t="s">
        <v>24</v>
      </c>
      <c r="L390" s="16"/>
      <c r="M390" s="26" t="s">
        <v>4211</v>
      </c>
      <c r="N390" s="23" t="s">
        <v>34</v>
      </c>
      <c r="O390" s="22"/>
    </row>
    <row r="391" ht="49.5" spans="1:15">
      <c r="A391" s="13">
        <v>390</v>
      </c>
      <c r="B391" s="14">
        <v>45902</v>
      </c>
      <c r="C391" s="16" t="s">
        <v>68</v>
      </c>
      <c r="D391" s="16" t="str">
        <f>VLOOKUP(E391,[1]Sheet3!A:B,2,0)</f>
        <v>冰箱</v>
      </c>
      <c r="E391" s="16" t="s">
        <v>41</v>
      </c>
      <c r="F391" s="16" t="s">
        <v>28</v>
      </c>
      <c r="G391" s="25" t="s">
        <v>4214</v>
      </c>
      <c r="H391" s="16" t="s">
        <v>4215</v>
      </c>
      <c r="I391" s="16"/>
      <c r="J391" s="26" t="s">
        <v>4210</v>
      </c>
      <c r="K391" s="27" t="s">
        <v>24</v>
      </c>
      <c r="L391" s="16"/>
      <c r="M391" s="26" t="s">
        <v>4211</v>
      </c>
      <c r="N391" s="23" t="s">
        <v>34</v>
      </c>
      <c r="O391" s="22"/>
    </row>
    <row r="392" ht="49.5" spans="1:15">
      <c r="A392" s="13">
        <v>391</v>
      </c>
      <c r="B392" s="14">
        <v>45902</v>
      </c>
      <c r="C392" s="16" t="s">
        <v>68</v>
      </c>
      <c r="D392" s="16" t="str">
        <f>VLOOKUP(E392,[1]Sheet3!A:B,2,0)</f>
        <v>冰箱</v>
      </c>
      <c r="E392" s="16" t="s">
        <v>41</v>
      </c>
      <c r="F392" s="16" t="s">
        <v>28</v>
      </c>
      <c r="G392" s="25" t="s">
        <v>4216</v>
      </c>
      <c r="H392" s="16" t="s">
        <v>4217</v>
      </c>
      <c r="I392" s="16"/>
      <c r="J392" s="26" t="s">
        <v>4210</v>
      </c>
      <c r="K392" s="27" t="s">
        <v>24</v>
      </c>
      <c r="L392" s="16"/>
      <c r="M392" s="26" t="s">
        <v>4211</v>
      </c>
      <c r="N392" s="23" t="s">
        <v>34</v>
      </c>
      <c r="O392" s="22"/>
    </row>
    <row r="393" spans="1:15">
      <c r="A393" s="13">
        <v>392</v>
      </c>
      <c r="B393" s="14">
        <v>45902</v>
      </c>
      <c r="C393" s="16" t="s">
        <v>49</v>
      </c>
      <c r="D393" s="16" t="str">
        <f>VLOOKUP(E393,[1]Sheet3!A:B,2,0)</f>
        <v>冰箱</v>
      </c>
      <c r="E393" s="16" t="s">
        <v>41</v>
      </c>
      <c r="F393" s="16" t="s">
        <v>28</v>
      </c>
      <c r="G393" s="25" t="s">
        <v>4218</v>
      </c>
      <c r="H393" s="16">
        <v>273063527</v>
      </c>
      <c r="I393" s="16"/>
      <c r="J393" s="26" t="s">
        <v>4219</v>
      </c>
      <c r="K393" s="27" t="s">
        <v>49</v>
      </c>
      <c r="L393" s="16"/>
      <c r="M393" s="26" t="s">
        <v>4220</v>
      </c>
      <c r="N393" s="23" t="s">
        <v>34</v>
      </c>
      <c r="O393" s="22"/>
    </row>
    <row r="394" ht="221" customHeight="1" spans="1:15">
      <c r="A394" s="13">
        <v>393</v>
      </c>
      <c r="B394" s="14">
        <v>45902</v>
      </c>
      <c r="C394" s="16" t="s">
        <v>25</v>
      </c>
      <c r="D394" s="16" t="str">
        <f>VLOOKUP(E394,[1]Sheet3!A:B,2,0)</f>
        <v>冰箱</v>
      </c>
      <c r="E394" s="16" t="s">
        <v>41</v>
      </c>
      <c r="F394" s="16" t="s">
        <v>28</v>
      </c>
      <c r="G394" s="25" t="s">
        <v>4221</v>
      </c>
      <c r="H394" s="16" t="s">
        <v>4222</v>
      </c>
      <c r="I394" s="16"/>
      <c r="J394" s="26" t="s">
        <v>4223</v>
      </c>
      <c r="K394" s="27" t="s">
        <v>355</v>
      </c>
      <c r="L394" s="16"/>
      <c r="M394" s="26" t="s">
        <v>4224</v>
      </c>
      <c r="N394" s="23" t="s">
        <v>34</v>
      </c>
      <c r="O394" s="22"/>
    </row>
    <row r="395" spans="1:15">
      <c r="A395" s="13">
        <v>394</v>
      </c>
      <c r="B395" s="14">
        <v>45903</v>
      </c>
      <c r="C395" s="16" t="s">
        <v>68</v>
      </c>
      <c r="D395" s="16" t="str">
        <f>VLOOKUP(E395,[1]Sheet3!A:B,2,0)</f>
        <v>冰箱</v>
      </c>
      <c r="E395" s="16" t="s">
        <v>41</v>
      </c>
      <c r="F395" s="16" t="s">
        <v>28</v>
      </c>
      <c r="G395" s="25" t="s">
        <v>4225</v>
      </c>
      <c r="H395" s="16" t="s">
        <v>4226</v>
      </c>
      <c r="I395" s="16"/>
      <c r="J395" s="26" t="s">
        <v>4227</v>
      </c>
      <c r="K395" s="27" t="s">
        <v>24</v>
      </c>
      <c r="L395" s="16"/>
      <c r="M395" s="26" t="s">
        <v>4228</v>
      </c>
      <c r="N395" s="23" t="s">
        <v>34</v>
      </c>
      <c r="O395" s="22"/>
    </row>
    <row r="396" ht="60" customHeight="1" spans="1:15">
      <c r="A396" s="13">
        <v>395</v>
      </c>
      <c r="B396" s="14">
        <v>45903</v>
      </c>
      <c r="C396" s="16" t="s">
        <v>68</v>
      </c>
      <c r="D396" s="16" t="str">
        <f>VLOOKUP(E396,[1]Sheet3!A:B,2,0)</f>
        <v>冰箱</v>
      </c>
      <c r="E396" s="16" t="s">
        <v>41</v>
      </c>
      <c r="F396" s="16" t="s">
        <v>28</v>
      </c>
      <c r="G396" s="25" t="s">
        <v>4229</v>
      </c>
      <c r="H396" s="16" t="s">
        <v>4230</v>
      </c>
      <c r="I396" s="16"/>
      <c r="J396" s="26" t="s">
        <v>4231</v>
      </c>
      <c r="K396" s="27" t="s">
        <v>355</v>
      </c>
      <c r="L396" s="16"/>
      <c r="M396" s="26" t="s">
        <v>4232</v>
      </c>
      <c r="N396" s="23" t="s">
        <v>34</v>
      </c>
      <c r="O396" s="22"/>
    </row>
    <row r="397" spans="1:15">
      <c r="A397" s="13">
        <v>396</v>
      </c>
      <c r="B397" s="14">
        <v>45903</v>
      </c>
      <c r="C397" s="16" t="s">
        <v>68</v>
      </c>
      <c r="D397" s="16" t="str">
        <f>VLOOKUP(E397,[1]Sheet3!A:B,2,0)</f>
        <v>冰箱</v>
      </c>
      <c r="E397" s="16" t="s">
        <v>41</v>
      </c>
      <c r="F397" s="16" t="s">
        <v>28</v>
      </c>
      <c r="G397" s="25" t="s">
        <v>4233</v>
      </c>
      <c r="H397" s="16" t="s">
        <v>4234</v>
      </c>
      <c r="I397" s="16"/>
      <c r="J397" s="26" t="s">
        <v>4138</v>
      </c>
      <c r="K397" s="27" t="s">
        <v>24</v>
      </c>
      <c r="L397" s="16"/>
      <c r="M397" s="26" t="s">
        <v>4228</v>
      </c>
      <c r="N397" s="23" t="s">
        <v>34</v>
      </c>
      <c r="O397" s="22"/>
    </row>
    <row r="398" ht="33" spans="1:15">
      <c r="A398" s="13">
        <v>397</v>
      </c>
      <c r="B398" s="14">
        <v>45904</v>
      </c>
      <c r="C398" s="16" t="s">
        <v>403</v>
      </c>
      <c r="D398" s="16" t="str">
        <f>VLOOKUP(E398,[1]Sheet3!A:B,2,0)</f>
        <v>厨热</v>
      </c>
      <c r="E398" s="16" t="s">
        <v>411</v>
      </c>
      <c r="F398" s="16" t="s">
        <v>28</v>
      </c>
      <c r="G398" s="25"/>
      <c r="H398" s="16" t="s">
        <v>4235</v>
      </c>
      <c r="I398" s="16"/>
      <c r="J398" s="26" t="s">
        <v>4236</v>
      </c>
      <c r="K398" s="27" t="s">
        <v>92</v>
      </c>
      <c r="L398" s="16"/>
      <c r="M398" s="26" t="s">
        <v>4237</v>
      </c>
      <c r="N398" s="23" t="s">
        <v>34</v>
      </c>
      <c r="O398" s="22"/>
    </row>
    <row r="399" ht="33" spans="1:15">
      <c r="A399" s="13">
        <v>398</v>
      </c>
      <c r="B399" s="14">
        <v>45904</v>
      </c>
      <c r="C399" s="16" t="s">
        <v>68</v>
      </c>
      <c r="D399" s="16" t="str">
        <f>VLOOKUP(E399,[1]Sheet3!A:B,2,0)</f>
        <v>冰箱</v>
      </c>
      <c r="E399" s="16" t="s">
        <v>41</v>
      </c>
      <c r="F399" s="16" t="s">
        <v>28</v>
      </c>
      <c r="G399" s="25" t="s">
        <v>4238</v>
      </c>
      <c r="H399" s="16" t="s">
        <v>4239</v>
      </c>
      <c r="I399" s="16"/>
      <c r="J399" s="26" t="s">
        <v>4240</v>
      </c>
      <c r="K399" s="27" t="s">
        <v>32</v>
      </c>
      <c r="L399" s="16"/>
      <c r="M399" s="26" t="s">
        <v>4241</v>
      </c>
      <c r="N399" s="23" t="s">
        <v>34</v>
      </c>
      <c r="O399" s="22"/>
    </row>
    <row r="400" ht="50" customHeight="1" spans="1:15">
      <c r="A400" s="13">
        <v>399</v>
      </c>
      <c r="B400" s="14">
        <v>45904</v>
      </c>
      <c r="C400" s="16" t="s">
        <v>25</v>
      </c>
      <c r="D400" s="16" t="str">
        <f>VLOOKUP(E400,[1]Sheet3!A:B,2,0)</f>
        <v>洗衣机</v>
      </c>
      <c r="E400" s="16" t="s">
        <v>27</v>
      </c>
      <c r="F400" s="16" t="s">
        <v>28</v>
      </c>
      <c r="G400" s="25" t="s">
        <v>4242</v>
      </c>
      <c r="H400" s="16" t="s">
        <v>4243</v>
      </c>
      <c r="I400" s="16"/>
      <c r="J400" s="30" t="s">
        <v>4244</v>
      </c>
      <c r="K400" s="27" t="s">
        <v>3069</v>
      </c>
      <c r="L400" s="16"/>
      <c r="M400" s="32" t="s">
        <v>4245</v>
      </c>
      <c r="N400" s="23" t="s">
        <v>34</v>
      </c>
      <c r="O400" s="22"/>
    </row>
    <row r="401" ht="50" customHeight="1" spans="1:15">
      <c r="A401" s="13">
        <v>400</v>
      </c>
      <c r="B401" s="14">
        <v>45904</v>
      </c>
      <c r="C401" s="16" t="s">
        <v>25</v>
      </c>
      <c r="D401" s="16" t="str">
        <f>VLOOKUP(E401,[1]Sheet3!A:B,2,0)</f>
        <v>洗衣机</v>
      </c>
      <c r="E401" s="16" t="s">
        <v>27</v>
      </c>
      <c r="F401" s="16" t="s">
        <v>28</v>
      </c>
      <c r="G401" s="25" t="s">
        <v>4246</v>
      </c>
      <c r="H401" s="16" t="s">
        <v>4247</v>
      </c>
      <c r="I401" s="16"/>
      <c r="J401" s="33"/>
      <c r="K401" s="27" t="s">
        <v>3069</v>
      </c>
      <c r="L401" s="16"/>
      <c r="M401" s="35"/>
      <c r="N401" s="23" t="s">
        <v>34</v>
      </c>
      <c r="O401" s="22"/>
    </row>
    <row r="402" spans="1:15">
      <c r="A402" s="13">
        <v>401</v>
      </c>
      <c r="B402" s="14">
        <v>45904</v>
      </c>
      <c r="C402" s="16" t="s">
        <v>68</v>
      </c>
      <c r="D402" s="16" t="str">
        <f>VLOOKUP(E402,[1]Sheet3!A:B,2,0)</f>
        <v>冰箱</v>
      </c>
      <c r="E402" s="16" t="s">
        <v>41</v>
      </c>
      <c r="F402" s="16" t="s">
        <v>28</v>
      </c>
      <c r="G402" s="25" t="s">
        <v>4248</v>
      </c>
      <c r="H402" s="16" t="s">
        <v>4249</v>
      </c>
      <c r="I402" s="16"/>
      <c r="J402" s="26" t="s">
        <v>4250</v>
      </c>
      <c r="K402" s="27" t="s">
        <v>24</v>
      </c>
      <c r="L402" s="16"/>
      <c r="M402" s="26" t="s">
        <v>4251</v>
      </c>
      <c r="N402" s="23" t="s">
        <v>34</v>
      </c>
      <c r="O402" s="22"/>
    </row>
    <row r="403" ht="33" spans="1:15">
      <c r="A403" s="13">
        <v>402</v>
      </c>
      <c r="B403" s="14">
        <v>45904</v>
      </c>
      <c r="C403" s="16" t="s">
        <v>68</v>
      </c>
      <c r="D403" s="16" t="str">
        <f>VLOOKUP(E403,[1]Sheet3!A:B,2,0)</f>
        <v>冰箱</v>
      </c>
      <c r="E403" s="16" t="s">
        <v>41</v>
      </c>
      <c r="F403" s="16" t="s">
        <v>28</v>
      </c>
      <c r="G403" s="25" t="s">
        <v>4252</v>
      </c>
      <c r="H403" s="16">
        <v>258529366</v>
      </c>
      <c r="I403" s="16"/>
      <c r="J403" s="26" t="s">
        <v>4253</v>
      </c>
      <c r="K403" s="27" t="s">
        <v>24</v>
      </c>
      <c r="L403" s="16"/>
      <c r="M403" s="26" t="s">
        <v>4254</v>
      </c>
      <c r="N403" s="23" t="s">
        <v>34</v>
      </c>
      <c r="O403" s="22"/>
    </row>
    <row r="404" spans="1:15">
      <c r="A404" s="13">
        <v>403</v>
      </c>
      <c r="B404" s="14">
        <v>45905</v>
      </c>
      <c r="C404" s="16" t="s">
        <v>49</v>
      </c>
      <c r="D404" s="16" t="str">
        <f>VLOOKUP(E404,[1]Sheet3!A:B,2,0)</f>
        <v>洗衣机</v>
      </c>
      <c r="E404" s="16" t="s">
        <v>27</v>
      </c>
      <c r="F404" s="16" t="s">
        <v>28</v>
      </c>
      <c r="G404" s="25" t="s">
        <v>4255</v>
      </c>
      <c r="H404" s="16" t="s">
        <v>4256</v>
      </c>
      <c r="I404" s="16"/>
      <c r="J404" s="26" t="s">
        <v>4257</v>
      </c>
      <c r="K404" s="27" t="s">
        <v>49</v>
      </c>
      <c r="L404" s="16"/>
      <c r="M404" s="26" t="s">
        <v>4258</v>
      </c>
      <c r="N404" s="23" t="s">
        <v>34</v>
      </c>
      <c r="O404" s="22"/>
    </row>
    <row r="405" spans="1:15">
      <c r="A405" s="13">
        <v>404</v>
      </c>
      <c r="B405" s="14">
        <v>45905</v>
      </c>
      <c r="C405" s="16" t="s">
        <v>49</v>
      </c>
      <c r="D405" s="16" t="str">
        <f>VLOOKUP(E405,[1]Sheet3!A:B,2,0)</f>
        <v>洗衣机</v>
      </c>
      <c r="E405" s="16" t="s">
        <v>35</v>
      </c>
      <c r="F405" s="16" t="s">
        <v>28</v>
      </c>
      <c r="G405" s="25" t="s">
        <v>4259</v>
      </c>
      <c r="H405" s="16" t="s">
        <v>4260</v>
      </c>
      <c r="I405" s="16"/>
      <c r="J405" s="26" t="s">
        <v>4261</v>
      </c>
      <c r="K405" s="27" t="s">
        <v>49</v>
      </c>
      <c r="L405" s="16"/>
      <c r="M405" s="26" t="s">
        <v>4262</v>
      </c>
      <c r="N405" s="23" t="s">
        <v>34</v>
      </c>
      <c r="O405" s="22"/>
    </row>
    <row r="406" ht="33" spans="1:15">
      <c r="A406" s="13">
        <v>405</v>
      </c>
      <c r="B406" s="14">
        <v>45905</v>
      </c>
      <c r="C406" s="16" t="s">
        <v>49</v>
      </c>
      <c r="D406" s="16" t="str">
        <f>VLOOKUP(E406,[1]Sheet3!A:B,2,0)</f>
        <v>冰箱</v>
      </c>
      <c r="E406" s="16" t="s">
        <v>41</v>
      </c>
      <c r="F406" s="16" t="s">
        <v>28</v>
      </c>
      <c r="G406" s="25" t="s">
        <v>4263</v>
      </c>
      <c r="H406" s="16" t="s">
        <v>4264</v>
      </c>
      <c r="I406" s="16"/>
      <c r="J406" s="26" t="s">
        <v>4261</v>
      </c>
      <c r="K406" s="27" t="s">
        <v>49</v>
      </c>
      <c r="L406" s="16"/>
      <c r="M406" s="26" t="s">
        <v>4265</v>
      </c>
      <c r="N406" s="23" t="s">
        <v>34</v>
      </c>
      <c r="O406" s="22"/>
    </row>
    <row r="407" spans="1:15">
      <c r="A407" s="13">
        <v>406</v>
      </c>
      <c r="B407" s="14">
        <v>45905</v>
      </c>
      <c r="C407" s="16" t="s">
        <v>49</v>
      </c>
      <c r="D407" s="16" t="str">
        <f>VLOOKUP(E407,[1]Sheet3!A:B,2,0)</f>
        <v>采购中心</v>
      </c>
      <c r="E407" s="16" t="s">
        <v>108</v>
      </c>
      <c r="F407" s="16" t="s">
        <v>28</v>
      </c>
      <c r="G407" s="25" t="s">
        <v>4266</v>
      </c>
      <c r="H407" s="16" t="s">
        <v>4267</v>
      </c>
      <c r="I407" s="16"/>
      <c r="J407" s="26" t="s">
        <v>4257</v>
      </c>
      <c r="K407" s="27" t="s">
        <v>49</v>
      </c>
      <c r="L407" s="16"/>
      <c r="M407" s="26" t="s">
        <v>4258</v>
      </c>
      <c r="N407" s="23" t="s">
        <v>34</v>
      </c>
      <c r="O407" s="22"/>
    </row>
    <row r="408" ht="98" customHeight="1" spans="1:15">
      <c r="A408" s="13">
        <v>407</v>
      </c>
      <c r="B408" s="14">
        <v>45908</v>
      </c>
      <c r="C408" s="16" t="s">
        <v>49</v>
      </c>
      <c r="D408" s="16" t="str">
        <f>VLOOKUP(E408,[1]Sheet3!A:B,2,0)</f>
        <v>冰箱</v>
      </c>
      <c r="E408" s="16" t="s">
        <v>41</v>
      </c>
      <c r="F408" s="16" t="s">
        <v>28</v>
      </c>
      <c r="G408" s="25" t="s">
        <v>4268</v>
      </c>
      <c r="H408" s="16" t="s">
        <v>4269</v>
      </c>
      <c r="I408" s="16"/>
      <c r="J408" s="26" t="s">
        <v>4270</v>
      </c>
      <c r="K408" s="27" t="s">
        <v>49</v>
      </c>
      <c r="L408" s="16"/>
      <c r="M408" s="26" t="s">
        <v>4271</v>
      </c>
      <c r="N408" s="23" t="s">
        <v>34</v>
      </c>
      <c r="O408" s="22"/>
    </row>
    <row r="409" spans="1:15">
      <c r="A409" s="13">
        <v>408</v>
      </c>
      <c r="B409" s="14">
        <v>45908</v>
      </c>
      <c r="C409" s="16" t="s">
        <v>68</v>
      </c>
      <c r="D409" s="16" t="str">
        <f>VLOOKUP(E409,[1]Sheet3!A:B,2,0)</f>
        <v>冰箱</v>
      </c>
      <c r="E409" s="16" t="s">
        <v>41</v>
      </c>
      <c r="F409" s="16" t="s">
        <v>28</v>
      </c>
      <c r="G409" s="25" t="s">
        <v>4272</v>
      </c>
      <c r="H409" s="16" t="s">
        <v>4273</v>
      </c>
      <c r="I409" s="16"/>
      <c r="J409" s="26" t="s">
        <v>3894</v>
      </c>
      <c r="K409" s="27" t="s">
        <v>32</v>
      </c>
      <c r="L409" s="16"/>
      <c r="M409" s="26" t="s">
        <v>4274</v>
      </c>
      <c r="N409" s="23" t="s">
        <v>34</v>
      </c>
      <c r="O409" s="22"/>
    </row>
    <row r="410" spans="1:15">
      <c r="A410" s="13">
        <v>409</v>
      </c>
      <c r="B410" s="14">
        <v>45908</v>
      </c>
      <c r="C410" s="16" t="s">
        <v>68</v>
      </c>
      <c r="D410" s="16" t="str">
        <f>VLOOKUP(E410,[1]Sheet3!A:B,2,0)</f>
        <v>冰箱</v>
      </c>
      <c r="E410" s="16" t="s">
        <v>41</v>
      </c>
      <c r="F410" s="16" t="s">
        <v>28</v>
      </c>
      <c r="G410" s="25" t="s">
        <v>4275</v>
      </c>
      <c r="H410" s="16" t="s">
        <v>4276</v>
      </c>
      <c r="I410" s="16"/>
      <c r="J410" s="26" t="s">
        <v>3894</v>
      </c>
      <c r="K410" s="27" t="s">
        <v>32</v>
      </c>
      <c r="L410" s="16"/>
      <c r="M410" s="26" t="s">
        <v>4274</v>
      </c>
      <c r="N410" s="23" t="s">
        <v>34</v>
      </c>
      <c r="O410" s="22"/>
    </row>
    <row r="411" spans="1:15">
      <c r="A411" s="13">
        <v>410</v>
      </c>
      <c r="B411" s="14">
        <v>45908</v>
      </c>
      <c r="C411" s="16" t="s">
        <v>49</v>
      </c>
      <c r="D411" s="16" t="str">
        <f>VLOOKUP(E411,[1]Sheet3!A:B,2,0)</f>
        <v>厨热</v>
      </c>
      <c r="E411" s="16" t="s">
        <v>154</v>
      </c>
      <c r="F411" s="16" t="s">
        <v>28</v>
      </c>
      <c r="G411" s="25" t="s">
        <v>4277</v>
      </c>
      <c r="H411" s="16" t="s">
        <v>4278</v>
      </c>
      <c r="I411" s="16"/>
      <c r="J411" s="26" t="s">
        <v>4279</v>
      </c>
      <c r="K411" s="27" t="s">
        <v>49</v>
      </c>
      <c r="L411" s="16"/>
      <c r="M411" s="26" t="s">
        <v>4280</v>
      </c>
      <c r="N411" s="23" t="s">
        <v>34</v>
      </c>
      <c r="O411" s="22"/>
    </row>
    <row r="412" ht="33" spans="1:15">
      <c r="A412" s="13">
        <v>411</v>
      </c>
      <c r="B412" s="14">
        <v>45908</v>
      </c>
      <c r="C412" s="16" t="s">
        <v>25</v>
      </c>
      <c r="D412" s="16" t="str">
        <f>VLOOKUP(E412,[1]Sheet3!A:B,2,0)</f>
        <v>冰箱</v>
      </c>
      <c r="E412" s="16" t="s">
        <v>41</v>
      </c>
      <c r="F412" s="16" t="s">
        <v>28</v>
      </c>
      <c r="G412" s="25" t="s">
        <v>4281</v>
      </c>
      <c r="H412" s="16" t="s">
        <v>4282</v>
      </c>
      <c r="I412" s="16"/>
      <c r="J412" s="26" t="s">
        <v>4283</v>
      </c>
      <c r="K412" s="27" t="s">
        <v>24</v>
      </c>
      <c r="L412" s="16"/>
      <c r="M412" s="26" t="s">
        <v>4284</v>
      </c>
      <c r="N412" s="23" t="s">
        <v>34</v>
      </c>
      <c r="O412" s="22"/>
    </row>
    <row r="413" spans="1:15">
      <c r="A413" s="13">
        <v>412</v>
      </c>
      <c r="B413" s="14">
        <v>45908</v>
      </c>
      <c r="C413" s="16" t="s">
        <v>68</v>
      </c>
      <c r="D413" s="16" t="str">
        <f>VLOOKUP(E413,[1]Sheet3!A:B,2,0)</f>
        <v>冰箱</v>
      </c>
      <c r="E413" s="16" t="s">
        <v>41</v>
      </c>
      <c r="F413" s="16" t="s">
        <v>28</v>
      </c>
      <c r="G413" s="25" t="s">
        <v>4285</v>
      </c>
      <c r="H413" s="16" t="s">
        <v>4286</v>
      </c>
      <c r="I413" s="16"/>
      <c r="J413" s="26" t="s">
        <v>4287</v>
      </c>
      <c r="K413" s="27" t="s">
        <v>32</v>
      </c>
      <c r="L413" s="16"/>
      <c r="M413" s="26" t="s">
        <v>4288</v>
      </c>
      <c r="N413" s="23" t="s">
        <v>34</v>
      </c>
      <c r="O413" s="22"/>
    </row>
    <row r="414" spans="1:15">
      <c r="A414" s="13">
        <v>413</v>
      </c>
      <c r="B414" s="14">
        <v>45908</v>
      </c>
      <c r="C414" s="16" t="s">
        <v>49</v>
      </c>
      <c r="D414" s="16" t="str">
        <f>VLOOKUP(E414,[1]Sheet3!A:B,2,0)</f>
        <v>洗衣机</v>
      </c>
      <c r="E414" s="16" t="s">
        <v>35</v>
      </c>
      <c r="F414" s="16" t="s">
        <v>28</v>
      </c>
      <c r="G414" s="25" t="s">
        <v>4289</v>
      </c>
      <c r="H414" s="16" t="s">
        <v>4290</v>
      </c>
      <c r="I414" s="16"/>
      <c r="J414" s="30" t="s">
        <v>4291</v>
      </c>
      <c r="K414" s="27" t="s">
        <v>49</v>
      </c>
      <c r="L414" s="16"/>
      <c r="M414" s="26" t="s">
        <v>4292</v>
      </c>
      <c r="N414" s="23" t="s">
        <v>34</v>
      </c>
      <c r="O414" s="22"/>
    </row>
    <row r="415" spans="1:15">
      <c r="A415" s="13">
        <v>414</v>
      </c>
      <c r="B415" s="14">
        <v>45908</v>
      </c>
      <c r="C415" s="16" t="s">
        <v>49</v>
      </c>
      <c r="D415" s="16" t="str">
        <f>VLOOKUP(E415,[1]Sheet3!A:B,2,0)</f>
        <v>洗衣机</v>
      </c>
      <c r="E415" s="16" t="s">
        <v>27</v>
      </c>
      <c r="F415" s="16" t="s">
        <v>28</v>
      </c>
      <c r="G415" s="25" t="s">
        <v>4293</v>
      </c>
      <c r="H415" s="16" t="s">
        <v>4294</v>
      </c>
      <c r="I415" s="16"/>
      <c r="J415" s="33"/>
      <c r="K415" s="27" t="s">
        <v>49</v>
      </c>
      <c r="L415" s="16"/>
      <c r="M415" s="26" t="s">
        <v>4292</v>
      </c>
      <c r="N415" s="23" t="s">
        <v>34</v>
      </c>
      <c r="O415" s="22"/>
    </row>
    <row r="416" ht="33" spans="1:15">
      <c r="A416" s="13">
        <v>415</v>
      </c>
      <c r="B416" s="14">
        <v>45909</v>
      </c>
      <c r="C416" s="16" t="s">
        <v>49</v>
      </c>
      <c r="D416" s="16" t="str">
        <f>VLOOKUP(E416,[1]Sheet3!A:B,2,0)</f>
        <v>采购中心</v>
      </c>
      <c r="E416" s="16" t="s">
        <v>108</v>
      </c>
      <c r="F416" s="16" t="s">
        <v>28</v>
      </c>
      <c r="G416" s="25" t="s">
        <v>4295</v>
      </c>
      <c r="H416" s="16" t="s">
        <v>4296</v>
      </c>
      <c r="I416" s="16"/>
      <c r="J416" s="26" t="s">
        <v>4297</v>
      </c>
      <c r="K416" s="27" t="s">
        <v>49</v>
      </c>
      <c r="L416" s="16"/>
      <c r="M416" s="26" t="s">
        <v>4298</v>
      </c>
      <c r="N416" s="23" t="s">
        <v>34</v>
      </c>
      <c r="O416" s="22"/>
    </row>
    <row r="417" spans="1:15">
      <c r="A417" s="13">
        <v>416</v>
      </c>
      <c r="B417" s="14">
        <v>45909</v>
      </c>
      <c r="C417" s="16" t="s">
        <v>49</v>
      </c>
      <c r="D417" s="16" t="str">
        <f>VLOOKUP(E417,[1]Sheet3!A:B,2,0)</f>
        <v>冰箱</v>
      </c>
      <c r="E417" s="16" t="s">
        <v>41</v>
      </c>
      <c r="F417" s="16" t="s">
        <v>28</v>
      </c>
      <c r="G417" s="25" t="s">
        <v>4299</v>
      </c>
      <c r="H417" s="16" t="s">
        <v>4300</v>
      </c>
      <c r="I417" s="16"/>
      <c r="J417" s="26" t="s">
        <v>4297</v>
      </c>
      <c r="K417" s="27" t="s">
        <v>49</v>
      </c>
      <c r="L417" s="16"/>
      <c r="M417" s="26" t="s">
        <v>4301</v>
      </c>
      <c r="N417" s="23" t="s">
        <v>34</v>
      </c>
      <c r="O417" s="22"/>
    </row>
    <row r="418" ht="82.5" spans="1:15">
      <c r="A418" s="13">
        <v>417</v>
      </c>
      <c r="B418" s="14">
        <v>45909</v>
      </c>
      <c r="C418" s="16" t="s">
        <v>49</v>
      </c>
      <c r="D418" s="16" t="str">
        <f>VLOOKUP(E418,[1]Sheet3!A:B,2,0)</f>
        <v>冰箱</v>
      </c>
      <c r="E418" s="16" t="s">
        <v>41</v>
      </c>
      <c r="F418" s="16" t="s">
        <v>28</v>
      </c>
      <c r="G418" s="25" t="s">
        <v>4302</v>
      </c>
      <c r="H418" s="16" t="s">
        <v>4303</v>
      </c>
      <c r="I418" s="16"/>
      <c r="J418" s="26" t="s">
        <v>4297</v>
      </c>
      <c r="K418" s="27" t="s">
        <v>49</v>
      </c>
      <c r="L418" s="16"/>
      <c r="M418" s="26" t="s">
        <v>4304</v>
      </c>
      <c r="N418" s="23" t="s">
        <v>34</v>
      </c>
      <c r="O418" s="22"/>
    </row>
    <row r="419" spans="1:15">
      <c r="A419" s="13">
        <v>418</v>
      </c>
      <c r="B419" s="14">
        <v>45909</v>
      </c>
      <c r="C419" s="16" t="s">
        <v>68</v>
      </c>
      <c r="D419" s="16" t="str">
        <f>VLOOKUP(E419,[1]Sheet3!A:B,2,0)</f>
        <v>冰箱</v>
      </c>
      <c r="E419" s="16" t="s">
        <v>41</v>
      </c>
      <c r="F419" s="16" t="s">
        <v>28</v>
      </c>
      <c r="G419" s="25" t="s">
        <v>4305</v>
      </c>
      <c r="H419" s="16" t="s">
        <v>4306</v>
      </c>
      <c r="I419" s="16"/>
      <c r="J419" s="26" t="s">
        <v>4138</v>
      </c>
      <c r="K419" s="27" t="s">
        <v>24</v>
      </c>
      <c r="L419" s="16"/>
      <c r="M419" s="26" t="s">
        <v>4307</v>
      </c>
      <c r="N419" s="23" t="s">
        <v>34</v>
      </c>
      <c r="O419" s="22"/>
    </row>
    <row r="420" ht="49.5" spans="1:15">
      <c r="A420" s="13">
        <v>419</v>
      </c>
      <c r="B420" s="14">
        <v>45909</v>
      </c>
      <c r="C420" s="16" t="s">
        <v>68</v>
      </c>
      <c r="D420" s="16" t="str">
        <f>VLOOKUP(E420,[1]Sheet3!A:B,2,0)</f>
        <v>洗衣机</v>
      </c>
      <c r="E420" s="16" t="s">
        <v>27</v>
      </c>
      <c r="F420" s="16" t="s">
        <v>28</v>
      </c>
      <c r="G420" s="25" t="s">
        <v>4308</v>
      </c>
      <c r="H420" s="16" t="s">
        <v>4309</v>
      </c>
      <c r="I420" s="16"/>
      <c r="J420" s="26" t="s">
        <v>4310</v>
      </c>
      <c r="K420" s="27" t="s">
        <v>24</v>
      </c>
      <c r="L420" s="16"/>
      <c r="M420" s="26" t="s">
        <v>4311</v>
      </c>
      <c r="N420" s="23" t="s">
        <v>34</v>
      </c>
      <c r="O420" s="22"/>
    </row>
    <row r="421" spans="1:15">
      <c r="A421" s="13">
        <v>420</v>
      </c>
      <c r="B421" s="14">
        <v>45909</v>
      </c>
      <c r="C421" s="16" t="s">
        <v>49</v>
      </c>
      <c r="D421" s="16" t="str">
        <f>VLOOKUP(E421,[1]Sheet3!A:B,2,0)</f>
        <v>冰箱</v>
      </c>
      <c r="E421" s="16" t="s">
        <v>41</v>
      </c>
      <c r="F421" s="16" t="s">
        <v>28</v>
      </c>
      <c r="G421" s="25" t="s">
        <v>4312</v>
      </c>
      <c r="H421" s="16" t="s">
        <v>4313</v>
      </c>
      <c r="I421" s="16"/>
      <c r="J421" s="26" t="s">
        <v>4314</v>
      </c>
      <c r="K421" s="27" t="s">
        <v>24</v>
      </c>
      <c r="L421" s="16"/>
      <c r="M421" s="26" t="s">
        <v>4315</v>
      </c>
      <c r="N421" s="23" t="s">
        <v>34</v>
      </c>
      <c r="O421" s="22"/>
    </row>
    <row r="422" ht="33" spans="1:15">
      <c r="A422" s="13">
        <v>421</v>
      </c>
      <c r="B422" s="14">
        <v>45910</v>
      </c>
      <c r="C422" s="16" t="s">
        <v>68</v>
      </c>
      <c r="D422" s="16" t="str">
        <f>VLOOKUP(E422,[1]Sheet3!A:B,2,0)</f>
        <v>厨热</v>
      </c>
      <c r="E422" s="16" t="s">
        <v>154</v>
      </c>
      <c r="F422" s="16" t="s">
        <v>28</v>
      </c>
      <c r="G422" s="25" t="s">
        <v>4316</v>
      </c>
      <c r="H422" s="16" t="s">
        <v>4317</v>
      </c>
      <c r="I422" s="16"/>
      <c r="J422" s="26" t="s">
        <v>4318</v>
      </c>
      <c r="K422" s="27" t="s">
        <v>32</v>
      </c>
      <c r="L422" s="16"/>
      <c r="M422" s="26" t="s">
        <v>4319</v>
      </c>
      <c r="N422" s="23" t="s">
        <v>34</v>
      </c>
      <c r="O422" s="22"/>
    </row>
    <row r="423" ht="33" spans="1:15">
      <c r="A423" s="13">
        <v>422</v>
      </c>
      <c r="B423" s="14">
        <v>45910</v>
      </c>
      <c r="C423" s="16" t="s">
        <v>68</v>
      </c>
      <c r="D423" s="16" t="str">
        <f>VLOOKUP(E423,[1]Sheet3!A:B,2,0)</f>
        <v>微波和清洁</v>
      </c>
      <c r="E423" s="16" t="s">
        <v>223</v>
      </c>
      <c r="F423" s="16" t="s">
        <v>28</v>
      </c>
      <c r="G423" s="25" t="s">
        <v>4320</v>
      </c>
      <c r="H423" s="16" t="s">
        <v>4321</v>
      </c>
      <c r="I423" s="16"/>
      <c r="J423" s="26" t="s">
        <v>4322</v>
      </c>
      <c r="K423" s="27" t="s">
        <v>32</v>
      </c>
      <c r="L423" s="16"/>
      <c r="M423" s="26" t="s">
        <v>4323</v>
      </c>
      <c r="N423" s="23" t="s">
        <v>34</v>
      </c>
      <c r="O423" s="22"/>
    </row>
    <row r="424" spans="1:15">
      <c r="A424" s="13">
        <v>423</v>
      </c>
      <c r="B424" s="14">
        <v>45910</v>
      </c>
      <c r="C424" s="16" t="s">
        <v>68</v>
      </c>
      <c r="D424" s="16" t="str">
        <f>VLOOKUP(E424,[1]Sheet3!A:B,2,0)</f>
        <v>冰箱</v>
      </c>
      <c r="E424" s="16" t="s">
        <v>41</v>
      </c>
      <c r="F424" s="16" t="s">
        <v>28</v>
      </c>
      <c r="G424" s="25" t="s">
        <v>4324</v>
      </c>
      <c r="H424" s="16" t="s">
        <v>4325</v>
      </c>
      <c r="I424" s="16"/>
      <c r="J424" s="26" t="s">
        <v>4326</v>
      </c>
      <c r="K424" s="27" t="s">
        <v>24</v>
      </c>
      <c r="L424" s="16"/>
      <c r="M424" s="26" t="s">
        <v>4327</v>
      </c>
      <c r="N424" s="23" t="s">
        <v>34</v>
      </c>
      <c r="O424" s="22"/>
    </row>
    <row r="425" spans="1:15">
      <c r="A425" s="13">
        <v>424</v>
      </c>
      <c r="B425" s="14">
        <v>45910</v>
      </c>
      <c r="C425" s="16" t="s">
        <v>68</v>
      </c>
      <c r="D425" s="16" t="str">
        <f>VLOOKUP(E425,[1]Sheet3!A:B,2,0)</f>
        <v>冰箱</v>
      </c>
      <c r="E425" s="16" t="s">
        <v>41</v>
      </c>
      <c r="F425" s="16" t="s">
        <v>28</v>
      </c>
      <c r="G425" s="25" t="s">
        <v>4328</v>
      </c>
      <c r="H425" s="16" t="s">
        <v>4329</v>
      </c>
      <c r="I425" s="16"/>
      <c r="J425" s="26" t="s">
        <v>4326</v>
      </c>
      <c r="K425" s="27" t="s">
        <v>24</v>
      </c>
      <c r="L425" s="16"/>
      <c r="M425" s="26" t="s">
        <v>4327</v>
      </c>
      <c r="N425" s="23" t="s">
        <v>34</v>
      </c>
      <c r="O425" s="22"/>
    </row>
    <row r="426" spans="1:15">
      <c r="A426" s="13">
        <v>425</v>
      </c>
      <c r="B426" s="14">
        <v>45910</v>
      </c>
      <c r="C426" s="16" t="s">
        <v>68</v>
      </c>
      <c r="D426" s="16" t="str">
        <f>VLOOKUP(E426,[1]Sheet3!A:B,2,0)</f>
        <v>冰箱</v>
      </c>
      <c r="E426" s="16" t="s">
        <v>41</v>
      </c>
      <c r="F426" s="16" t="s">
        <v>28</v>
      </c>
      <c r="G426" s="25" t="s">
        <v>4330</v>
      </c>
      <c r="H426" s="16" t="s">
        <v>4331</v>
      </c>
      <c r="I426" s="16"/>
      <c r="J426" s="26" t="s">
        <v>4326</v>
      </c>
      <c r="K426" s="27" t="s">
        <v>24</v>
      </c>
      <c r="L426" s="16"/>
      <c r="M426" s="26" t="s">
        <v>4327</v>
      </c>
      <c r="N426" s="23" t="s">
        <v>34</v>
      </c>
      <c r="O426" s="22"/>
    </row>
    <row r="427" spans="1:15">
      <c r="A427" s="13">
        <v>426</v>
      </c>
      <c r="B427" s="14">
        <v>45911</v>
      </c>
      <c r="C427" s="16" t="s">
        <v>68</v>
      </c>
      <c r="D427" s="16" t="str">
        <f>VLOOKUP(E427,[1]Sheet3!A:B,2,0)</f>
        <v>洗衣机</v>
      </c>
      <c r="E427" s="16" t="s">
        <v>35</v>
      </c>
      <c r="F427" s="16" t="s">
        <v>28</v>
      </c>
      <c r="G427" s="25" t="s">
        <v>4332</v>
      </c>
      <c r="H427" s="16" t="s">
        <v>4333</v>
      </c>
      <c r="I427" s="16"/>
      <c r="J427" s="26" t="s">
        <v>4334</v>
      </c>
      <c r="K427" s="27" t="s">
        <v>32</v>
      </c>
      <c r="L427" s="16"/>
      <c r="M427" s="26" t="s">
        <v>4335</v>
      </c>
      <c r="N427" s="23" t="s">
        <v>34</v>
      </c>
      <c r="O427" s="22"/>
    </row>
    <row r="428" ht="25" customHeight="1" spans="1:15">
      <c r="A428" s="13">
        <v>427</v>
      </c>
      <c r="B428" s="14">
        <v>45911</v>
      </c>
      <c r="C428" s="16" t="s">
        <v>68</v>
      </c>
      <c r="D428" s="16" t="str">
        <f>VLOOKUP(E428,[1]Sheet3!A:B,2,0)</f>
        <v>冰箱</v>
      </c>
      <c r="E428" s="16" t="s">
        <v>41</v>
      </c>
      <c r="F428" s="16" t="s">
        <v>28</v>
      </c>
      <c r="G428" s="25" t="s">
        <v>4336</v>
      </c>
      <c r="H428" s="16" t="s">
        <v>4337</v>
      </c>
      <c r="I428" s="16"/>
      <c r="J428" s="26" t="s">
        <v>4338</v>
      </c>
      <c r="K428" s="27" t="s">
        <v>24</v>
      </c>
      <c r="L428" s="16"/>
      <c r="M428" s="26" t="s">
        <v>4339</v>
      </c>
      <c r="N428" s="23" t="s">
        <v>34</v>
      </c>
      <c r="O428" s="22"/>
    </row>
    <row r="429" ht="22" customHeight="1" spans="1:15">
      <c r="A429" s="13">
        <v>428</v>
      </c>
      <c r="B429" s="14">
        <v>45911</v>
      </c>
      <c r="C429" s="16" t="s">
        <v>49</v>
      </c>
      <c r="D429" s="16" t="str">
        <f>VLOOKUP(E429,[1]Sheet3!A:B,2,0)</f>
        <v>工业技术</v>
      </c>
      <c r="E429" s="16" t="s">
        <v>416</v>
      </c>
      <c r="F429" s="16" t="s">
        <v>28</v>
      </c>
      <c r="G429" s="25" t="s">
        <v>4340</v>
      </c>
      <c r="H429" s="16" t="s">
        <v>4341</v>
      </c>
      <c r="I429" s="16"/>
      <c r="J429" s="26" t="s">
        <v>4342</v>
      </c>
      <c r="K429" s="27" t="s">
        <v>49</v>
      </c>
      <c r="L429" s="16"/>
      <c r="M429" s="26" t="s">
        <v>4343</v>
      </c>
      <c r="N429" s="23" t="s">
        <v>34</v>
      </c>
      <c r="O429" s="22"/>
    </row>
    <row r="430" ht="305" customHeight="1" spans="1:15">
      <c r="A430" s="13">
        <v>429</v>
      </c>
      <c r="B430" s="14">
        <v>45911</v>
      </c>
      <c r="C430" s="16" t="s">
        <v>49</v>
      </c>
      <c r="D430" s="16" t="str">
        <f>VLOOKUP(E430,[1]Sheet3!A:B,2,0)</f>
        <v>洗衣机</v>
      </c>
      <c r="E430" s="16" t="s">
        <v>27</v>
      </c>
      <c r="F430" s="16" t="s">
        <v>28</v>
      </c>
      <c r="G430" s="25" t="s">
        <v>4344</v>
      </c>
      <c r="H430" s="16" t="s">
        <v>4345</v>
      </c>
      <c r="I430" s="16"/>
      <c r="J430" s="26" t="s">
        <v>4346</v>
      </c>
      <c r="K430" s="27" t="s">
        <v>49</v>
      </c>
      <c r="L430" s="16"/>
      <c r="M430" s="26" t="s">
        <v>4347</v>
      </c>
      <c r="N430" s="23" t="s">
        <v>34</v>
      </c>
      <c r="O430" s="22"/>
    </row>
    <row r="431" ht="33" spans="1:15">
      <c r="A431" s="13">
        <v>430</v>
      </c>
      <c r="B431" s="14">
        <v>45912</v>
      </c>
      <c r="C431" s="16" t="s">
        <v>68</v>
      </c>
      <c r="D431" s="16" t="str">
        <f>VLOOKUP(E431,[1]Sheet3!A:B,2,0)</f>
        <v>家用空调</v>
      </c>
      <c r="E431" s="16" t="s">
        <v>318</v>
      </c>
      <c r="F431" s="16" t="s">
        <v>28</v>
      </c>
      <c r="G431" s="25" t="s">
        <v>4348</v>
      </c>
      <c r="H431" s="16" t="s">
        <v>4349</v>
      </c>
      <c r="I431" s="16"/>
      <c r="J431" s="26" t="s">
        <v>4350</v>
      </c>
      <c r="K431" s="27" t="s">
        <v>32</v>
      </c>
      <c r="L431" s="16"/>
      <c r="M431" s="26" t="s">
        <v>4351</v>
      </c>
      <c r="N431" s="23" t="s">
        <v>34</v>
      </c>
      <c r="O431" s="22"/>
    </row>
    <row r="432" ht="49.5" spans="1:15">
      <c r="A432" s="13">
        <v>431</v>
      </c>
      <c r="B432" s="14">
        <v>45915</v>
      </c>
      <c r="C432" s="16" t="s">
        <v>49</v>
      </c>
      <c r="D432" s="16" t="str">
        <f>VLOOKUP(E432,[1]Sheet3!A:B,2,0)</f>
        <v>冰箱</v>
      </c>
      <c r="E432" s="16" t="s">
        <v>41</v>
      </c>
      <c r="F432" s="16" t="s">
        <v>28</v>
      </c>
      <c r="G432" s="25" t="s">
        <v>4352</v>
      </c>
      <c r="H432" s="16">
        <v>285357049</v>
      </c>
      <c r="I432" s="16"/>
      <c r="J432" s="26" t="s">
        <v>4353</v>
      </c>
      <c r="K432" s="27" t="s">
        <v>49</v>
      </c>
      <c r="L432" s="16"/>
      <c r="M432" s="26" t="s">
        <v>4354</v>
      </c>
      <c r="N432" s="23" t="s">
        <v>34</v>
      </c>
      <c r="O432" s="22"/>
    </row>
    <row r="433" spans="1:15">
      <c r="A433" s="13">
        <v>432</v>
      </c>
      <c r="B433" s="14">
        <v>45916</v>
      </c>
      <c r="C433" s="16" t="s">
        <v>49</v>
      </c>
      <c r="D433" s="16" t="str">
        <f>VLOOKUP(E433,[1]Sheet3!A:B,2,0)</f>
        <v>洗衣机</v>
      </c>
      <c r="E433" s="16" t="s">
        <v>27</v>
      </c>
      <c r="F433" s="16" t="s">
        <v>28</v>
      </c>
      <c r="G433" s="25" t="s">
        <v>4355</v>
      </c>
      <c r="H433" s="16" t="s">
        <v>4356</v>
      </c>
      <c r="I433" s="16"/>
      <c r="J433" s="26" t="s">
        <v>4357</v>
      </c>
      <c r="K433" s="27" t="s">
        <v>49</v>
      </c>
      <c r="L433" s="16"/>
      <c r="M433" s="26" t="s">
        <v>4358</v>
      </c>
      <c r="N433" s="23" t="s">
        <v>34</v>
      </c>
      <c r="O433" s="22"/>
    </row>
    <row r="434" ht="208" customHeight="1" spans="1:15">
      <c r="A434" s="13">
        <v>433</v>
      </c>
      <c r="B434" s="14">
        <v>45916</v>
      </c>
      <c r="C434" s="16" t="s">
        <v>25</v>
      </c>
      <c r="D434" s="16" t="str">
        <f>VLOOKUP(E434,[1]Sheet3!A:B,2,0)</f>
        <v>家用空调</v>
      </c>
      <c r="E434" s="16" t="s">
        <v>318</v>
      </c>
      <c r="F434" s="16" t="s">
        <v>521</v>
      </c>
      <c r="G434" s="25" t="s">
        <v>4359</v>
      </c>
      <c r="H434" s="16" t="s">
        <v>4360</v>
      </c>
      <c r="I434" s="16"/>
      <c r="J434" s="26" t="s">
        <v>4361</v>
      </c>
      <c r="K434" s="27" t="s">
        <v>97</v>
      </c>
      <c r="L434" s="16"/>
      <c r="M434" s="26" t="s">
        <v>4362</v>
      </c>
      <c r="N434" s="23" t="s">
        <v>34</v>
      </c>
      <c r="O434" s="22"/>
    </row>
    <row r="435" ht="66" spans="1:15">
      <c r="A435" s="13">
        <v>434</v>
      </c>
      <c r="B435" s="14">
        <v>45916</v>
      </c>
      <c r="C435" s="16" t="s">
        <v>25</v>
      </c>
      <c r="D435" s="16" t="str">
        <f>VLOOKUP(E435,[1]Sheet3!A:B,2,0)</f>
        <v>洗衣机</v>
      </c>
      <c r="E435" s="16" t="s">
        <v>35</v>
      </c>
      <c r="F435" s="16" t="s">
        <v>28</v>
      </c>
      <c r="G435" s="25" t="s">
        <v>4363</v>
      </c>
      <c r="H435" s="16" t="s">
        <v>4364</v>
      </c>
      <c r="I435" s="16"/>
      <c r="J435" s="26" t="s">
        <v>4365</v>
      </c>
      <c r="K435" s="27" t="s">
        <v>355</v>
      </c>
      <c r="L435" s="16"/>
      <c r="M435" s="26" t="s">
        <v>4366</v>
      </c>
      <c r="N435" s="23" t="s">
        <v>34</v>
      </c>
      <c r="O435" s="22"/>
    </row>
    <row r="436" ht="116" customHeight="1" spans="1:15">
      <c r="A436" s="13">
        <v>435</v>
      </c>
      <c r="B436" s="14">
        <v>45916</v>
      </c>
      <c r="C436" s="16" t="s">
        <v>25</v>
      </c>
      <c r="D436" s="16" t="str">
        <f>VLOOKUP(E436,[1]Sheet3!A:B,2,0)</f>
        <v>家用空调</v>
      </c>
      <c r="E436" s="16" t="s">
        <v>318</v>
      </c>
      <c r="F436" s="16" t="s">
        <v>28</v>
      </c>
      <c r="G436" s="25" t="s">
        <v>4367</v>
      </c>
      <c r="H436" s="16" t="s">
        <v>4368</v>
      </c>
      <c r="I436" s="16"/>
      <c r="J436" s="26" t="s">
        <v>4369</v>
      </c>
      <c r="K436" s="27" t="s">
        <v>355</v>
      </c>
      <c r="L436" s="16"/>
      <c r="M436" s="26" t="s">
        <v>4370</v>
      </c>
      <c r="N436" s="23" t="s">
        <v>34</v>
      </c>
      <c r="O436" s="22"/>
    </row>
    <row r="437" ht="61" customHeight="1" spans="1:15">
      <c r="A437" s="13">
        <v>436</v>
      </c>
      <c r="B437" s="14">
        <v>45916</v>
      </c>
      <c r="C437" s="16" t="s">
        <v>25</v>
      </c>
      <c r="D437" s="16" t="str">
        <f>VLOOKUP(E437,[1]Sheet3!A:B,2,0)</f>
        <v>洗衣机</v>
      </c>
      <c r="E437" s="16" t="s">
        <v>35</v>
      </c>
      <c r="F437" s="16" t="s">
        <v>28</v>
      </c>
      <c r="G437" s="25" t="s">
        <v>4371</v>
      </c>
      <c r="H437" s="16" t="s">
        <v>4372</v>
      </c>
      <c r="I437" s="16"/>
      <c r="J437" s="26" t="s">
        <v>4373</v>
      </c>
      <c r="K437" s="27" t="s">
        <v>355</v>
      </c>
      <c r="L437" s="16"/>
      <c r="M437" s="26" t="s">
        <v>4374</v>
      </c>
      <c r="N437" s="23" t="s">
        <v>34</v>
      </c>
      <c r="O437" s="22"/>
    </row>
    <row r="438" ht="408" customHeight="1" spans="1:15">
      <c r="A438" s="13">
        <v>437</v>
      </c>
      <c r="B438" s="14">
        <v>45916</v>
      </c>
      <c r="C438" s="16" t="s">
        <v>49</v>
      </c>
      <c r="D438" s="16" t="e">
        <f>VLOOKUP(E438,[1]Sheet3!A:B,2,0)</f>
        <v>#N/A</v>
      </c>
      <c r="E438" s="16" t="s">
        <v>2581</v>
      </c>
      <c r="F438" s="16" t="s">
        <v>28</v>
      </c>
      <c r="G438" s="25" t="s">
        <v>4375</v>
      </c>
      <c r="H438" s="16" t="s">
        <v>4376</v>
      </c>
      <c r="I438" s="16"/>
      <c r="J438" s="26" t="s">
        <v>4377</v>
      </c>
      <c r="K438" s="27" t="s">
        <v>49</v>
      </c>
      <c r="L438" s="16"/>
      <c r="M438" s="26" t="s">
        <v>4378</v>
      </c>
      <c r="N438" s="23" t="s">
        <v>34</v>
      </c>
      <c r="O438" s="22"/>
    </row>
    <row r="439" ht="82.5" spans="1:15">
      <c r="A439" s="13">
        <v>438</v>
      </c>
      <c r="B439" s="14">
        <v>45916</v>
      </c>
      <c r="C439" s="16" t="s">
        <v>25</v>
      </c>
      <c r="D439" s="16" t="str">
        <f>VLOOKUP(E439,[1]Sheet3!A:B,2,0)</f>
        <v>冰箱</v>
      </c>
      <c r="E439" s="16" t="s">
        <v>41</v>
      </c>
      <c r="F439" s="16" t="s">
        <v>28</v>
      </c>
      <c r="G439" s="25" t="s">
        <v>4379</v>
      </c>
      <c r="H439" s="16" t="s">
        <v>4380</v>
      </c>
      <c r="I439" s="16"/>
      <c r="J439" s="26" t="s">
        <v>4381</v>
      </c>
      <c r="K439" s="27" t="s">
        <v>4006</v>
      </c>
      <c r="L439" s="16"/>
      <c r="M439" s="26" t="s">
        <v>4382</v>
      </c>
      <c r="N439" s="23" t="s">
        <v>34</v>
      </c>
      <c r="O439" s="22"/>
    </row>
    <row r="440" ht="33" spans="1:15">
      <c r="A440" s="13">
        <v>439</v>
      </c>
      <c r="B440" s="14">
        <v>45917</v>
      </c>
      <c r="C440" s="16" t="s">
        <v>49</v>
      </c>
      <c r="D440" s="16" t="str">
        <f>VLOOKUP(E440,[1]Sheet3!A:B,2,0)</f>
        <v>家用空调</v>
      </c>
      <c r="E440" s="16" t="s">
        <v>2837</v>
      </c>
      <c r="F440" s="16" t="s">
        <v>28</v>
      </c>
      <c r="G440" s="25" t="s">
        <v>4383</v>
      </c>
      <c r="H440" s="16" t="s">
        <v>4384</v>
      </c>
      <c r="I440" s="16"/>
      <c r="J440" s="26" t="s">
        <v>4385</v>
      </c>
      <c r="K440" s="27" t="s">
        <v>49</v>
      </c>
      <c r="L440" s="16"/>
      <c r="M440" s="26" t="s">
        <v>4386</v>
      </c>
      <c r="N440" s="23" t="s">
        <v>34</v>
      </c>
      <c r="O440" s="22"/>
    </row>
    <row r="441" spans="1:15">
      <c r="A441" s="13">
        <v>440</v>
      </c>
      <c r="B441" s="14">
        <v>45917</v>
      </c>
      <c r="C441" s="16" t="s">
        <v>49</v>
      </c>
      <c r="D441" s="16" t="str">
        <f>VLOOKUP(E441,[1]Sheet3!A:B,2,0)</f>
        <v>洗衣机</v>
      </c>
      <c r="E441" s="16" t="s">
        <v>35</v>
      </c>
      <c r="F441" s="16" t="s">
        <v>28</v>
      </c>
      <c r="G441" s="25" t="s">
        <v>4387</v>
      </c>
      <c r="H441" s="16" t="s">
        <v>4388</v>
      </c>
      <c r="I441" s="16"/>
      <c r="J441" s="26" t="s">
        <v>4389</v>
      </c>
      <c r="K441" s="27" t="s">
        <v>49</v>
      </c>
      <c r="L441" s="16"/>
      <c r="M441" s="26" t="s">
        <v>4390</v>
      </c>
      <c r="N441" s="23" t="s">
        <v>34</v>
      </c>
      <c r="O441" s="22"/>
    </row>
    <row r="442" ht="33" spans="1:15">
      <c r="A442" s="13">
        <v>441</v>
      </c>
      <c r="B442" s="14">
        <v>45918</v>
      </c>
      <c r="C442" s="16" t="s">
        <v>49</v>
      </c>
      <c r="D442" s="16" t="str">
        <f>VLOOKUP(E442,[1]Sheet3!A:B,2,0)</f>
        <v>洗衣机</v>
      </c>
      <c r="E442" s="16" t="s">
        <v>27</v>
      </c>
      <c r="F442" s="16" t="s">
        <v>28</v>
      </c>
      <c r="G442" s="25" t="s">
        <v>4391</v>
      </c>
      <c r="H442" s="16" t="s">
        <v>4392</v>
      </c>
      <c r="I442" s="16"/>
      <c r="J442" s="26" t="s">
        <v>4393</v>
      </c>
      <c r="K442" s="27" t="s">
        <v>49</v>
      </c>
      <c r="L442" s="16"/>
      <c r="M442" s="26" t="s">
        <v>4394</v>
      </c>
      <c r="N442" s="23" t="s">
        <v>34</v>
      </c>
      <c r="O442" s="22"/>
    </row>
    <row r="443" spans="1:15">
      <c r="A443" s="13">
        <v>442</v>
      </c>
      <c r="B443" s="14">
        <v>45918</v>
      </c>
      <c r="C443" s="16" t="s">
        <v>68</v>
      </c>
      <c r="D443" s="16" t="str">
        <f>VLOOKUP(E443,[1]Sheet3!A:B,2,0)</f>
        <v>冰箱</v>
      </c>
      <c r="E443" s="16" t="s">
        <v>148</v>
      </c>
      <c r="F443" s="16" t="s">
        <v>28</v>
      </c>
      <c r="G443" s="25" t="s">
        <v>4395</v>
      </c>
      <c r="H443" s="16" t="s">
        <v>4396</v>
      </c>
      <c r="I443" s="16"/>
      <c r="J443" s="26" t="s">
        <v>4198</v>
      </c>
      <c r="K443" s="27" t="s">
        <v>24</v>
      </c>
      <c r="L443" s="16"/>
      <c r="M443" s="26" t="s">
        <v>4397</v>
      </c>
      <c r="N443" s="23" t="s">
        <v>34</v>
      </c>
      <c r="O443" s="22"/>
    </row>
    <row r="444" spans="1:15">
      <c r="A444" s="13">
        <v>443</v>
      </c>
      <c r="B444" s="14">
        <v>45918</v>
      </c>
      <c r="C444" s="16" t="s">
        <v>49</v>
      </c>
      <c r="D444" s="16" t="str">
        <f>VLOOKUP(E444,[1]Sheet3!A:B,2,0)</f>
        <v>冰箱</v>
      </c>
      <c r="E444" s="16" t="s">
        <v>41</v>
      </c>
      <c r="F444" s="16" t="s">
        <v>28</v>
      </c>
      <c r="G444" s="25" t="s">
        <v>4398</v>
      </c>
      <c r="H444" s="16" t="s">
        <v>4399</v>
      </c>
      <c r="I444" s="16"/>
      <c r="J444" s="26" t="s">
        <v>4400</v>
      </c>
      <c r="K444" s="27" t="s">
        <v>49</v>
      </c>
      <c r="L444" s="16"/>
      <c r="M444" s="26" t="s">
        <v>4401</v>
      </c>
      <c r="N444" s="23" t="s">
        <v>34</v>
      </c>
      <c r="O444" s="22"/>
    </row>
    <row r="445" spans="1:15">
      <c r="A445" s="13">
        <v>444</v>
      </c>
      <c r="B445" s="14">
        <v>45918</v>
      </c>
      <c r="C445" s="16" t="s">
        <v>68</v>
      </c>
      <c r="D445" s="16" t="str">
        <f>VLOOKUP(E445,[1]Sheet3!A:B,2,0)</f>
        <v>冰箱</v>
      </c>
      <c r="E445" s="16" t="s">
        <v>469</v>
      </c>
      <c r="F445" s="16" t="s">
        <v>28</v>
      </c>
      <c r="G445" s="25" t="s">
        <v>4402</v>
      </c>
      <c r="H445" s="16" t="s">
        <v>4403</v>
      </c>
      <c r="I445" s="16"/>
      <c r="J445" s="26" t="s">
        <v>3357</v>
      </c>
      <c r="K445" s="27" t="s">
        <v>32</v>
      </c>
      <c r="L445" s="16"/>
      <c r="M445" s="26" t="s">
        <v>4404</v>
      </c>
      <c r="N445" s="23" t="s">
        <v>34</v>
      </c>
      <c r="O445" s="22"/>
    </row>
    <row r="446" ht="33" spans="1:15">
      <c r="A446" s="13">
        <v>445</v>
      </c>
      <c r="B446" s="14">
        <v>45918</v>
      </c>
      <c r="C446" s="16" t="s">
        <v>25</v>
      </c>
      <c r="D446" s="16" t="str">
        <f>VLOOKUP(E446,[1]Sheet3!A:B,2,0)</f>
        <v>洗衣机</v>
      </c>
      <c r="E446" s="16" t="s">
        <v>27</v>
      </c>
      <c r="F446" s="16" t="s">
        <v>28</v>
      </c>
      <c r="G446" s="25" t="s">
        <v>4405</v>
      </c>
      <c r="H446" s="16" t="s">
        <v>4406</v>
      </c>
      <c r="I446" s="16"/>
      <c r="J446" s="26" t="s">
        <v>4407</v>
      </c>
      <c r="K446" s="27" t="s">
        <v>24</v>
      </c>
      <c r="L446" s="16"/>
      <c r="M446" s="26" t="s">
        <v>4408</v>
      </c>
      <c r="N446" s="23" t="s">
        <v>34</v>
      </c>
      <c r="O446" s="22"/>
    </row>
    <row r="447" ht="66" spans="1:15">
      <c r="A447" s="13">
        <v>446</v>
      </c>
      <c r="B447" s="14">
        <v>45918</v>
      </c>
      <c r="C447" s="16" t="s">
        <v>49</v>
      </c>
      <c r="D447" s="16" t="str">
        <f>VLOOKUP(E447,[1]Sheet3!A:B,2,0)</f>
        <v>洗衣机</v>
      </c>
      <c r="E447" s="16" t="s">
        <v>35</v>
      </c>
      <c r="F447" s="16" t="s">
        <v>28</v>
      </c>
      <c r="G447" s="25" t="s">
        <v>4409</v>
      </c>
      <c r="H447" s="16" t="s">
        <v>4410</v>
      </c>
      <c r="I447" s="16"/>
      <c r="J447" s="26" t="s">
        <v>4411</v>
      </c>
      <c r="K447" s="27" t="s">
        <v>49</v>
      </c>
      <c r="L447" s="16"/>
      <c r="M447" s="26" t="s">
        <v>4412</v>
      </c>
      <c r="N447" s="23" t="s">
        <v>34</v>
      </c>
      <c r="O447" s="22"/>
    </row>
    <row r="448" spans="1:15">
      <c r="A448" s="13">
        <v>447</v>
      </c>
      <c r="B448" s="14">
        <v>45919</v>
      </c>
      <c r="C448" s="16" t="s">
        <v>49</v>
      </c>
      <c r="D448" s="16" t="e">
        <f>VLOOKUP(E448,[1]Sheet3!A:B,2,0)</f>
        <v>#N/A</v>
      </c>
      <c r="E448" s="16" t="s">
        <v>3855</v>
      </c>
      <c r="F448" s="16" t="s">
        <v>28</v>
      </c>
      <c r="G448" s="25" t="s">
        <v>4413</v>
      </c>
      <c r="H448" s="16" t="s">
        <v>4414</v>
      </c>
      <c r="I448" s="16"/>
      <c r="J448" s="26" t="s">
        <v>4415</v>
      </c>
      <c r="K448" s="27" t="s">
        <v>49</v>
      </c>
      <c r="L448" s="16"/>
      <c r="M448" s="26" t="s">
        <v>4416</v>
      </c>
      <c r="N448" s="23" t="s">
        <v>34</v>
      </c>
      <c r="O448" s="22"/>
    </row>
    <row r="449" ht="66" spans="1:15">
      <c r="A449" s="13">
        <v>448</v>
      </c>
      <c r="B449" s="14">
        <v>45919</v>
      </c>
      <c r="C449" s="16" t="s">
        <v>25</v>
      </c>
      <c r="D449" s="16" t="str">
        <f>VLOOKUP(E449,[1]Sheet3!A:B,2,0)</f>
        <v>洗衣机</v>
      </c>
      <c r="E449" s="16" t="s">
        <v>35</v>
      </c>
      <c r="F449" s="16" t="s">
        <v>28</v>
      </c>
      <c r="G449" s="25" t="s">
        <v>4417</v>
      </c>
      <c r="H449" s="16" t="s">
        <v>4418</v>
      </c>
      <c r="I449" s="16"/>
      <c r="J449" s="26" t="s">
        <v>4419</v>
      </c>
      <c r="K449" s="27" t="s">
        <v>355</v>
      </c>
      <c r="L449" s="16"/>
      <c r="M449" s="26" t="s">
        <v>4420</v>
      </c>
      <c r="N449" s="23" t="s">
        <v>34</v>
      </c>
      <c r="O449" s="22"/>
    </row>
    <row r="450" ht="49.5" spans="1:15">
      <c r="A450" s="13">
        <v>449</v>
      </c>
      <c r="B450" s="14">
        <v>45919</v>
      </c>
      <c r="C450" s="16" t="s">
        <v>25</v>
      </c>
      <c r="D450" s="16" t="str">
        <f>VLOOKUP(E450,[1]Sheet3!A:B,2,0)</f>
        <v>厨热</v>
      </c>
      <c r="E450" s="16" t="s">
        <v>411</v>
      </c>
      <c r="F450" s="16" t="s">
        <v>28</v>
      </c>
      <c r="G450" s="25" t="s">
        <v>4421</v>
      </c>
      <c r="H450" s="16" t="s">
        <v>4422</v>
      </c>
      <c r="I450" s="16"/>
      <c r="J450" s="26" t="s">
        <v>4423</v>
      </c>
      <c r="K450" s="27" t="s">
        <v>24</v>
      </c>
      <c r="L450" s="16"/>
      <c r="M450" s="26" t="s">
        <v>4424</v>
      </c>
      <c r="N450" s="23" t="s">
        <v>34</v>
      </c>
      <c r="O450" s="22"/>
    </row>
    <row r="451" ht="33" spans="1:15">
      <c r="A451" s="13">
        <v>450</v>
      </c>
      <c r="B451" s="14">
        <v>45922</v>
      </c>
      <c r="C451" s="16" t="s">
        <v>403</v>
      </c>
      <c r="D451" s="16" t="str">
        <f>VLOOKUP(E451,[1]Sheet3!A:B,2,0)</f>
        <v>冰箱</v>
      </c>
      <c r="E451" s="16" t="s">
        <v>41</v>
      </c>
      <c r="F451" s="16" t="s">
        <v>28</v>
      </c>
      <c r="G451" s="25" t="s">
        <v>3099</v>
      </c>
      <c r="H451" s="16" t="s">
        <v>4425</v>
      </c>
      <c r="I451" s="16"/>
      <c r="J451" s="26" t="s">
        <v>4426</v>
      </c>
      <c r="K451" s="27" t="s">
        <v>92</v>
      </c>
      <c r="L451" s="16"/>
      <c r="M451" s="26" t="s">
        <v>4427</v>
      </c>
      <c r="N451" s="23" t="s">
        <v>34</v>
      </c>
      <c r="O451" s="22"/>
    </row>
    <row r="452" spans="1:15">
      <c r="A452" s="13">
        <v>451</v>
      </c>
      <c r="B452" s="14">
        <v>45922</v>
      </c>
      <c r="C452" s="16" t="s">
        <v>49</v>
      </c>
      <c r="D452" s="16" t="str">
        <f>VLOOKUP(E452,[1]Sheet3!A:B,2,0)</f>
        <v>冰箱</v>
      </c>
      <c r="E452" s="16" t="s">
        <v>41</v>
      </c>
      <c r="F452" s="16" t="s">
        <v>28</v>
      </c>
      <c r="G452" s="25" t="s">
        <v>4428</v>
      </c>
      <c r="H452" s="16" t="s">
        <v>4429</v>
      </c>
      <c r="I452" s="16"/>
      <c r="J452" s="26" t="s">
        <v>4430</v>
      </c>
      <c r="K452" s="27" t="s">
        <v>49</v>
      </c>
      <c r="L452" s="16"/>
      <c r="M452" s="26" t="s">
        <v>4431</v>
      </c>
      <c r="N452" s="23" t="s">
        <v>34</v>
      </c>
      <c r="O452" s="22"/>
    </row>
    <row r="453" ht="49.5" spans="1:15">
      <c r="A453" s="13">
        <v>452</v>
      </c>
      <c r="B453" s="14">
        <v>45922</v>
      </c>
      <c r="C453" s="16" t="s">
        <v>403</v>
      </c>
      <c r="D453" s="16" t="str">
        <f>VLOOKUP(E453,[1]Sheet3!A:B,2,0)</f>
        <v>冰箱</v>
      </c>
      <c r="E453" s="16" t="s">
        <v>41</v>
      </c>
      <c r="F453" s="16" t="s">
        <v>28</v>
      </c>
      <c r="G453" s="25" t="s">
        <v>3099</v>
      </c>
      <c r="H453" s="16" t="s">
        <v>4432</v>
      </c>
      <c r="I453" s="16"/>
      <c r="J453" s="26" t="s">
        <v>4433</v>
      </c>
      <c r="K453" s="27" t="s">
        <v>92</v>
      </c>
      <c r="L453" s="16"/>
      <c r="M453" s="26" t="s">
        <v>4427</v>
      </c>
      <c r="N453" s="23" t="s">
        <v>34</v>
      </c>
      <c r="O453" s="22"/>
    </row>
    <row r="454" spans="1:15">
      <c r="A454" s="13">
        <v>453</v>
      </c>
      <c r="B454" s="14">
        <v>45922</v>
      </c>
      <c r="C454" s="16" t="s">
        <v>68</v>
      </c>
      <c r="D454" s="16" t="str">
        <f>VLOOKUP(E454,[1]Sheet3!A:B,2,0)</f>
        <v>洗衣机</v>
      </c>
      <c r="E454" s="16" t="s">
        <v>35</v>
      </c>
      <c r="F454" s="16" t="s">
        <v>28</v>
      </c>
      <c r="G454" s="25" t="s">
        <v>4434</v>
      </c>
      <c r="H454" s="16" t="s">
        <v>4435</v>
      </c>
      <c r="I454" s="16"/>
      <c r="J454" s="26" t="s">
        <v>4436</v>
      </c>
      <c r="K454" s="27" t="s">
        <v>32</v>
      </c>
      <c r="L454" s="16"/>
      <c r="M454" s="26" t="s">
        <v>4437</v>
      </c>
      <c r="N454" s="23" t="s">
        <v>34</v>
      </c>
      <c r="O454" s="22"/>
    </row>
    <row r="455" spans="1:15">
      <c r="A455" s="13">
        <v>454</v>
      </c>
      <c r="B455" s="14">
        <v>45922</v>
      </c>
      <c r="C455" s="16" t="s">
        <v>68</v>
      </c>
      <c r="D455" s="16" t="str">
        <f>VLOOKUP(E455,[1]Sheet3!A:B,2,0)</f>
        <v>洗衣机</v>
      </c>
      <c r="E455" s="16" t="s">
        <v>35</v>
      </c>
      <c r="F455" s="16" t="s">
        <v>28</v>
      </c>
      <c r="G455" s="25" t="s">
        <v>4438</v>
      </c>
      <c r="H455" s="16" t="s">
        <v>4439</v>
      </c>
      <c r="I455" s="16"/>
      <c r="J455" s="26" t="s">
        <v>4436</v>
      </c>
      <c r="K455" s="27" t="s">
        <v>32</v>
      </c>
      <c r="L455" s="16"/>
      <c r="M455" s="26" t="s">
        <v>4437</v>
      </c>
      <c r="N455" s="23" t="s">
        <v>34</v>
      </c>
      <c r="O455" s="22"/>
    </row>
    <row r="456" spans="1:15">
      <c r="A456" s="13">
        <v>455</v>
      </c>
      <c r="B456" s="14">
        <v>45922</v>
      </c>
      <c r="C456" s="16" t="s">
        <v>68</v>
      </c>
      <c r="D456" s="16" t="str">
        <f>VLOOKUP(E456,[1]Sheet3!A:B,2,0)</f>
        <v>洗衣机</v>
      </c>
      <c r="E456" s="16" t="s">
        <v>35</v>
      </c>
      <c r="F456" s="16" t="s">
        <v>28</v>
      </c>
      <c r="G456" s="25" t="s">
        <v>4440</v>
      </c>
      <c r="H456" s="16">
        <v>264512037</v>
      </c>
      <c r="I456" s="16"/>
      <c r="J456" s="26" t="s">
        <v>4436</v>
      </c>
      <c r="K456" s="27" t="s">
        <v>32</v>
      </c>
      <c r="L456" s="16"/>
      <c r="M456" s="26" t="s">
        <v>4437</v>
      </c>
      <c r="N456" s="23" t="s">
        <v>34</v>
      </c>
      <c r="O456" s="22"/>
    </row>
    <row r="457" spans="1:15">
      <c r="A457" s="13">
        <v>456</v>
      </c>
      <c r="B457" s="14">
        <v>45922</v>
      </c>
      <c r="C457" s="16" t="s">
        <v>68</v>
      </c>
      <c r="D457" s="16" t="str">
        <f>VLOOKUP(E457,[1]Sheet3!A:B,2,0)</f>
        <v>冰箱</v>
      </c>
      <c r="E457" s="16" t="s">
        <v>41</v>
      </c>
      <c r="F457" s="16" t="s">
        <v>28</v>
      </c>
      <c r="G457" s="25" t="s">
        <v>4441</v>
      </c>
      <c r="H457" s="16" t="s">
        <v>4442</v>
      </c>
      <c r="I457" s="16"/>
      <c r="J457" s="26" t="s">
        <v>4436</v>
      </c>
      <c r="K457" s="27" t="s">
        <v>32</v>
      </c>
      <c r="L457" s="16"/>
      <c r="M457" s="26" t="s">
        <v>4437</v>
      </c>
      <c r="N457" s="23" t="s">
        <v>34</v>
      </c>
      <c r="O457" s="22"/>
    </row>
    <row r="458" spans="1:15">
      <c r="A458" s="13">
        <v>457</v>
      </c>
      <c r="B458" s="14">
        <v>45922</v>
      </c>
      <c r="C458" s="16" t="s">
        <v>68</v>
      </c>
      <c r="D458" s="16" t="str">
        <f>VLOOKUP(E458,[1]Sheet3!A:B,2,0)</f>
        <v>冰箱</v>
      </c>
      <c r="E458" s="16" t="s">
        <v>41</v>
      </c>
      <c r="F458" s="16" t="s">
        <v>28</v>
      </c>
      <c r="G458" s="25" t="s">
        <v>4443</v>
      </c>
      <c r="H458" s="16" t="s">
        <v>4444</v>
      </c>
      <c r="I458" s="16"/>
      <c r="J458" s="26" t="s">
        <v>4436</v>
      </c>
      <c r="K458" s="27" t="s">
        <v>32</v>
      </c>
      <c r="L458" s="16"/>
      <c r="M458" s="26" t="s">
        <v>4437</v>
      </c>
      <c r="N458" s="23" t="s">
        <v>34</v>
      </c>
      <c r="O458" s="22"/>
    </row>
    <row r="459" spans="1:15">
      <c r="A459" s="13">
        <v>458</v>
      </c>
      <c r="B459" s="14">
        <v>45922</v>
      </c>
      <c r="C459" s="16" t="s">
        <v>68</v>
      </c>
      <c r="D459" s="16" t="str">
        <f>VLOOKUP(E459,[1]Sheet3!A:B,2,0)</f>
        <v>冰箱</v>
      </c>
      <c r="E459" s="16" t="s">
        <v>41</v>
      </c>
      <c r="F459" s="16" t="s">
        <v>28</v>
      </c>
      <c r="G459" s="25" t="s">
        <v>4445</v>
      </c>
      <c r="H459" s="16" t="s">
        <v>4446</v>
      </c>
      <c r="I459" s="16"/>
      <c r="J459" s="26" t="s">
        <v>4436</v>
      </c>
      <c r="K459" s="27" t="s">
        <v>32</v>
      </c>
      <c r="L459" s="16"/>
      <c r="M459" s="26" t="s">
        <v>4437</v>
      </c>
      <c r="N459" s="23" t="s">
        <v>34</v>
      </c>
      <c r="O459" s="22"/>
    </row>
    <row r="460" spans="1:15">
      <c r="A460" s="13">
        <v>459</v>
      </c>
      <c r="B460" s="14">
        <v>45922</v>
      </c>
      <c r="C460" s="16" t="s">
        <v>68</v>
      </c>
      <c r="D460" s="16" t="str">
        <f>VLOOKUP(E460,[1]Sheet3!A:B,2,0)</f>
        <v>冰箱</v>
      </c>
      <c r="E460" s="16" t="s">
        <v>41</v>
      </c>
      <c r="F460" s="16" t="s">
        <v>28</v>
      </c>
      <c r="G460" s="25" t="s">
        <v>4447</v>
      </c>
      <c r="H460" s="16" t="s">
        <v>4448</v>
      </c>
      <c r="I460" s="16"/>
      <c r="J460" s="26" t="s">
        <v>4436</v>
      </c>
      <c r="K460" s="27" t="s">
        <v>32</v>
      </c>
      <c r="L460" s="16"/>
      <c r="M460" s="26" t="s">
        <v>4437</v>
      </c>
      <c r="N460" s="23" t="s">
        <v>34</v>
      </c>
      <c r="O460" s="22"/>
    </row>
    <row r="461" spans="1:15">
      <c r="A461" s="13">
        <v>460</v>
      </c>
      <c r="B461" s="14">
        <v>45922</v>
      </c>
      <c r="C461" s="16" t="s">
        <v>68</v>
      </c>
      <c r="D461" s="16" t="str">
        <f>VLOOKUP(E461,[1]Sheet3!A:B,2,0)</f>
        <v>洗衣机</v>
      </c>
      <c r="E461" s="16" t="s">
        <v>35</v>
      </c>
      <c r="F461" s="16" t="s">
        <v>28</v>
      </c>
      <c r="G461" s="25" t="s">
        <v>4449</v>
      </c>
      <c r="H461" s="16" t="s">
        <v>4450</v>
      </c>
      <c r="I461" s="16"/>
      <c r="J461" s="26" t="s">
        <v>4436</v>
      </c>
      <c r="K461" s="27" t="s">
        <v>32</v>
      </c>
      <c r="L461" s="16"/>
      <c r="M461" s="26" t="s">
        <v>4437</v>
      </c>
      <c r="N461" s="23" t="s">
        <v>34</v>
      </c>
      <c r="O461" s="22"/>
    </row>
    <row r="462" spans="1:15">
      <c r="A462" s="13">
        <v>461</v>
      </c>
      <c r="B462" s="14">
        <v>45922</v>
      </c>
      <c r="C462" s="16" t="s">
        <v>68</v>
      </c>
      <c r="D462" s="16" t="str">
        <f>VLOOKUP(E462,[1]Sheet3!A:B,2,0)</f>
        <v>洗衣机</v>
      </c>
      <c r="E462" s="16" t="s">
        <v>35</v>
      </c>
      <c r="F462" s="16" t="s">
        <v>28</v>
      </c>
      <c r="G462" s="25" t="s">
        <v>4451</v>
      </c>
      <c r="H462" s="16" t="s">
        <v>4452</v>
      </c>
      <c r="I462" s="16"/>
      <c r="J462" s="26" t="s">
        <v>4436</v>
      </c>
      <c r="K462" s="27" t="s">
        <v>32</v>
      </c>
      <c r="L462" s="16"/>
      <c r="M462" s="26" t="s">
        <v>4437</v>
      </c>
      <c r="N462" s="23" t="s">
        <v>34</v>
      </c>
      <c r="O462" s="22"/>
    </row>
    <row r="463" spans="1:15">
      <c r="A463" s="13">
        <v>462</v>
      </c>
      <c r="B463" s="14">
        <v>45922</v>
      </c>
      <c r="C463" s="16" t="s">
        <v>68</v>
      </c>
      <c r="D463" s="16" t="str">
        <f>VLOOKUP(E463,[1]Sheet3!A:B,2,0)</f>
        <v>洗衣机</v>
      </c>
      <c r="E463" s="16" t="s">
        <v>35</v>
      </c>
      <c r="F463" s="16" t="s">
        <v>28</v>
      </c>
      <c r="G463" s="25" t="s">
        <v>4453</v>
      </c>
      <c r="H463" s="16" t="s">
        <v>4454</v>
      </c>
      <c r="I463" s="16"/>
      <c r="J463" s="26" t="s">
        <v>4436</v>
      </c>
      <c r="K463" s="27" t="s">
        <v>32</v>
      </c>
      <c r="L463" s="16"/>
      <c r="M463" s="26" t="s">
        <v>4437</v>
      </c>
      <c r="N463" s="23" t="s">
        <v>34</v>
      </c>
      <c r="O463" s="22"/>
    </row>
    <row r="464" spans="1:15">
      <c r="A464" s="13">
        <v>463</v>
      </c>
      <c r="B464" s="14">
        <v>45922</v>
      </c>
      <c r="C464" s="16" t="s">
        <v>68</v>
      </c>
      <c r="D464" s="16" t="str">
        <f>VLOOKUP(E464,[1]Sheet3!A:B,2,0)</f>
        <v>冰箱</v>
      </c>
      <c r="E464" s="16" t="s">
        <v>41</v>
      </c>
      <c r="F464" s="16" t="s">
        <v>28</v>
      </c>
      <c r="G464" s="25" t="s">
        <v>4455</v>
      </c>
      <c r="H464" s="16" t="s">
        <v>4456</v>
      </c>
      <c r="I464" s="16"/>
      <c r="J464" s="26" t="s">
        <v>4436</v>
      </c>
      <c r="K464" s="27" t="s">
        <v>32</v>
      </c>
      <c r="L464" s="16"/>
      <c r="M464" s="26" t="s">
        <v>4437</v>
      </c>
      <c r="N464" s="23" t="s">
        <v>34</v>
      </c>
      <c r="O464" s="22"/>
    </row>
    <row r="465" spans="1:15">
      <c r="A465" s="13">
        <v>464</v>
      </c>
      <c r="B465" s="14">
        <v>45922</v>
      </c>
      <c r="C465" s="16" t="s">
        <v>68</v>
      </c>
      <c r="D465" s="16" t="str">
        <f>VLOOKUP(E465,[1]Sheet3!A:B,2,0)</f>
        <v>冰箱</v>
      </c>
      <c r="E465" s="16" t="s">
        <v>41</v>
      </c>
      <c r="F465" s="16" t="s">
        <v>28</v>
      </c>
      <c r="G465" s="25" t="s">
        <v>4457</v>
      </c>
      <c r="H465" s="16" t="s">
        <v>4458</v>
      </c>
      <c r="I465" s="16"/>
      <c r="J465" s="26" t="s">
        <v>4436</v>
      </c>
      <c r="K465" s="27" t="s">
        <v>32</v>
      </c>
      <c r="L465" s="16"/>
      <c r="M465" s="26" t="s">
        <v>4437</v>
      </c>
      <c r="N465" s="23" t="s">
        <v>34</v>
      </c>
      <c r="O465" s="22"/>
    </row>
    <row r="466" spans="1:15">
      <c r="A466" s="13">
        <v>465</v>
      </c>
      <c r="B466" s="14">
        <v>45922</v>
      </c>
      <c r="C466" s="16" t="s">
        <v>68</v>
      </c>
      <c r="D466" s="16" t="str">
        <f>VLOOKUP(E466,[1]Sheet3!A:B,2,0)</f>
        <v>冰箱</v>
      </c>
      <c r="E466" s="16" t="s">
        <v>41</v>
      </c>
      <c r="F466" s="16" t="s">
        <v>28</v>
      </c>
      <c r="G466" s="25" t="s">
        <v>4459</v>
      </c>
      <c r="H466" s="16" t="s">
        <v>4460</v>
      </c>
      <c r="I466" s="16"/>
      <c r="J466" s="26" t="s">
        <v>4436</v>
      </c>
      <c r="K466" s="27" t="s">
        <v>32</v>
      </c>
      <c r="L466" s="16"/>
      <c r="M466" s="26" t="s">
        <v>4437</v>
      </c>
      <c r="N466" s="23" t="s">
        <v>34</v>
      </c>
      <c r="O466" s="22"/>
    </row>
    <row r="467" ht="33" spans="1:15">
      <c r="A467" s="13">
        <v>466</v>
      </c>
      <c r="B467" s="14">
        <v>45922</v>
      </c>
      <c r="C467" s="16" t="s">
        <v>68</v>
      </c>
      <c r="D467" s="16" t="str">
        <f>VLOOKUP(E467,[1]Sheet3!A:B,2,0)</f>
        <v>洗衣机</v>
      </c>
      <c r="E467" s="16" t="s">
        <v>35</v>
      </c>
      <c r="F467" s="16" t="s">
        <v>28</v>
      </c>
      <c r="G467" s="25" t="s">
        <v>4461</v>
      </c>
      <c r="H467" s="16" t="s">
        <v>4462</v>
      </c>
      <c r="I467" s="16"/>
      <c r="J467" s="26" t="s">
        <v>4463</v>
      </c>
      <c r="K467" s="27" t="s">
        <v>68</v>
      </c>
      <c r="L467" s="16"/>
      <c r="M467" s="26" t="s">
        <v>4464</v>
      </c>
      <c r="N467" s="23" t="s">
        <v>34</v>
      </c>
      <c r="O467" s="22"/>
    </row>
    <row r="468" ht="33" spans="1:15">
      <c r="A468" s="13">
        <v>467</v>
      </c>
      <c r="B468" s="14">
        <v>45922</v>
      </c>
      <c r="C468" s="16" t="s">
        <v>68</v>
      </c>
      <c r="D468" s="16" t="str">
        <f>VLOOKUP(E468,[1]Sheet3!A:B,2,0)</f>
        <v>洗衣机</v>
      </c>
      <c r="E468" s="16" t="s">
        <v>35</v>
      </c>
      <c r="F468" s="16" t="s">
        <v>28</v>
      </c>
      <c r="G468" s="25" t="s">
        <v>4465</v>
      </c>
      <c r="H468" s="16" t="s">
        <v>4466</v>
      </c>
      <c r="I468" s="16"/>
      <c r="J468" s="26" t="s">
        <v>4463</v>
      </c>
      <c r="K468" s="27" t="s">
        <v>68</v>
      </c>
      <c r="L468" s="16"/>
      <c r="M468" s="26" t="s">
        <v>4464</v>
      </c>
      <c r="N468" s="23" t="s">
        <v>34</v>
      </c>
      <c r="O468" s="22"/>
    </row>
    <row r="469" ht="33" spans="1:15">
      <c r="A469" s="13">
        <v>468</v>
      </c>
      <c r="B469" s="14">
        <v>45922</v>
      </c>
      <c r="C469" s="16" t="s">
        <v>68</v>
      </c>
      <c r="D469" s="16" t="str">
        <f>VLOOKUP(E469,[1]Sheet3!A:B,2,0)</f>
        <v>洗衣机</v>
      </c>
      <c r="E469" s="16" t="s">
        <v>35</v>
      </c>
      <c r="F469" s="16" t="s">
        <v>28</v>
      </c>
      <c r="G469" s="25" t="s">
        <v>4467</v>
      </c>
      <c r="H469" s="16" t="s">
        <v>4468</v>
      </c>
      <c r="I469" s="16"/>
      <c r="J469" s="26" t="s">
        <v>4463</v>
      </c>
      <c r="K469" s="27" t="s">
        <v>68</v>
      </c>
      <c r="L469" s="16"/>
      <c r="M469" s="26" t="s">
        <v>4464</v>
      </c>
      <c r="N469" s="23" t="s">
        <v>34</v>
      </c>
      <c r="O469" s="22"/>
    </row>
    <row r="470" ht="33" spans="1:15">
      <c r="A470" s="13">
        <v>469</v>
      </c>
      <c r="B470" s="14">
        <v>45922</v>
      </c>
      <c r="C470" s="16" t="s">
        <v>68</v>
      </c>
      <c r="D470" s="16" t="str">
        <f>VLOOKUP(E470,[1]Sheet3!A:B,2,0)</f>
        <v>洗衣机</v>
      </c>
      <c r="E470" s="16" t="s">
        <v>35</v>
      </c>
      <c r="F470" s="16" t="s">
        <v>28</v>
      </c>
      <c r="G470" s="25" t="s">
        <v>4469</v>
      </c>
      <c r="H470" s="16" t="s">
        <v>4470</v>
      </c>
      <c r="I470" s="16"/>
      <c r="J470" s="26" t="s">
        <v>4463</v>
      </c>
      <c r="K470" s="27" t="s">
        <v>68</v>
      </c>
      <c r="L470" s="16"/>
      <c r="M470" s="26" t="s">
        <v>4464</v>
      </c>
      <c r="N470" s="23" t="s">
        <v>34</v>
      </c>
      <c r="O470" s="22"/>
    </row>
    <row r="471" ht="33" spans="1:15">
      <c r="A471" s="13">
        <v>470</v>
      </c>
      <c r="B471" s="14">
        <v>45922</v>
      </c>
      <c r="C471" s="16" t="s">
        <v>68</v>
      </c>
      <c r="D471" s="16" t="str">
        <f>VLOOKUP(E471,[1]Sheet3!A:B,2,0)</f>
        <v>洗衣机</v>
      </c>
      <c r="E471" s="16" t="s">
        <v>35</v>
      </c>
      <c r="F471" s="16" t="s">
        <v>28</v>
      </c>
      <c r="G471" s="25" t="s">
        <v>4471</v>
      </c>
      <c r="H471" s="16" t="s">
        <v>4472</v>
      </c>
      <c r="I471" s="16"/>
      <c r="J471" s="26" t="s">
        <v>4463</v>
      </c>
      <c r="K471" s="27" t="s">
        <v>68</v>
      </c>
      <c r="L471" s="16"/>
      <c r="M471" s="26" t="s">
        <v>4464</v>
      </c>
      <c r="N471" s="23" t="s">
        <v>34</v>
      </c>
      <c r="O471" s="22"/>
    </row>
    <row r="472" ht="33" spans="1:15">
      <c r="A472" s="13">
        <v>471</v>
      </c>
      <c r="B472" s="14">
        <v>45922</v>
      </c>
      <c r="C472" s="16" t="s">
        <v>68</v>
      </c>
      <c r="D472" s="16" t="str">
        <f>VLOOKUP(E472,[1]Sheet3!A:B,2,0)</f>
        <v>洗衣机</v>
      </c>
      <c r="E472" s="16" t="s">
        <v>35</v>
      </c>
      <c r="F472" s="16" t="s">
        <v>28</v>
      </c>
      <c r="G472" s="25" t="s">
        <v>4473</v>
      </c>
      <c r="H472" s="16" t="s">
        <v>4474</v>
      </c>
      <c r="I472" s="16"/>
      <c r="J472" s="26" t="s">
        <v>4463</v>
      </c>
      <c r="K472" s="27" t="s">
        <v>68</v>
      </c>
      <c r="L472" s="16"/>
      <c r="M472" s="26" t="s">
        <v>4464</v>
      </c>
      <c r="N472" s="23" t="s">
        <v>34</v>
      </c>
      <c r="O472" s="22"/>
    </row>
    <row r="473" spans="1:15">
      <c r="A473" s="13">
        <v>472</v>
      </c>
      <c r="B473" s="14">
        <v>45922</v>
      </c>
      <c r="C473" s="16" t="s">
        <v>49</v>
      </c>
      <c r="D473" s="16" t="str">
        <f>VLOOKUP(E473,[1]Sheet3!A:B,2,0)</f>
        <v>洗衣机</v>
      </c>
      <c r="E473" s="16" t="s">
        <v>27</v>
      </c>
      <c r="F473" s="16" t="s">
        <v>28</v>
      </c>
      <c r="G473" s="25" t="s">
        <v>4475</v>
      </c>
      <c r="H473" s="16" t="s">
        <v>4476</v>
      </c>
      <c r="I473" s="16"/>
      <c r="J473" s="26" t="s">
        <v>4477</v>
      </c>
      <c r="K473" s="27" t="s">
        <v>49</v>
      </c>
      <c r="L473" s="16"/>
      <c r="M473" s="26" t="s">
        <v>4478</v>
      </c>
      <c r="N473" s="23" t="s">
        <v>34</v>
      </c>
      <c r="O473" s="22"/>
    </row>
    <row r="474" ht="33" spans="1:15">
      <c r="A474" s="13">
        <v>473</v>
      </c>
      <c r="B474" s="14">
        <v>45923</v>
      </c>
      <c r="C474" s="16" t="s">
        <v>68</v>
      </c>
      <c r="D474" s="16" t="e">
        <f>VLOOKUP(E474,[1]Sheet3!A:B,2,0)</f>
        <v>#N/A</v>
      </c>
      <c r="E474" s="16" t="s">
        <v>4479</v>
      </c>
      <c r="F474" s="16" t="s">
        <v>28</v>
      </c>
      <c r="G474" s="25" t="s">
        <v>4480</v>
      </c>
      <c r="H474" s="16" t="s">
        <v>4481</v>
      </c>
      <c r="I474" s="16"/>
      <c r="J474" s="26" t="s">
        <v>4482</v>
      </c>
      <c r="K474" s="27" t="s">
        <v>32</v>
      </c>
      <c r="L474" s="16"/>
      <c r="M474" s="26" t="s">
        <v>4483</v>
      </c>
      <c r="N474" s="23" t="s">
        <v>34</v>
      </c>
      <c r="O474" s="22"/>
    </row>
    <row r="475" ht="78" customHeight="1" spans="1:15">
      <c r="A475" s="13">
        <v>474</v>
      </c>
      <c r="B475" s="14">
        <v>45923</v>
      </c>
      <c r="C475" s="16" t="s">
        <v>68</v>
      </c>
      <c r="D475" s="16" t="str">
        <f>VLOOKUP(E475,[1]Sheet3!A:B,2,0)</f>
        <v>洗衣机</v>
      </c>
      <c r="E475" s="16" t="s">
        <v>27</v>
      </c>
      <c r="F475" s="16" t="s">
        <v>28</v>
      </c>
      <c r="G475" s="25" t="s">
        <v>4484</v>
      </c>
      <c r="H475" s="16" t="s">
        <v>4485</v>
      </c>
      <c r="I475" s="16"/>
      <c r="J475" s="26" t="s">
        <v>4482</v>
      </c>
      <c r="K475" s="27" t="s">
        <v>32</v>
      </c>
      <c r="L475" s="16"/>
      <c r="M475" s="26" t="s">
        <v>4483</v>
      </c>
      <c r="N475" s="23" t="s">
        <v>34</v>
      </c>
      <c r="O475" s="22"/>
    </row>
    <row r="476" ht="66" spans="1:15">
      <c r="A476" s="13">
        <v>475</v>
      </c>
      <c r="B476" s="14">
        <v>45923</v>
      </c>
      <c r="C476" s="16" t="s">
        <v>49</v>
      </c>
      <c r="D476" s="16" t="str">
        <f>VLOOKUP(E476,[1]Sheet3!A:B,2,0)</f>
        <v>冰箱</v>
      </c>
      <c r="E476" s="16" t="s">
        <v>41</v>
      </c>
      <c r="F476" s="16" t="s">
        <v>28</v>
      </c>
      <c r="G476" s="25" t="s">
        <v>4475</v>
      </c>
      <c r="H476" s="16" t="s">
        <v>4486</v>
      </c>
      <c r="I476" s="16"/>
      <c r="J476" s="26" t="s">
        <v>4487</v>
      </c>
      <c r="K476" s="27" t="s">
        <v>49</v>
      </c>
      <c r="L476" s="16"/>
      <c r="M476" s="26" t="s">
        <v>4488</v>
      </c>
      <c r="N476" s="23" t="s">
        <v>34</v>
      </c>
      <c r="O476" s="22"/>
    </row>
    <row r="477" ht="33" spans="1:15">
      <c r="A477" s="13">
        <v>476</v>
      </c>
      <c r="B477" s="14">
        <v>45923</v>
      </c>
      <c r="C477" s="16" t="s">
        <v>68</v>
      </c>
      <c r="D477" s="16" t="str">
        <f>VLOOKUP(E477,[1]Sheet3!A:B,2,0)</f>
        <v>冰箱</v>
      </c>
      <c r="E477" s="16" t="s">
        <v>41</v>
      </c>
      <c r="F477" s="16" t="s">
        <v>28</v>
      </c>
      <c r="G477" s="25" t="s">
        <v>4489</v>
      </c>
      <c r="H477" s="16" t="s">
        <v>4490</v>
      </c>
      <c r="I477" s="16"/>
      <c r="J477" s="26" t="s">
        <v>4482</v>
      </c>
      <c r="K477" s="27" t="s">
        <v>68</v>
      </c>
      <c r="L477" s="16"/>
      <c r="M477" s="26" t="s">
        <v>4491</v>
      </c>
      <c r="N477" s="23" t="s">
        <v>34</v>
      </c>
      <c r="O477" s="22"/>
    </row>
    <row r="478" ht="66" spans="1:15">
      <c r="A478" s="13">
        <v>477</v>
      </c>
      <c r="B478" s="14">
        <v>45923</v>
      </c>
      <c r="C478" s="16" t="s">
        <v>49</v>
      </c>
      <c r="D478" s="16" t="str">
        <f>VLOOKUP(E478,[1]Sheet3!A:B,2,0)</f>
        <v>洗衣机</v>
      </c>
      <c r="E478" s="16" t="s">
        <v>35</v>
      </c>
      <c r="F478" s="16" t="s">
        <v>28</v>
      </c>
      <c r="G478" s="25" t="s">
        <v>4492</v>
      </c>
      <c r="H478" s="16" t="s">
        <v>4493</v>
      </c>
      <c r="I478" s="16"/>
      <c r="J478" s="26" t="s">
        <v>4487</v>
      </c>
      <c r="K478" s="27" t="s">
        <v>49</v>
      </c>
      <c r="L478" s="16"/>
      <c r="M478" s="26" t="s">
        <v>4494</v>
      </c>
      <c r="N478" s="23" t="s">
        <v>34</v>
      </c>
      <c r="O478" s="22"/>
    </row>
    <row r="479" spans="1:15">
      <c r="A479" s="13">
        <v>478</v>
      </c>
      <c r="B479" s="14">
        <v>45923</v>
      </c>
      <c r="C479" s="16" t="s">
        <v>49</v>
      </c>
      <c r="D479" s="16" t="str">
        <f>VLOOKUP(E479,[1]Sheet3!A:B,2,0)</f>
        <v>厨热</v>
      </c>
      <c r="E479" s="16" t="s">
        <v>154</v>
      </c>
      <c r="F479" s="16" t="s">
        <v>28</v>
      </c>
      <c r="G479" s="25" t="s">
        <v>4495</v>
      </c>
      <c r="H479" s="16" t="s">
        <v>4496</v>
      </c>
      <c r="I479" s="16"/>
      <c r="J479" s="26" t="s">
        <v>4497</v>
      </c>
      <c r="K479" s="27" t="s">
        <v>49</v>
      </c>
      <c r="L479" s="16"/>
      <c r="M479" s="26" t="s">
        <v>4498</v>
      </c>
      <c r="N479" s="23" t="s">
        <v>34</v>
      </c>
      <c r="O479" s="22"/>
    </row>
    <row r="480" ht="33" spans="1:15">
      <c r="A480" s="13">
        <v>479</v>
      </c>
      <c r="B480" s="14">
        <v>45924</v>
      </c>
      <c r="C480" s="16" t="s">
        <v>25</v>
      </c>
      <c r="D480" s="16" t="str">
        <f>VLOOKUP(E480,[1]Sheet3!A:B,2,0)</f>
        <v>洗衣机</v>
      </c>
      <c r="E480" s="16" t="s">
        <v>27</v>
      </c>
      <c r="F480" s="16" t="s">
        <v>28</v>
      </c>
      <c r="G480" s="25" t="s">
        <v>4499</v>
      </c>
      <c r="H480" s="16" t="s">
        <v>4500</v>
      </c>
      <c r="I480" s="16"/>
      <c r="J480" s="26" t="s">
        <v>4501</v>
      </c>
      <c r="K480" s="27" t="s">
        <v>92</v>
      </c>
      <c r="L480" s="16"/>
      <c r="M480" s="26" t="s">
        <v>4502</v>
      </c>
      <c r="N480" s="23" t="s">
        <v>34</v>
      </c>
      <c r="O480" s="22"/>
    </row>
    <row r="481" spans="1:15">
      <c r="A481" s="13">
        <v>480</v>
      </c>
      <c r="B481" s="14">
        <v>45924</v>
      </c>
      <c r="C481" s="16" t="s">
        <v>49</v>
      </c>
      <c r="D481" s="16" t="str">
        <f>VLOOKUP(E481,[1]Sheet3!A:B,2,0)</f>
        <v>厨热</v>
      </c>
      <c r="E481" s="16" t="s">
        <v>411</v>
      </c>
      <c r="F481" s="16" t="s">
        <v>28</v>
      </c>
      <c r="G481" s="25" t="s">
        <v>4503</v>
      </c>
      <c r="H481" s="16" t="s">
        <v>4504</v>
      </c>
      <c r="I481" s="16"/>
      <c r="J481" s="26" t="s">
        <v>4505</v>
      </c>
      <c r="K481" s="27" t="s">
        <v>49</v>
      </c>
      <c r="L481" s="16"/>
      <c r="M481" s="26" t="s">
        <v>4506</v>
      </c>
      <c r="N481" s="23" t="s">
        <v>34</v>
      </c>
      <c r="O481" s="22"/>
    </row>
    <row r="482" spans="1:15">
      <c r="A482" s="13">
        <v>481</v>
      </c>
      <c r="B482" s="14">
        <v>45924</v>
      </c>
      <c r="C482" s="16" t="s">
        <v>68</v>
      </c>
      <c r="D482" s="16" t="str">
        <f>VLOOKUP(E482,[1]Sheet3!A:B,2,0)</f>
        <v>厨热</v>
      </c>
      <c r="E482" s="16" t="s">
        <v>411</v>
      </c>
      <c r="F482" s="16" t="s">
        <v>28</v>
      </c>
      <c r="G482" s="25" t="s">
        <v>4507</v>
      </c>
      <c r="H482" s="16" t="s">
        <v>4508</v>
      </c>
      <c r="I482" s="16"/>
      <c r="J482" s="26" t="s">
        <v>4509</v>
      </c>
      <c r="K482" s="27" t="s">
        <v>24</v>
      </c>
      <c r="L482" s="16"/>
      <c r="M482" s="26" t="s">
        <v>4510</v>
      </c>
      <c r="N482" s="23" t="s">
        <v>34</v>
      </c>
      <c r="O482" s="22"/>
    </row>
    <row r="483" ht="33" spans="1:15">
      <c r="A483" s="13">
        <v>482</v>
      </c>
      <c r="B483" s="14">
        <v>45925</v>
      </c>
      <c r="C483" s="16" t="s">
        <v>25</v>
      </c>
      <c r="D483" s="16" t="str">
        <f>VLOOKUP(E483,[1]Sheet3!A:B,2,0)</f>
        <v>微波和清洁</v>
      </c>
      <c r="E483" s="16" t="s">
        <v>223</v>
      </c>
      <c r="F483" s="16" t="s">
        <v>28</v>
      </c>
      <c r="G483" s="25" t="s">
        <v>4511</v>
      </c>
      <c r="H483" s="16" t="s">
        <v>4512</v>
      </c>
      <c r="I483" s="16"/>
      <c r="J483" s="26" t="s">
        <v>4513</v>
      </c>
      <c r="K483" s="27" t="s">
        <v>355</v>
      </c>
      <c r="L483" s="16"/>
      <c r="M483" s="26" t="s">
        <v>4514</v>
      </c>
      <c r="N483" s="23" t="s">
        <v>34</v>
      </c>
      <c r="O483" s="22"/>
    </row>
    <row r="484" spans="1:15">
      <c r="A484" s="13">
        <v>483</v>
      </c>
      <c r="B484" s="14">
        <v>45925</v>
      </c>
      <c r="C484" s="16" t="s">
        <v>49</v>
      </c>
      <c r="D484" s="16" t="str">
        <f>VLOOKUP(E484,[1]Sheet3!A:B,2,0)</f>
        <v>洗衣机</v>
      </c>
      <c r="E484" s="16" t="s">
        <v>27</v>
      </c>
      <c r="F484" s="16" t="s">
        <v>28</v>
      </c>
      <c r="G484" s="25" t="s">
        <v>4515</v>
      </c>
      <c r="H484" s="16" t="s">
        <v>4516</v>
      </c>
      <c r="I484" s="16"/>
      <c r="J484" s="26" t="s">
        <v>4517</v>
      </c>
      <c r="K484" s="27" t="s">
        <v>49</v>
      </c>
      <c r="L484" s="16"/>
      <c r="M484" s="26" t="s">
        <v>4518</v>
      </c>
      <c r="N484" s="23" t="s">
        <v>34</v>
      </c>
      <c r="O484" s="22"/>
    </row>
    <row r="485" ht="33" spans="1:15">
      <c r="A485" s="13">
        <v>484</v>
      </c>
      <c r="B485" s="14">
        <v>45926</v>
      </c>
      <c r="C485" s="16" t="s">
        <v>68</v>
      </c>
      <c r="D485" s="16" t="str">
        <f>VLOOKUP(E485,[1]Sheet3!A:B,2,0)</f>
        <v>冰箱</v>
      </c>
      <c r="E485" s="16" t="s">
        <v>41</v>
      </c>
      <c r="F485" s="16" t="s">
        <v>28</v>
      </c>
      <c r="G485" s="25" t="s">
        <v>4519</v>
      </c>
      <c r="H485" s="16" t="s">
        <v>4520</v>
      </c>
      <c r="I485" s="16"/>
      <c r="J485" s="26" t="s">
        <v>4521</v>
      </c>
      <c r="K485" s="27" t="s">
        <v>68</v>
      </c>
      <c r="L485" s="16"/>
      <c r="M485" s="26" t="s">
        <v>4522</v>
      </c>
      <c r="N485" s="23" t="s">
        <v>34</v>
      </c>
      <c r="O485" s="22"/>
    </row>
    <row r="486" spans="1:15">
      <c r="A486" s="13">
        <v>485</v>
      </c>
      <c r="B486" s="14">
        <v>45926</v>
      </c>
      <c r="C486" s="16" t="s">
        <v>49</v>
      </c>
      <c r="D486" s="16" t="str">
        <f>VLOOKUP(E486,[1]Sheet3!A:B,2,0)</f>
        <v>厨热</v>
      </c>
      <c r="E486" s="16" t="s">
        <v>154</v>
      </c>
      <c r="F486" s="16" t="s">
        <v>28</v>
      </c>
      <c r="G486" s="25" t="s">
        <v>4523</v>
      </c>
      <c r="H486" s="16" t="s">
        <v>4524</v>
      </c>
      <c r="I486" s="16"/>
      <c r="J486" s="26" t="s">
        <v>4525</v>
      </c>
      <c r="K486" s="27" t="s">
        <v>49</v>
      </c>
      <c r="L486" s="16"/>
      <c r="M486" s="26" t="s">
        <v>4526</v>
      </c>
      <c r="N486" s="23" t="s">
        <v>34</v>
      </c>
      <c r="O486" s="22"/>
    </row>
    <row r="487" ht="51" customHeight="1" spans="1:15">
      <c r="A487" s="13">
        <v>486</v>
      </c>
      <c r="B487" s="14">
        <v>45926</v>
      </c>
      <c r="C487" s="16" t="s">
        <v>3116</v>
      </c>
      <c r="D487" s="16" t="str">
        <f>VLOOKUP(E487,[1]Sheet3!A:B,2,0)</f>
        <v>洗衣机</v>
      </c>
      <c r="E487" s="16" t="s">
        <v>27</v>
      </c>
      <c r="F487" s="16" t="s">
        <v>28</v>
      </c>
      <c r="G487" s="25" t="s">
        <v>4527</v>
      </c>
      <c r="H487" s="16" t="s">
        <v>4528</v>
      </c>
      <c r="I487" s="16"/>
      <c r="J487" s="32" t="s">
        <v>4529</v>
      </c>
      <c r="K487" s="27" t="s">
        <v>355</v>
      </c>
      <c r="L487" s="16"/>
      <c r="M487" s="26" t="s">
        <v>4530</v>
      </c>
      <c r="N487" s="23" t="s">
        <v>34</v>
      </c>
      <c r="O487" s="22"/>
    </row>
    <row r="488" ht="91" customHeight="1" spans="1:15">
      <c r="A488" s="13">
        <v>487</v>
      </c>
      <c r="B488" s="14">
        <v>45926</v>
      </c>
      <c r="C488" s="16" t="s">
        <v>3116</v>
      </c>
      <c r="D488" s="16" t="str">
        <f>VLOOKUP(E488,[1]Sheet3!A:B,2,0)</f>
        <v>洗衣机</v>
      </c>
      <c r="E488" s="16" t="s">
        <v>27</v>
      </c>
      <c r="F488" s="16" t="s">
        <v>28</v>
      </c>
      <c r="G488" s="25" t="s">
        <v>4531</v>
      </c>
      <c r="H488" s="16" t="s">
        <v>4532</v>
      </c>
      <c r="I488" s="16"/>
      <c r="J488" s="35"/>
      <c r="K488" s="27" t="s">
        <v>355</v>
      </c>
      <c r="L488" s="16"/>
      <c r="M488" s="26" t="s">
        <v>4533</v>
      </c>
      <c r="N488" s="23" t="s">
        <v>34</v>
      </c>
      <c r="O488" s="22"/>
    </row>
    <row r="489" ht="33" spans="1:15">
      <c r="A489" s="13">
        <v>488</v>
      </c>
      <c r="B489" s="14">
        <v>45926</v>
      </c>
      <c r="C489" s="16" t="s">
        <v>49</v>
      </c>
      <c r="D489" s="16" t="str">
        <f>VLOOKUP(E489,[1]Sheet3!A:B,2,0)</f>
        <v>厨热</v>
      </c>
      <c r="E489" s="16" t="s">
        <v>411</v>
      </c>
      <c r="F489" s="16" t="s">
        <v>28</v>
      </c>
      <c r="G489" s="25" t="s">
        <v>4534</v>
      </c>
      <c r="H489" s="16" t="s">
        <v>4535</v>
      </c>
      <c r="I489" s="16"/>
      <c r="J489" s="26" t="s">
        <v>4536</v>
      </c>
      <c r="K489" s="27" t="s">
        <v>49</v>
      </c>
      <c r="L489" s="16"/>
      <c r="M489" s="26" t="s">
        <v>4537</v>
      </c>
      <c r="N489" s="23" t="s">
        <v>34</v>
      </c>
      <c r="O489" s="22"/>
    </row>
    <row r="490" spans="1:15">
      <c r="A490" s="13">
        <v>489</v>
      </c>
      <c r="B490" s="14">
        <v>45926</v>
      </c>
      <c r="C490" s="16" t="s">
        <v>49</v>
      </c>
      <c r="D490" s="16" t="str">
        <f>VLOOKUP(E490,[1]Sheet3!A:B,2,0)</f>
        <v>冰箱</v>
      </c>
      <c r="E490" s="16" t="s">
        <v>41</v>
      </c>
      <c r="F490" s="16" t="s">
        <v>28</v>
      </c>
      <c r="G490" s="25" t="s">
        <v>4538</v>
      </c>
      <c r="H490" s="16" t="s">
        <v>4539</v>
      </c>
      <c r="I490" s="16"/>
      <c r="J490" s="26" t="s">
        <v>4525</v>
      </c>
      <c r="K490" s="27" t="s">
        <v>49</v>
      </c>
      <c r="L490" s="16"/>
      <c r="M490" s="26" t="s">
        <v>4540</v>
      </c>
      <c r="N490" s="23" t="s">
        <v>34</v>
      </c>
      <c r="O490" s="22"/>
    </row>
    <row r="491" spans="1:15">
      <c r="A491" s="13">
        <v>490</v>
      </c>
      <c r="B491" s="14">
        <v>45926</v>
      </c>
      <c r="C491" s="16" t="s">
        <v>49</v>
      </c>
      <c r="D491" s="16" t="str">
        <f>VLOOKUP(E491,[1]Sheet3!A:B,2,0)</f>
        <v>冰箱</v>
      </c>
      <c r="E491" s="16" t="s">
        <v>41</v>
      </c>
      <c r="F491" s="16" t="s">
        <v>28</v>
      </c>
      <c r="G491" s="25" t="s">
        <v>4541</v>
      </c>
      <c r="H491" s="16" t="s">
        <v>4542</v>
      </c>
      <c r="I491" s="16"/>
      <c r="J491" s="26" t="s">
        <v>4525</v>
      </c>
      <c r="K491" s="27" t="s">
        <v>49</v>
      </c>
      <c r="L491" s="16"/>
      <c r="M491" s="26" t="s">
        <v>4540</v>
      </c>
      <c r="N491" s="23" t="s">
        <v>34</v>
      </c>
      <c r="O491" s="22"/>
    </row>
    <row r="492" ht="99" spans="1:15">
      <c r="A492" s="13">
        <v>491</v>
      </c>
      <c r="B492" s="14">
        <v>45926</v>
      </c>
      <c r="C492" s="16" t="s">
        <v>25</v>
      </c>
      <c r="D492" s="16" t="str">
        <f>VLOOKUP(E492,[1]Sheet3!A:B,2,0)</f>
        <v>冰箱</v>
      </c>
      <c r="E492" s="16" t="s">
        <v>41</v>
      </c>
      <c r="F492" s="16" t="s">
        <v>28</v>
      </c>
      <c r="G492" s="25" t="s">
        <v>4543</v>
      </c>
      <c r="H492" s="16" t="s">
        <v>4544</v>
      </c>
      <c r="I492" s="16"/>
      <c r="J492" s="26" t="s">
        <v>4545</v>
      </c>
      <c r="K492" s="27" t="s">
        <v>24</v>
      </c>
      <c r="L492" s="16"/>
      <c r="M492" s="26" t="s">
        <v>4546</v>
      </c>
      <c r="N492" s="23" t="s">
        <v>34</v>
      </c>
      <c r="O492" s="22"/>
    </row>
    <row r="493" spans="1:15">
      <c r="A493" s="13">
        <v>492</v>
      </c>
      <c r="B493" s="14">
        <v>45926</v>
      </c>
      <c r="C493" s="16" t="s">
        <v>25</v>
      </c>
      <c r="D493" s="16" t="str">
        <f>VLOOKUP(E493,[1]Sheet3!A:B,2,0)</f>
        <v>冰箱</v>
      </c>
      <c r="E493" s="16" t="s">
        <v>41</v>
      </c>
      <c r="F493" s="16" t="s">
        <v>28</v>
      </c>
      <c r="G493" s="25" t="s">
        <v>4547</v>
      </c>
      <c r="H493" s="16" t="s">
        <v>4548</v>
      </c>
      <c r="I493" s="16"/>
      <c r="J493" s="26" t="s">
        <v>4549</v>
      </c>
      <c r="K493" s="27" t="s">
        <v>24</v>
      </c>
      <c r="L493" s="16"/>
      <c r="M493" s="26" t="s">
        <v>4550</v>
      </c>
      <c r="N493" s="23" t="s">
        <v>34</v>
      </c>
      <c r="O493" s="22"/>
    </row>
    <row r="494" spans="1:15">
      <c r="A494" s="13">
        <v>493</v>
      </c>
      <c r="B494" s="14">
        <v>45926</v>
      </c>
      <c r="C494" s="16" t="s">
        <v>25</v>
      </c>
      <c r="D494" s="16" t="str">
        <f>VLOOKUP(E494,[1]Sheet3!A:B,2,0)</f>
        <v>冰箱</v>
      </c>
      <c r="E494" s="16" t="s">
        <v>41</v>
      </c>
      <c r="F494" s="16" t="s">
        <v>28</v>
      </c>
      <c r="G494" s="25" t="s">
        <v>4551</v>
      </c>
      <c r="H494" s="16" t="s">
        <v>4552</v>
      </c>
      <c r="I494" s="16"/>
      <c r="J494" s="26" t="s">
        <v>4549</v>
      </c>
      <c r="K494" s="27" t="s">
        <v>24</v>
      </c>
      <c r="L494" s="16"/>
      <c r="M494" s="26" t="s">
        <v>4553</v>
      </c>
      <c r="N494" s="23" t="s">
        <v>34</v>
      </c>
      <c r="O494" s="22"/>
    </row>
    <row r="495" spans="1:15">
      <c r="A495" s="13">
        <v>494</v>
      </c>
      <c r="B495" s="14">
        <v>45926</v>
      </c>
      <c r="C495" s="16" t="s">
        <v>49</v>
      </c>
      <c r="D495" s="16" t="str">
        <f>VLOOKUP(E495,[1]Sheet3!A:B,2,0)</f>
        <v>冰箱</v>
      </c>
      <c r="E495" s="16" t="s">
        <v>41</v>
      </c>
      <c r="F495" s="16" t="s">
        <v>28</v>
      </c>
      <c r="G495" s="25" t="s">
        <v>4554</v>
      </c>
      <c r="H495" s="16">
        <v>278292009</v>
      </c>
      <c r="I495" s="16"/>
      <c r="J495" s="26" t="s">
        <v>4525</v>
      </c>
      <c r="K495" s="27" t="s">
        <v>24</v>
      </c>
      <c r="L495" s="16"/>
      <c r="M495" s="26" t="s">
        <v>4540</v>
      </c>
      <c r="N495" s="23" t="s">
        <v>34</v>
      </c>
      <c r="O495" s="22"/>
    </row>
    <row r="496" ht="49.5" spans="1:15">
      <c r="A496" s="13">
        <v>495</v>
      </c>
      <c r="B496" s="14">
        <v>45927</v>
      </c>
      <c r="C496" s="16" t="s">
        <v>49</v>
      </c>
      <c r="D496" s="16" t="str">
        <f>VLOOKUP(E496,[1]Sheet3!A:B,2,0)</f>
        <v>微波和清洁</v>
      </c>
      <c r="E496" s="16" t="s">
        <v>223</v>
      </c>
      <c r="F496" s="16" t="s">
        <v>28</v>
      </c>
      <c r="G496" s="25" t="s">
        <v>4555</v>
      </c>
      <c r="H496" s="16" t="s">
        <v>4556</v>
      </c>
      <c r="I496" s="16"/>
      <c r="J496" s="26" t="s">
        <v>4557</v>
      </c>
      <c r="K496" s="27" t="s">
        <v>49</v>
      </c>
      <c r="L496" s="16"/>
      <c r="M496" s="26" t="s">
        <v>4558</v>
      </c>
      <c r="N496" s="23" t="s">
        <v>34</v>
      </c>
      <c r="O496" s="22"/>
    </row>
    <row r="497" ht="142" customHeight="1" spans="1:15">
      <c r="A497" s="13">
        <v>496</v>
      </c>
      <c r="B497" s="14">
        <v>45927</v>
      </c>
      <c r="C497" s="16" t="s">
        <v>3116</v>
      </c>
      <c r="D497" s="16" t="str">
        <f>VLOOKUP(E497,[1]Sheet3!A:B,2,0)</f>
        <v>工业技术</v>
      </c>
      <c r="E497" s="16" t="s">
        <v>416</v>
      </c>
      <c r="F497" s="16" t="s">
        <v>28</v>
      </c>
      <c r="G497" s="25" t="s">
        <v>4559</v>
      </c>
      <c r="H497" s="16" t="s">
        <v>4560</v>
      </c>
      <c r="I497" s="16"/>
      <c r="J497" s="26" t="s">
        <v>4561</v>
      </c>
      <c r="K497" s="27" t="s">
        <v>24</v>
      </c>
      <c r="L497" s="16"/>
      <c r="M497" s="26" t="s">
        <v>4562</v>
      </c>
      <c r="N497" s="23" t="s">
        <v>34</v>
      </c>
      <c r="O497" s="22"/>
    </row>
    <row r="498" spans="1:15">
      <c r="A498" s="13">
        <v>497</v>
      </c>
      <c r="B498" s="14">
        <v>45927</v>
      </c>
      <c r="C498" s="16" t="s">
        <v>49</v>
      </c>
      <c r="D498" s="16" t="str">
        <f>VLOOKUP(E498,[1]Sheet3!A:B,2,0)</f>
        <v>冰箱</v>
      </c>
      <c r="E498" s="16" t="s">
        <v>41</v>
      </c>
      <c r="F498" s="16" t="s">
        <v>28</v>
      </c>
      <c r="G498" s="25" t="s">
        <v>4563</v>
      </c>
      <c r="H498" s="16" t="s">
        <v>4564</v>
      </c>
      <c r="I498" s="16"/>
      <c r="J498" s="26" t="s">
        <v>4565</v>
      </c>
      <c r="K498" s="27" t="s">
        <v>49</v>
      </c>
      <c r="L498" s="16"/>
      <c r="M498" s="26" t="s">
        <v>4566</v>
      </c>
      <c r="N498" s="23" t="s">
        <v>34</v>
      </c>
      <c r="O498" s="22"/>
    </row>
    <row r="499" spans="1:15">
      <c r="A499" s="13">
        <v>498</v>
      </c>
      <c r="B499" s="14">
        <v>45927</v>
      </c>
      <c r="C499" s="16" t="s">
        <v>68</v>
      </c>
      <c r="D499" s="16" t="str">
        <f>VLOOKUP(E499,[1]Sheet3!A:B,2,0)</f>
        <v>冰箱</v>
      </c>
      <c r="E499" s="16" t="s">
        <v>148</v>
      </c>
      <c r="F499" s="16" t="s">
        <v>28</v>
      </c>
      <c r="G499" s="25" t="s">
        <v>4567</v>
      </c>
      <c r="H499" s="16" t="s">
        <v>4568</v>
      </c>
      <c r="I499" s="16"/>
      <c r="J499" s="26" t="s">
        <v>4536</v>
      </c>
      <c r="K499" s="27" t="s">
        <v>24</v>
      </c>
      <c r="L499" s="16"/>
      <c r="M499" s="26" t="s">
        <v>4569</v>
      </c>
      <c r="N499" s="23" t="s">
        <v>34</v>
      </c>
      <c r="O499" s="22"/>
    </row>
    <row r="500" spans="1:15">
      <c r="A500" s="13">
        <v>499</v>
      </c>
      <c r="B500" s="14">
        <v>45927</v>
      </c>
      <c r="C500" s="16" t="s">
        <v>68</v>
      </c>
      <c r="D500" s="16" t="str">
        <f>VLOOKUP(E500,[1]Sheet3!A:B,2,0)</f>
        <v>冰箱</v>
      </c>
      <c r="E500" s="16" t="s">
        <v>41</v>
      </c>
      <c r="F500" s="16" t="s">
        <v>28</v>
      </c>
      <c r="G500" s="25" t="s">
        <v>4570</v>
      </c>
      <c r="H500" s="16">
        <v>285357258</v>
      </c>
      <c r="I500" s="16"/>
      <c r="J500" s="26" t="s">
        <v>4536</v>
      </c>
      <c r="K500" s="27" t="s">
        <v>24</v>
      </c>
      <c r="L500" s="16"/>
      <c r="M500" s="26" t="s">
        <v>4571</v>
      </c>
      <c r="N500" s="23" t="s">
        <v>34</v>
      </c>
      <c r="O500" s="22"/>
    </row>
    <row r="501" spans="1:15">
      <c r="A501" s="13">
        <v>500</v>
      </c>
      <c r="B501" s="14">
        <v>45927</v>
      </c>
      <c r="C501" s="16" t="s">
        <v>68</v>
      </c>
      <c r="D501" s="16" t="str">
        <f>VLOOKUP(E501,[1]Sheet3!A:B,2,0)</f>
        <v>冰箱</v>
      </c>
      <c r="E501" s="16" t="s">
        <v>41</v>
      </c>
      <c r="F501" s="16" t="s">
        <v>28</v>
      </c>
      <c r="G501" s="25" t="s">
        <v>4572</v>
      </c>
      <c r="H501" s="16" t="s">
        <v>4573</v>
      </c>
      <c r="I501" s="16"/>
      <c r="J501" s="26" t="s">
        <v>4574</v>
      </c>
      <c r="K501" s="27" t="s">
        <v>24</v>
      </c>
      <c r="L501" s="16"/>
      <c r="M501" s="26" t="s">
        <v>4571</v>
      </c>
      <c r="N501" s="23" t="s">
        <v>34</v>
      </c>
      <c r="O501" s="22"/>
    </row>
    <row r="502" ht="49.5" spans="1:15">
      <c r="A502" s="13">
        <v>501</v>
      </c>
      <c r="B502" s="14">
        <v>45928</v>
      </c>
      <c r="C502" s="16" t="s">
        <v>25</v>
      </c>
      <c r="D502" s="16" t="str">
        <f>VLOOKUP(E502,[1]Sheet3!A:B,2,0)</f>
        <v>冰箱</v>
      </c>
      <c r="E502" s="16" t="s">
        <v>41</v>
      </c>
      <c r="F502" s="16" t="s">
        <v>28</v>
      </c>
      <c r="G502" s="25" t="s">
        <v>4575</v>
      </c>
      <c r="H502" s="16" t="s">
        <v>4576</v>
      </c>
      <c r="I502" s="16"/>
      <c r="J502" s="26" t="s">
        <v>4577</v>
      </c>
      <c r="K502" s="27" t="s">
        <v>24</v>
      </c>
      <c r="L502" s="16"/>
      <c r="M502" s="26" t="s">
        <v>4578</v>
      </c>
      <c r="N502" s="23" t="s">
        <v>34</v>
      </c>
      <c r="O502" s="22"/>
    </row>
    <row r="503" spans="1:15">
      <c r="A503" s="13">
        <v>502</v>
      </c>
      <c r="B503" s="14">
        <v>45929</v>
      </c>
      <c r="C503" s="16" t="s">
        <v>68</v>
      </c>
      <c r="D503" s="16" t="str">
        <f>VLOOKUP(E503,[1]Sheet3!A:B,2,0)</f>
        <v>冰箱</v>
      </c>
      <c r="E503" s="16" t="s">
        <v>148</v>
      </c>
      <c r="F503" s="16" t="s">
        <v>28</v>
      </c>
      <c r="G503" s="25" t="s">
        <v>4579</v>
      </c>
      <c r="H503" s="16" t="s">
        <v>4580</v>
      </c>
      <c r="I503" s="16"/>
      <c r="J503" s="26" t="s">
        <v>4581</v>
      </c>
      <c r="K503" s="27" t="s">
        <v>24</v>
      </c>
      <c r="L503" s="16"/>
      <c r="M503" s="26" t="s">
        <v>4582</v>
      </c>
      <c r="N503" s="23" t="s">
        <v>34</v>
      </c>
      <c r="O503" s="22"/>
    </row>
    <row r="504" spans="1:15">
      <c r="A504" s="13">
        <v>503</v>
      </c>
      <c r="B504" s="14">
        <v>45929</v>
      </c>
      <c r="C504" s="16" t="s">
        <v>68</v>
      </c>
      <c r="D504" s="16" t="str">
        <f>VLOOKUP(E504,[1]Sheet3!A:B,2,0)</f>
        <v>冰箱</v>
      </c>
      <c r="E504" s="16" t="s">
        <v>41</v>
      </c>
      <c r="F504" s="16" t="s">
        <v>28</v>
      </c>
      <c r="G504" s="25" t="s">
        <v>4583</v>
      </c>
      <c r="H504" s="16" t="s">
        <v>4584</v>
      </c>
      <c r="I504" s="16"/>
      <c r="J504" s="26" t="s">
        <v>4585</v>
      </c>
      <c r="K504" s="27" t="s">
        <v>24</v>
      </c>
      <c r="L504" s="16"/>
      <c r="M504" s="26" t="s">
        <v>4586</v>
      </c>
      <c r="N504" s="23" t="s">
        <v>34</v>
      </c>
      <c r="O504" s="22"/>
    </row>
    <row r="505" spans="1:15">
      <c r="A505" s="13">
        <v>504</v>
      </c>
      <c r="B505" s="14">
        <v>45929</v>
      </c>
      <c r="C505" s="16" t="s">
        <v>49</v>
      </c>
      <c r="D505" s="16" t="str">
        <f>VLOOKUP(E505,[1]Sheet3!A:B,2,0)</f>
        <v>冰箱</v>
      </c>
      <c r="E505" s="16" t="s">
        <v>41</v>
      </c>
      <c r="F505" s="16" t="s">
        <v>28</v>
      </c>
      <c r="G505" s="25" t="s">
        <v>4587</v>
      </c>
      <c r="H505" s="16" t="s">
        <v>4588</v>
      </c>
      <c r="I505" s="16"/>
      <c r="J505" s="26" t="s">
        <v>4589</v>
      </c>
      <c r="K505" s="27" t="s">
        <v>49</v>
      </c>
      <c r="L505" s="16"/>
      <c r="M505" s="26" t="s">
        <v>4590</v>
      </c>
      <c r="N505" s="23" t="s">
        <v>34</v>
      </c>
      <c r="O505" s="22"/>
    </row>
    <row r="506" spans="1:15">
      <c r="A506" s="13">
        <v>505</v>
      </c>
      <c r="B506" s="14">
        <v>45929</v>
      </c>
      <c r="C506" s="16" t="s">
        <v>49</v>
      </c>
      <c r="D506" s="16" t="str">
        <f>VLOOKUP(E506,[1]Sheet3!A:B,2,0)</f>
        <v>采购中心</v>
      </c>
      <c r="E506" s="16" t="s">
        <v>108</v>
      </c>
      <c r="F506" s="16" t="s">
        <v>28</v>
      </c>
      <c r="G506" s="25" t="s">
        <v>4591</v>
      </c>
      <c r="H506" s="16" t="s">
        <v>4592</v>
      </c>
      <c r="I506" s="16"/>
      <c r="J506" s="26" t="s">
        <v>4589</v>
      </c>
      <c r="K506" s="27" t="s">
        <v>49</v>
      </c>
      <c r="L506" s="16"/>
      <c r="M506" s="26" t="s">
        <v>4593</v>
      </c>
      <c r="N506" s="23" t="s">
        <v>34</v>
      </c>
      <c r="O506" s="22"/>
    </row>
    <row r="507" spans="1:15">
      <c r="A507" s="13">
        <v>506</v>
      </c>
      <c r="B507" s="14">
        <v>45929</v>
      </c>
      <c r="C507" s="16" t="s">
        <v>68</v>
      </c>
      <c r="D507" s="16" t="str">
        <f>VLOOKUP(E507,[1]Sheet3!A:B,2,0)</f>
        <v>冰箱</v>
      </c>
      <c r="E507" s="16" t="s">
        <v>41</v>
      </c>
      <c r="F507" s="16" t="s">
        <v>28</v>
      </c>
      <c r="G507" s="116" t="s">
        <v>4594</v>
      </c>
      <c r="H507" s="16" t="s">
        <v>4595</v>
      </c>
      <c r="I507" s="16"/>
      <c r="J507" s="30" t="s">
        <v>4596</v>
      </c>
      <c r="K507" s="27" t="s">
        <v>355</v>
      </c>
      <c r="L507" s="46"/>
      <c r="M507" s="30" t="s">
        <v>4597</v>
      </c>
      <c r="N507" s="23" t="s">
        <v>34</v>
      </c>
      <c r="O507" s="22"/>
    </row>
    <row r="508" spans="1:15">
      <c r="A508" s="13">
        <v>507</v>
      </c>
      <c r="B508" s="14">
        <v>45929</v>
      </c>
      <c r="C508" s="16" t="s">
        <v>68</v>
      </c>
      <c r="D508" s="16" t="str">
        <f>VLOOKUP(E508,[1]Sheet3!A:B,2,0)</f>
        <v>冰箱</v>
      </c>
      <c r="E508" s="16" t="s">
        <v>41</v>
      </c>
      <c r="F508" s="16" t="s">
        <v>28</v>
      </c>
      <c r="G508" s="25" t="s">
        <v>4598</v>
      </c>
      <c r="H508" s="16" t="s">
        <v>4599</v>
      </c>
      <c r="I508" s="16"/>
      <c r="J508" s="39"/>
      <c r="K508" s="27" t="s">
        <v>355</v>
      </c>
      <c r="L508" s="46"/>
      <c r="M508" s="39"/>
      <c r="N508" s="23" t="s">
        <v>34</v>
      </c>
      <c r="O508" s="22"/>
    </row>
    <row r="509" spans="1:15">
      <c r="A509" s="13">
        <v>508</v>
      </c>
      <c r="B509" s="14">
        <v>45929</v>
      </c>
      <c r="C509" s="16" t="s">
        <v>68</v>
      </c>
      <c r="D509" s="16" t="str">
        <f>VLOOKUP(E509,[1]Sheet3!A:B,2,0)</f>
        <v>冰箱</v>
      </c>
      <c r="E509" s="16" t="s">
        <v>148</v>
      </c>
      <c r="F509" s="16" t="s">
        <v>28</v>
      </c>
      <c r="G509" s="25" t="s">
        <v>4600</v>
      </c>
      <c r="H509" s="16" t="s">
        <v>4601</v>
      </c>
      <c r="I509" s="16"/>
      <c r="J509" s="33"/>
      <c r="K509" s="27" t="s">
        <v>355</v>
      </c>
      <c r="L509" s="46"/>
      <c r="M509" s="33"/>
      <c r="N509" s="23" t="s">
        <v>34</v>
      </c>
      <c r="O509" s="22"/>
    </row>
    <row r="510" spans="1:15">
      <c r="A510" s="13">
        <v>509</v>
      </c>
      <c r="B510" s="14">
        <v>45929</v>
      </c>
      <c r="C510" s="16" t="s">
        <v>25</v>
      </c>
      <c r="D510" s="16" t="str">
        <f>VLOOKUP(E510,[1]Sheet3!A:B,2,0)</f>
        <v>洗衣机</v>
      </c>
      <c r="E510" s="16" t="s">
        <v>35</v>
      </c>
      <c r="F510" s="16" t="s">
        <v>28</v>
      </c>
      <c r="G510" s="25" t="s">
        <v>4602</v>
      </c>
      <c r="H510" s="16" t="s">
        <v>4603</v>
      </c>
      <c r="I510" s="16"/>
      <c r="J510" s="26" t="s">
        <v>4604</v>
      </c>
      <c r="K510" s="27" t="s">
        <v>4006</v>
      </c>
      <c r="L510" s="16"/>
      <c r="M510" s="26" t="s">
        <v>4605</v>
      </c>
      <c r="N510" s="23" t="s">
        <v>34</v>
      </c>
      <c r="O510" s="22"/>
    </row>
    <row r="511" ht="33" spans="1:15">
      <c r="A511" s="13">
        <v>510</v>
      </c>
      <c r="B511" s="14">
        <v>45930</v>
      </c>
      <c r="C511" s="16" t="s">
        <v>25</v>
      </c>
      <c r="D511" s="16" t="str">
        <f>VLOOKUP(E511,[1]Sheet3!A:B,2,0)</f>
        <v>洗衣机</v>
      </c>
      <c r="E511" s="16" t="s">
        <v>27</v>
      </c>
      <c r="F511" s="16" t="s">
        <v>28</v>
      </c>
      <c r="G511" s="116" t="s">
        <v>4606</v>
      </c>
      <c r="H511" s="16" t="s">
        <v>4607</v>
      </c>
      <c r="I511" s="16"/>
      <c r="J511" s="26" t="s">
        <v>4608</v>
      </c>
      <c r="K511" s="27" t="s">
        <v>24</v>
      </c>
      <c r="L511" s="16"/>
      <c r="M511" s="26" t="s">
        <v>4609</v>
      </c>
      <c r="N511" s="23" t="s">
        <v>34</v>
      </c>
      <c r="O511" s="22"/>
    </row>
    <row r="512" ht="33" spans="1:15">
      <c r="A512" s="13">
        <v>511</v>
      </c>
      <c r="B512" s="14">
        <v>45930</v>
      </c>
      <c r="C512" s="16" t="s">
        <v>25</v>
      </c>
      <c r="D512" s="16" t="str">
        <f>VLOOKUP(E512,[1]Sheet3!A:B,2,0)</f>
        <v>洗衣机</v>
      </c>
      <c r="E512" s="16" t="s">
        <v>27</v>
      </c>
      <c r="F512" s="16" t="s">
        <v>28</v>
      </c>
      <c r="G512" s="25" t="s">
        <v>4610</v>
      </c>
      <c r="H512" s="16" t="s">
        <v>4611</v>
      </c>
      <c r="I512" s="16"/>
      <c r="J512" s="26" t="s">
        <v>4608</v>
      </c>
      <c r="K512" s="27" t="s">
        <v>24</v>
      </c>
      <c r="L512" s="16"/>
      <c r="M512" s="26" t="s">
        <v>4609</v>
      </c>
      <c r="N512" s="23" t="s">
        <v>34</v>
      </c>
      <c r="O512" s="22"/>
    </row>
    <row r="513" spans="1:15">
      <c r="A513" s="13">
        <v>512</v>
      </c>
      <c r="B513" s="14">
        <v>45930</v>
      </c>
      <c r="C513" s="16" t="s">
        <v>49</v>
      </c>
      <c r="D513" s="16" t="str">
        <f>VLOOKUP(E513,[1]Sheet3!A:B,2,0)</f>
        <v>洗衣机</v>
      </c>
      <c r="E513" s="16" t="s">
        <v>660</v>
      </c>
      <c r="F513" s="16" t="s">
        <v>28</v>
      </c>
      <c r="G513" s="25" t="s">
        <v>4612</v>
      </c>
      <c r="H513" s="16" t="s">
        <v>4613</v>
      </c>
      <c r="I513" s="16"/>
      <c r="J513" s="26" t="s">
        <v>4614</v>
      </c>
      <c r="K513" s="27" t="s">
        <v>49</v>
      </c>
      <c r="L513" s="16"/>
      <c r="M513" s="26" t="s">
        <v>4615</v>
      </c>
      <c r="N513" s="23" t="s">
        <v>34</v>
      </c>
      <c r="O513" s="22"/>
    </row>
    <row r="514" spans="1:15">
      <c r="A514" s="13">
        <v>513</v>
      </c>
      <c r="B514" s="14">
        <v>45930</v>
      </c>
      <c r="C514" s="16" t="s">
        <v>49</v>
      </c>
      <c r="D514" s="16" t="str">
        <f>VLOOKUP(E514,[1]Sheet3!A:B,2,0)</f>
        <v>洗衣机</v>
      </c>
      <c r="E514" s="16" t="s">
        <v>35</v>
      </c>
      <c r="F514" s="16" t="s">
        <v>28</v>
      </c>
      <c r="G514" s="25" t="s">
        <v>4616</v>
      </c>
      <c r="H514" s="16" t="s">
        <v>4617</v>
      </c>
      <c r="I514" s="16"/>
      <c r="J514" s="26" t="s">
        <v>4614</v>
      </c>
      <c r="K514" s="27" t="s">
        <v>49</v>
      </c>
      <c r="L514" s="16"/>
      <c r="M514" s="26" t="s">
        <v>4615</v>
      </c>
      <c r="N514" s="23" t="s">
        <v>34</v>
      </c>
      <c r="O514" s="22"/>
    </row>
    <row r="515" spans="1:15">
      <c r="A515" s="13">
        <v>514</v>
      </c>
      <c r="B515" s="14">
        <v>45930</v>
      </c>
      <c r="C515" s="16" t="s">
        <v>68</v>
      </c>
      <c r="D515" s="16" t="str">
        <f>VLOOKUP(E515,[1]Sheet3!A:B,2,0)</f>
        <v>洗衣机</v>
      </c>
      <c r="E515" s="16" t="s">
        <v>27</v>
      </c>
      <c r="F515" s="16" t="s">
        <v>28</v>
      </c>
      <c r="G515" s="25" t="s">
        <v>4618</v>
      </c>
      <c r="H515" s="16" t="s">
        <v>4619</v>
      </c>
      <c r="I515" s="16"/>
      <c r="J515" s="26" t="s">
        <v>4620</v>
      </c>
      <c r="K515" s="27" t="s">
        <v>32</v>
      </c>
      <c r="L515" s="16"/>
      <c r="M515" s="26" t="s">
        <v>4621</v>
      </c>
      <c r="N515" s="23" t="s">
        <v>34</v>
      </c>
      <c r="O515" s="22"/>
    </row>
    <row r="516" spans="1:15">
      <c r="A516" s="13">
        <v>515</v>
      </c>
      <c r="B516" s="14">
        <v>45930</v>
      </c>
      <c r="C516" s="16" t="s">
        <v>25</v>
      </c>
      <c r="D516" s="16" t="str">
        <f>VLOOKUP(E516,[1]Sheet3!A:B,2,0)</f>
        <v>冰箱</v>
      </c>
      <c r="E516" s="16" t="s">
        <v>41</v>
      </c>
      <c r="F516" s="16" t="s">
        <v>28</v>
      </c>
      <c r="G516" s="25" t="s">
        <v>4622</v>
      </c>
      <c r="H516" s="16" t="s">
        <v>4623</v>
      </c>
      <c r="I516" s="16"/>
      <c r="J516" s="26" t="s">
        <v>4624</v>
      </c>
      <c r="K516" s="27" t="s">
        <v>24</v>
      </c>
      <c r="L516" s="16"/>
      <c r="M516" s="26" t="s">
        <v>4625</v>
      </c>
      <c r="N516" s="23" t="s">
        <v>34</v>
      </c>
      <c r="O516" s="22"/>
    </row>
    <row r="517" ht="33" spans="1:15">
      <c r="A517" s="13">
        <v>516</v>
      </c>
      <c r="B517" s="14">
        <v>45930</v>
      </c>
      <c r="C517" s="16" t="s">
        <v>25</v>
      </c>
      <c r="D517" s="16" t="str">
        <f>VLOOKUP(E517,[1]Sheet3!A:B,2,0)</f>
        <v>洗衣机</v>
      </c>
      <c r="E517" s="16" t="s">
        <v>27</v>
      </c>
      <c r="F517" s="16" t="s">
        <v>28</v>
      </c>
      <c r="G517" s="25" t="s">
        <v>4626</v>
      </c>
      <c r="H517" s="16" t="s">
        <v>4627</v>
      </c>
      <c r="I517" s="16"/>
      <c r="J517" s="26" t="s">
        <v>4628</v>
      </c>
      <c r="K517" s="27" t="s">
        <v>355</v>
      </c>
      <c r="L517" s="16"/>
      <c r="M517" s="26" t="s">
        <v>4629</v>
      </c>
      <c r="N517" s="23" t="s">
        <v>34</v>
      </c>
      <c r="O517" s="22"/>
    </row>
    <row r="518" spans="1:15">
      <c r="A518" s="13">
        <v>517</v>
      </c>
      <c r="B518" s="14">
        <v>45930</v>
      </c>
      <c r="C518" s="16" t="s">
        <v>49</v>
      </c>
      <c r="D518" s="16" t="str">
        <f>VLOOKUP(E518,[1]Sheet3!A:B,2,0)</f>
        <v>冰箱</v>
      </c>
      <c r="E518" s="16" t="s">
        <v>41</v>
      </c>
      <c r="F518" s="16" t="s">
        <v>28</v>
      </c>
      <c r="G518" s="25" t="s">
        <v>4630</v>
      </c>
      <c r="H518" s="16">
        <v>264821741</v>
      </c>
      <c r="I518" s="16"/>
      <c r="J518" s="26" t="s">
        <v>4631</v>
      </c>
      <c r="K518" s="27" t="s">
        <v>49</v>
      </c>
      <c r="L518" s="16"/>
      <c r="M518" s="26" t="s">
        <v>4632</v>
      </c>
      <c r="N518" s="23" t="s">
        <v>34</v>
      </c>
      <c r="O518" s="22"/>
    </row>
    <row r="519" ht="33" spans="1:15">
      <c r="A519" s="13">
        <v>518</v>
      </c>
      <c r="B519" s="14">
        <v>45930</v>
      </c>
      <c r="C519" s="16" t="s">
        <v>68</v>
      </c>
      <c r="D519" s="16" t="str">
        <f>VLOOKUP(E519,[1]Sheet3!A:B,2,0)</f>
        <v>家用空调</v>
      </c>
      <c r="E519" s="16" t="s">
        <v>2838</v>
      </c>
      <c r="F519" s="16" t="s">
        <v>28</v>
      </c>
      <c r="G519" s="25" t="s">
        <v>4633</v>
      </c>
      <c r="H519" s="16" t="s">
        <v>4634</v>
      </c>
      <c r="I519" s="16"/>
      <c r="J519" s="26" t="s">
        <v>4635</v>
      </c>
      <c r="K519" s="27" t="s">
        <v>3062</v>
      </c>
      <c r="L519" s="16"/>
      <c r="M519" s="26" t="s">
        <v>4636</v>
      </c>
      <c r="N519" s="23" t="s">
        <v>34</v>
      </c>
      <c r="O519" s="22"/>
    </row>
    <row r="520" ht="33" spans="1:15">
      <c r="A520" s="13">
        <v>519</v>
      </c>
      <c r="B520" s="14">
        <v>45932</v>
      </c>
      <c r="C520" s="16" t="s">
        <v>49</v>
      </c>
      <c r="D520" s="16" t="str">
        <f>VLOOKUP(E520,[1]Sheet3!A:B,2,0)</f>
        <v>厨热</v>
      </c>
      <c r="E520" s="16" t="s">
        <v>154</v>
      </c>
      <c r="F520" s="16" t="s">
        <v>28</v>
      </c>
      <c r="G520" s="25" t="s">
        <v>4637</v>
      </c>
      <c r="H520" s="16" t="s">
        <v>4638</v>
      </c>
      <c r="I520" s="16"/>
      <c r="J520" s="26" t="s">
        <v>4639</v>
      </c>
      <c r="K520" s="27" t="s">
        <v>49</v>
      </c>
      <c r="L520" s="16"/>
      <c r="M520" s="26" t="s">
        <v>4640</v>
      </c>
      <c r="N520" s="23" t="s">
        <v>34</v>
      </c>
      <c r="O520" s="22"/>
    </row>
    <row r="521" ht="33" spans="1:15">
      <c r="A521" s="13">
        <v>520</v>
      </c>
      <c r="B521" s="14">
        <v>45932</v>
      </c>
      <c r="C521" s="16" t="s">
        <v>25</v>
      </c>
      <c r="D521" s="16" t="str">
        <f>VLOOKUP(E521,[1]Sheet3!A:B,2,0)</f>
        <v>冰箱</v>
      </c>
      <c r="E521" s="16" t="s">
        <v>41</v>
      </c>
      <c r="F521" s="16" t="s">
        <v>28</v>
      </c>
      <c r="G521" s="25" t="s">
        <v>4641</v>
      </c>
      <c r="H521" s="16" t="s">
        <v>4642</v>
      </c>
      <c r="I521" s="16"/>
      <c r="J521" s="26" t="s">
        <v>4643</v>
      </c>
      <c r="K521" s="27" t="s">
        <v>2908</v>
      </c>
      <c r="L521" s="16"/>
      <c r="M521" s="26" t="s">
        <v>4644</v>
      </c>
      <c r="N521" s="23" t="s">
        <v>34</v>
      </c>
      <c r="O521" s="22"/>
    </row>
    <row r="522" spans="1:15">
      <c r="A522" s="13">
        <v>521</v>
      </c>
      <c r="B522" s="14">
        <v>45934</v>
      </c>
      <c r="C522" s="16" t="s">
        <v>68</v>
      </c>
      <c r="D522" s="16" t="str">
        <f>VLOOKUP(E522,[1]Sheet3!A:B,2,0)</f>
        <v>家用空调</v>
      </c>
      <c r="E522" s="16" t="s">
        <v>2223</v>
      </c>
      <c r="F522" s="16" t="s">
        <v>28</v>
      </c>
      <c r="G522" s="25" t="s">
        <v>4645</v>
      </c>
      <c r="H522" s="16" t="s">
        <v>4646</v>
      </c>
      <c r="I522" s="16"/>
      <c r="J522" s="26" t="s">
        <v>4647</v>
      </c>
      <c r="K522" s="27" t="s">
        <v>32</v>
      </c>
      <c r="L522" s="16"/>
      <c r="M522" s="26" t="s">
        <v>4648</v>
      </c>
      <c r="N522" s="23" t="s">
        <v>34</v>
      </c>
      <c r="O522" s="22"/>
    </row>
    <row r="523" ht="33" spans="1:15">
      <c r="A523" s="13">
        <v>522</v>
      </c>
      <c r="B523" s="14">
        <v>45934</v>
      </c>
      <c r="C523" s="16" t="s">
        <v>68</v>
      </c>
      <c r="D523" s="16" t="str">
        <f>VLOOKUP(E523,[1]Sheet3!A:B,2,0)</f>
        <v>家用空调</v>
      </c>
      <c r="E523" s="16" t="s">
        <v>2223</v>
      </c>
      <c r="F523" s="16" t="s">
        <v>28</v>
      </c>
      <c r="G523" s="25" t="s">
        <v>4649</v>
      </c>
      <c r="H523" s="16" t="s">
        <v>4650</v>
      </c>
      <c r="I523" s="16"/>
      <c r="J523" s="26" t="s">
        <v>4651</v>
      </c>
      <c r="K523" s="27" t="s">
        <v>97</v>
      </c>
      <c r="L523" s="16"/>
      <c r="M523" s="26" t="s">
        <v>4648</v>
      </c>
      <c r="N523" s="23" t="s">
        <v>34</v>
      </c>
      <c r="O523" s="22"/>
    </row>
    <row r="524" ht="89" customHeight="1" spans="1:15">
      <c r="A524" s="13">
        <v>523</v>
      </c>
      <c r="B524" s="14">
        <v>45939</v>
      </c>
      <c r="C524" s="16" t="s">
        <v>25</v>
      </c>
      <c r="D524" s="16" t="str">
        <f>VLOOKUP(E524,[1]Sheet3!A:B,2,0)</f>
        <v>家用空调</v>
      </c>
      <c r="E524" s="16" t="s">
        <v>2223</v>
      </c>
      <c r="F524" s="16" t="s">
        <v>28</v>
      </c>
      <c r="G524" s="25" t="s">
        <v>4652</v>
      </c>
      <c r="H524" s="16">
        <v>1002013</v>
      </c>
      <c r="I524" s="16"/>
      <c r="J524" s="26" t="s">
        <v>4653</v>
      </c>
      <c r="K524" s="27" t="s">
        <v>24</v>
      </c>
      <c r="L524" s="16"/>
      <c r="M524" s="26" t="s">
        <v>4654</v>
      </c>
      <c r="N524" s="23" t="s">
        <v>34</v>
      </c>
      <c r="O524" s="22"/>
    </row>
    <row r="525" ht="83" customHeight="1" spans="1:15">
      <c r="A525" s="13">
        <v>524</v>
      </c>
      <c r="B525" s="14">
        <v>45939</v>
      </c>
      <c r="C525" s="16" t="s">
        <v>25</v>
      </c>
      <c r="D525" s="16" t="str">
        <f>VLOOKUP(E525,[1]Sheet3!A:B,2,0)</f>
        <v>冰箱</v>
      </c>
      <c r="E525" s="16" t="s">
        <v>41</v>
      </c>
      <c r="F525" s="16" t="s">
        <v>28</v>
      </c>
      <c r="G525" s="25" t="s">
        <v>4655</v>
      </c>
      <c r="H525" s="16" t="s">
        <v>4656</v>
      </c>
      <c r="I525" s="16"/>
      <c r="J525" s="26" t="s">
        <v>4657</v>
      </c>
      <c r="K525" s="27" t="s">
        <v>24</v>
      </c>
      <c r="L525" s="16"/>
      <c r="M525" s="26" t="s">
        <v>4658</v>
      </c>
      <c r="N525" s="23" t="s">
        <v>34</v>
      </c>
      <c r="O525" s="22"/>
    </row>
    <row r="526" spans="1:15">
      <c r="A526" s="13">
        <v>525</v>
      </c>
      <c r="B526" s="14">
        <v>45939</v>
      </c>
      <c r="C526" s="16" t="s">
        <v>49</v>
      </c>
      <c r="D526" s="16" t="str">
        <f>VLOOKUP(E526,[1]Sheet3!A:B,2,0)</f>
        <v>厨热</v>
      </c>
      <c r="E526" s="16" t="s">
        <v>411</v>
      </c>
      <c r="F526" s="16" t="s">
        <v>28</v>
      </c>
      <c r="G526" s="25" t="s">
        <v>4659</v>
      </c>
      <c r="H526" s="16" t="s">
        <v>4660</v>
      </c>
      <c r="I526" s="16"/>
      <c r="J526" s="26" t="s">
        <v>4661</v>
      </c>
      <c r="K526" s="27" t="s">
        <v>49</v>
      </c>
      <c r="L526" s="16"/>
      <c r="M526" s="26" t="s">
        <v>4662</v>
      </c>
      <c r="N526" s="23" t="s">
        <v>34</v>
      </c>
      <c r="O526" s="22"/>
    </row>
    <row r="527" spans="1:15">
      <c r="A527" s="13">
        <v>526</v>
      </c>
      <c r="B527" s="14">
        <v>45940</v>
      </c>
      <c r="C527" s="16" t="s">
        <v>49</v>
      </c>
      <c r="D527" s="16" t="str">
        <f>VLOOKUP(E527,[1]Sheet3!A:B,2,0)</f>
        <v>洗衣机</v>
      </c>
      <c r="E527" s="16" t="s">
        <v>27</v>
      </c>
      <c r="F527" s="16" t="s">
        <v>28</v>
      </c>
      <c r="G527" s="25" t="s">
        <v>4663</v>
      </c>
      <c r="H527" s="16" t="s">
        <v>4664</v>
      </c>
      <c r="I527" s="16"/>
      <c r="J527" s="26" t="s">
        <v>4661</v>
      </c>
      <c r="K527" s="27" t="s">
        <v>49</v>
      </c>
      <c r="L527" s="16"/>
      <c r="M527" s="26" t="s">
        <v>4665</v>
      </c>
      <c r="N527" s="23" t="s">
        <v>34</v>
      </c>
      <c r="O527" s="22"/>
    </row>
    <row r="528" ht="33" spans="1:15">
      <c r="A528" s="13">
        <v>527</v>
      </c>
      <c r="B528" s="14">
        <v>45940</v>
      </c>
      <c r="C528" s="16" t="s">
        <v>68</v>
      </c>
      <c r="D528" s="16" t="str">
        <f>VLOOKUP(E528,[1]Sheet3!A:B,2,0)</f>
        <v>冰箱</v>
      </c>
      <c r="E528" s="16" t="s">
        <v>41</v>
      </c>
      <c r="F528" s="16" t="s">
        <v>28</v>
      </c>
      <c r="G528" s="25" t="s">
        <v>4666</v>
      </c>
      <c r="H528" s="16" t="s">
        <v>4667</v>
      </c>
      <c r="I528" s="16"/>
      <c r="J528" s="26" t="s">
        <v>4668</v>
      </c>
      <c r="K528" s="27" t="s">
        <v>32</v>
      </c>
      <c r="L528" s="16"/>
      <c r="M528" s="26" t="s">
        <v>4669</v>
      </c>
      <c r="N528" s="23" t="s">
        <v>34</v>
      </c>
      <c r="O528" s="22"/>
    </row>
    <row r="529" spans="1:15">
      <c r="A529" s="13">
        <v>528</v>
      </c>
      <c r="B529" s="14">
        <v>45939</v>
      </c>
      <c r="C529" s="16" t="s">
        <v>68</v>
      </c>
      <c r="D529" s="16" t="str">
        <f>VLOOKUP(E529,[1]Sheet3!A:B,2,0)</f>
        <v>冰箱</v>
      </c>
      <c r="E529" s="16" t="s">
        <v>41</v>
      </c>
      <c r="F529" s="16" t="s">
        <v>28</v>
      </c>
      <c r="G529" s="25" t="s">
        <v>4670</v>
      </c>
      <c r="H529" s="16" t="s">
        <v>4671</v>
      </c>
      <c r="I529" s="16"/>
      <c r="J529" s="26" t="s">
        <v>4672</v>
      </c>
      <c r="K529" s="27" t="s">
        <v>24</v>
      </c>
      <c r="L529" s="16"/>
      <c r="M529" s="26" t="s">
        <v>4673</v>
      </c>
      <c r="N529" s="23" t="s">
        <v>34</v>
      </c>
      <c r="O529" s="22"/>
    </row>
    <row r="530" spans="1:15">
      <c r="A530" s="13">
        <v>529</v>
      </c>
      <c r="B530" s="14">
        <v>45939</v>
      </c>
      <c r="C530" s="16" t="s">
        <v>68</v>
      </c>
      <c r="D530" s="16" t="str">
        <f>VLOOKUP(E530,[1]Sheet3!A:B,2,0)</f>
        <v>冰箱</v>
      </c>
      <c r="E530" s="16" t="s">
        <v>41</v>
      </c>
      <c r="F530" s="16" t="s">
        <v>28</v>
      </c>
      <c r="G530" s="25" t="s">
        <v>4674</v>
      </c>
      <c r="H530" s="16" t="s">
        <v>4675</v>
      </c>
      <c r="I530" s="16"/>
      <c r="J530" s="26" t="s">
        <v>4672</v>
      </c>
      <c r="K530" s="27" t="s">
        <v>24</v>
      </c>
      <c r="L530" s="16"/>
      <c r="M530" s="26" t="s">
        <v>4673</v>
      </c>
      <c r="N530" s="23" t="s">
        <v>34</v>
      </c>
      <c r="O530" s="22"/>
    </row>
    <row r="531" spans="1:15">
      <c r="A531" s="13">
        <v>530</v>
      </c>
      <c r="B531" s="14">
        <v>45939</v>
      </c>
      <c r="C531" s="16" t="s">
        <v>68</v>
      </c>
      <c r="D531" s="16" t="str">
        <f>VLOOKUP(E531,[1]Sheet3!A:B,2,0)</f>
        <v>冰箱</v>
      </c>
      <c r="E531" s="16" t="s">
        <v>41</v>
      </c>
      <c r="F531" s="16" t="s">
        <v>28</v>
      </c>
      <c r="G531" s="25" t="s">
        <v>4676</v>
      </c>
      <c r="H531" s="16" t="s">
        <v>4677</v>
      </c>
      <c r="I531" s="16"/>
      <c r="J531" s="26" t="s">
        <v>4672</v>
      </c>
      <c r="K531" s="27" t="s">
        <v>24</v>
      </c>
      <c r="L531" s="16"/>
      <c r="M531" s="26" t="s">
        <v>4673</v>
      </c>
      <c r="N531" s="23" t="s">
        <v>34</v>
      </c>
      <c r="O531" s="22"/>
    </row>
    <row r="532" spans="1:15">
      <c r="A532" s="13">
        <v>531</v>
      </c>
      <c r="B532" s="14">
        <v>45940</v>
      </c>
      <c r="C532" s="16" t="s">
        <v>49</v>
      </c>
      <c r="D532" s="16" t="str">
        <f>VLOOKUP(E532,[1]Sheet3!A:B,2,0)</f>
        <v>冰箱</v>
      </c>
      <c r="E532" s="16" t="s">
        <v>41</v>
      </c>
      <c r="F532" s="16" t="s">
        <v>28</v>
      </c>
      <c r="G532" s="25" t="s">
        <v>4678</v>
      </c>
      <c r="H532" s="16" t="s">
        <v>4679</v>
      </c>
      <c r="I532" s="16"/>
      <c r="J532" s="26" t="s">
        <v>4680</v>
      </c>
      <c r="K532" s="27" t="s">
        <v>49</v>
      </c>
      <c r="L532" s="16"/>
      <c r="M532" s="26" t="s">
        <v>4681</v>
      </c>
      <c r="N532" s="23" t="s">
        <v>34</v>
      </c>
      <c r="O532" s="22"/>
    </row>
    <row r="533" spans="1:15">
      <c r="A533" s="13">
        <v>532</v>
      </c>
      <c r="B533" s="14">
        <v>45940</v>
      </c>
      <c r="C533" s="16" t="s">
        <v>49</v>
      </c>
      <c r="D533" s="16" t="str">
        <f>VLOOKUP(E533,[1]Sheet3!A:B,2,0)</f>
        <v>冰箱</v>
      </c>
      <c r="E533" s="16" t="s">
        <v>41</v>
      </c>
      <c r="F533" s="16" t="s">
        <v>28</v>
      </c>
      <c r="G533" s="25" t="s">
        <v>4682</v>
      </c>
      <c r="H533" s="16" t="s">
        <v>4683</v>
      </c>
      <c r="I533" s="16"/>
      <c r="J533" s="26" t="s">
        <v>4680</v>
      </c>
      <c r="K533" s="27" t="s">
        <v>49</v>
      </c>
      <c r="L533" s="16"/>
      <c r="M533" s="26" t="s">
        <v>4681</v>
      </c>
      <c r="N533" s="23" t="s">
        <v>34</v>
      </c>
      <c r="O533" s="22"/>
    </row>
    <row r="534" ht="33" spans="1:15">
      <c r="A534" s="13">
        <v>533</v>
      </c>
      <c r="B534" s="14">
        <v>45940</v>
      </c>
      <c r="C534" s="16" t="s">
        <v>68</v>
      </c>
      <c r="D534" s="16" t="str">
        <f>VLOOKUP(E534,[1]Sheet3!A:B,2,0)</f>
        <v>冰箱</v>
      </c>
      <c r="E534" s="16" t="s">
        <v>41</v>
      </c>
      <c r="F534" s="16" t="s">
        <v>28</v>
      </c>
      <c r="G534" s="25" t="s">
        <v>4684</v>
      </c>
      <c r="H534" s="16" t="s">
        <v>4685</v>
      </c>
      <c r="I534" s="16"/>
      <c r="J534" s="26" t="s">
        <v>4686</v>
      </c>
      <c r="K534" s="27" t="s">
        <v>32</v>
      </c>
      <c r="L534" s="16"/>
      <c r="M534" s="26" t="s">
        <v>4687</v>
      </c>
      <c r="N534" s="23" t="s">
        <v>34</v>
      </c>
      <c r="O534" s="22"/>
    </row>
    <row r="535" ht="33" spans="1:15">
      <c r="A535" s="13">
        <v>534</v>
      </c>
      <c r="B535" s="14">
        <v>45940</v>
      </c>
      <c r="C535" s="16" t="s">
        <v>68</v>
      </c>
      <c r="D535" s="16" t="str">
        <f>VLOOKUP(E535,[1]Sheet3!A:B,2,0)</f>
        <v>冰箱</v>
      </c>
      <c r="E535" s="16" t="s">
        <v>41</v>
      </c>
      <c r="F535" s="16" t="s">
        <v>28</v>
      </c>
      <c r="G535" s="25" t="s">
        <v>4688</v>
      </c>
      <c r="H535" s="16" t="s">
        <v>4689</v>
      </c>
      <c r="I535" s="16"/>
      <c r="J535" s="26" t="s">
        <v>4686</v>
      </c>
      <c r="K535" s="27" t="s">
        <v>32</v>
      </c>
      <c r="L535" s="16"/>
      <c r="M535" s="26" t="s">
        <v>4687</v>
      </c>
      <c r="N535" s="23" t="s">
        <v>34</v>
      </c>
      <c r="O535" s="22"/>
    </row>
    <row r="536" ht="33" spans="1:15">
      <c r="A536" s="13">
        <v>535</v>
      </c>
      <c r="B536" s="14">
        <v>45940</v>
      </c>
      <c r="C536" s="16" t="s">
        <v>68</v>
      </c>
      <c r="D536" s="16" t="str">
        <f>VLOOKUP(E536,[1]Sheet3!A:B,2,0)</f>
        <v>冰箱</v>
      </c>
      <c r="E536" s="16" t="s">
        <v>148</v>
      </c>
      <c r="F536" s="16" t="s">
        <v>28</v>
      </c>
      <c r="G536" s="25" t="s">
        <v>4690</v>
      </c>
      <c r="H536" s="16" t="s">
        <v>4691</v>
      </c>
      <c r="I536" s="16"/>
      <c r="J536" s="26" t="s">
        <v>4686</v>
      </c>
      <c r="K536" s="27" t="s">
        <v>32</v>
      </c>
      <c r="L536" s="16"/>
      <c r="M536" s="26" t="s">
        <v>4687</v>
      </c>
      <c r="N536" s="23" t="s">
        <v>34</v>
      </c>
      <c r="O536" s="22"/>
    </row>
    <row r="537" ht="16" customHeight="1" spans="1:15">
      <c r="A537" s="13">
        <v>536</v>
      </c>
      <c r="B537" s="14">
        <v>45940</v>
      </c>
      <c r="C537" s="16" t="s">
        <v>68</v>
      </c>
      <c r="D537" s="16" t="str">
        <f>VLOOKUP(E537,[1]Sheet3!A:B,2,0)</f>
        <v>冰箱</v>
      </c>
      <c r="E537" s="16" t="s">
        <v>41</v>
      </c>
      <c r="F537" s="16" t="s">
        <v>28</v>
      </c>
      <c r="G537" s="25" t="s">
        <v>4692</v>
      </c>
      <c r="H537" s="16" t="s">
        <v>4693</v>
      </c>
      <c r="I537" s="16"/>
      <c r="J537" s="26" t="s">
        <v>4686</v>
      </c>
      <c r="K537" s="27" t="s">
        <v>32</v>
      </c>
      <c r="L537" s="16"/>
      <c r="M537" s="26" t="s">
        <v>4687</v>
      </c>
      <c r="N537" s="23" t="s">
        <v>34</v>
      </c>
      <c r="O537" s="22"/>
    </row>
    <row r="538" ht="409" customHeight="1" spans="1:15">
      <c r="A538" s="13">
        <v>537</v>
      </c>
      <c r="B538" s="14">
        <v>45940</v>
      </c>
      <c r="C538" s="16" t="s">
        <v>25</v>
      </c>
      <c r="D538" s="16" t="str">
        <f>VLOOKUP(E538,[1]Sheet3!A:B,2,0)</f>
        <v>冰箱</v>
      </c>
      <c r="E538" s="16" t="s">
        <v>469</v>
      </c>
      <c r="F538" s="16" t="s">
        <v>28</v>
      </c>
      <c r="G538" s="25" t="s">
        <v>4694</v>
      </c>
      <c r="H538" s="16" t="s">
        <v>4695</v>
      </c>
      <c r="I538" s="16"/>
      <c r="J538" s="26" t="s">
        <v>4696</v>
      </c>
      <c r="K538" s="27" t="s">
        <v>598</v>
      </c>
      <c r="L538" s="16"/>
      <c r="M538" s="26" t="s">
        <v>4697</v>
      </c>
      <c r="N538" s="23" t="s">
        <v>34</v>
      </c>
      <c r="O538" s="22"/>
    </row>
    <row r="539" ht="148.5" spans="1:15">
      <c r="A539" s="13">
        <v>538</v>
      </c>
      <c r="B539" s="14">
        <v>45941</v>
      </c>
      <c r="C539" s="16" t="s">
        <v>403</v>
      </c>
      <c r="D539" s="16" t="str">
        <f>VLOOKUP(E539,[1]Sheet3!A:B,2,0)</f>
        <v>洗衣机</v>
      </c>
      <c r="E539" s="16" t="s">
        <v>35</v>
      </c>
      <c r="F539" s="16" t="s">
        <v>28</v>
      </c>
      <c r="G539" s="25" t="s">
        <v>4698</v>
      </c>
      <c r="H539" s="16" t="s">
        <v>4699</v>
      </c>
      <c r="I539" s="16"/>
      <c r="J539" s="26" t="s">
        <v>4700</v>
      </c>
      <c r="K539" s="27" t="s">
        <v>92</v>
      </c>
      <c r="L539" s="16"/>
      <c r="M539" s="26" t="s">
        <v>4701</v>
      </c>
      <c r="N539" s="23" t="s">
        <v>34</v>
      </c>
      <c r="O539" s="22"/>
    </row>
    <row r="540" ht="49.5" spans="1:15">
      <c r="A540" s="13">
        <v>539</v>
      </c>
      <c r="B540" s="14">
        <v>45941</v>
      </c>
      <c r="C540" s="16" t="s">
        <v>25</v>
      </c>
      <c r="D540" s="16" t="str">
        <f>VLOOKUP(E540,[1]Sheet3!A:B,2,0)</f>
        <v>洗衣机</v>
      </c>
      <c r="E540" s="16" t="s">
        <v>27</v>
      </c>
      <c r="F540" s="16" t="s">
        <v>28</v>
      </c>
      <c r="G540" s="25" t="s">
        <v>4702</v>
      </c>
      <c r="H540" s="16" t="s">
        <v>4703</v>
      </c>
      <c r="I540" s="16"/>
      <c r="J540" s="26" t="s">
        <v>4704</v>
      </c>
      <c r="K540" s="27" t="s">
        <v>92</v>
      </c>
      <c r="L540" s="16"/>
      <c r="M540" s="26" t="s">
        <v>4705</v>
      </c>
      <c r="N540" s="23" t="s">
        <v>34</v>
      </c>
      <c r="O540" s="22"/>
    </row>
    <row r="541" ht="222" customHeight="1" spans="1:15">
      <c r="A541" s="13">
        <v>540</v>
      </c>
      <c r="B541" s="14">
        <v>45941</v>
      </c>
      <c r="C541" s="16" t="s">
        <v>68</v>
      </c>
      <c r="D541" s="16" t="str">
        <f>VLOOKUP(E541,[1]Sheet3!A:B,2,0)</f>
        <v>微波和清洁</v>
      </c>
      <c r="E541" s="16" t="s">
        <v>2868</v>
      </c>
      <c r="F541" s="16" t="s">
        <v>28</v>
      </c>
      <c r="G541" s="25" t="s">
        <v>4706</v>
      </c>
      <c r="H541" s="16" t="s">
        <v>4707</v>
      </c>
      <c r="I541" s="16"/>
      <c r="J541" s="26" t="s">
        <v>4708</v>
      </c>
      <c r="K541" s="27" t="s">
        <v>32</v>
      </c>
      <c r="L541" s="16"/>
      <c r="M541" s="26" t="s">
        <v>4709</v>
      </c>
      <c r="N541" s="23" t="s">
        <v>34</v>
      </c>
      <c r="O541" s="22"/>
    </row>
    <row r="542" spans="1:15">
      <c r="A542" s="13">
        <v>541</v>
      </c>
      <c r="B542" s="14">
        <v>45941</v>
      </c>
      <c r="C542" s="16" t="s">
        <v>68</v>
      </c>
      <c r="D542" s="16" t="str">
        <f>VLOOKUP(E542,[1]Sheet3!A:B,2,0)</f>
        <v>冰箱</v>
      </c>
      <c r="E542" s="16" t="s">
        <v>41</v>
      </c>
      <c r="F542" s="16" t="s">
        <v>28</v>
      </c>
      <c r="G542" s="25" t="s">
        <v>4710</v>
      </c>
      <c r="H542" s="16" t="s">
        <v>4711</v>
      </c>
      <c r="I542" s="16"/>
      <c r="J542" s="26" t="s">
        <v>4712</v>
      </c>
      <c r="K542" s="27" t="s">
        <v>32</v>
      </c>
      <c r="L542" s="16"/>
      <c r="M542" s="26" t="s">
        <v>4713</v>
      </c>
      <c r="N542" s="23" t="s">
        <v>34</v>
      </c>
      <c r="O542" s="22"/>
    </row>
    <row r="543" spans="1:15">
      <c r="A543" s="13">
        <v>542</v>
      </c>
      <c r="B543" s="14">
        <v>45941</v>
      </c>
      <c r="C543" s="16" t="s">
        <v>68</v>
      </c>
      <c r="D543" s="16" t="str">
        <f>VLOOKUP(E543,[1]Sheet3!A:B,2,0)</f>
        <v>洗衣机</v>
      </c>
      <c r="E543" s="16" t="s">
        <v>27</v>
      </c>
      <c r="F543" s="16" t="s">
        <v>28</v>
      </c>
      <c r="G543" s="25" t="s">
        <v>4714</v>
      </c>
      <c r="H543" s="16" t="s">
        <v>4715</v>
      </c>
      <c r="I543" s="16"/>
      <c r="J543" s="26" t="s">
        <v>4716</v>
      </c>
      <c r="K543" s="27" t="s">
        <v>32</v>
      </c>
      <c r="L543" s="16"/>
      <c r="M543" s="26" t="s">
        <v>4713</v>
      </c>
      <c r="N543" s="23" t="s">
        <v>34</v>
      </c>
      <c r="O543" s="22"/>
    </row>
    <row r="544" ht="49.5" spans="1:15">
      <c r="A544" s="13">
        <v>543</v>
      </c>
      <c r="B544" s="14">
        <v>45943</v>
      </c>
      <c r="C544" s="16" t="s">
        <v>25</v>
      </c>
      <c r="D544" s="16" t="str">
        <f>VLOOKUP(E544,[1]Sheet3!A:B,2,0)</f>
        <v>工业技术</v>
      </c>
      <c r="E544" s="16" t="s">
        <v>416</v>
      </c>
      <c r="F544" s="16" t="s">
        <v>28</v>
      </c>
      <c r="G544" s="25" t="s">
        <v>4717</v>
      </c>
      <c r="H544" s="16" t="s">
        <v>4718</v>
      </c>
      <c r="I544" s="16"/>
      <c r="J544" s="26" t="s">
        <v>4719</v>
      </c>
      <c r="K544" s="27" t="s">
        <v>92</v>
      </c>
      <c r="L544" s="16"/>
      <c r="M544" s="26" t="s">
        <v>4720</v>
      </c>
      <c r="N544" s="23" t="s">
        <v>34</v>
      </c>
      <c r="O544" s="22"/>
    </row>
    <row r="545" ht="17" customHeight="1" spans="1:15">
      <c r="A545" s="13">
        <v>544</v>
      </c>
      <c r="B545" s="14">
        <v>45943</v>
      </c>
      <c r="C545" s="16" t="s">
        <v>68</v>
      </c>
      <c r="D545" s="16" t="str">
        <f>VLOOKUP(E545,[1]Sheet3!A:B,2,0)</f>
        <v>冰箱</v>
      </c>
      <c r="E545" s="16" t="s">
        <v>41</v>
      </c>
      <c r="F545" s="16" t="s">
        <v>28</v>
      </c>
      <c r="G545" s="25" t="s">
        <v>4721</v>
      </c>
      <c r="H545" s="16" t="s">
        <v>4722</v>
      </c>
      <c r="I545" s="16"/>
      <c r="J545" s="26" t="s">
        <v>4686</v>
      </c>
      <c r="K545" s="27" t="s">
        <v>32</v>
      </c>
      <c r="L545" s="16"/>
      <c r="M545" s="26" t="s">
        <v>4723</v>
      </c>
      <c r="N545" s="23" t="s">
        <v>34</v>
      </c>
      <c r="O545" s="22"/>
    </row>
    <row r="546" ht="66" spans="1:15">
      <c r="A546" s="13">
        <v>545</v>
      </c>
      <c r="B546" s="14">
        <v>45943</v>
      </c>
      <c r="C546" s="16" t="s">
        <v>25</v>
      </c>
      <c r="D546" s="16" t="str">
        <f>VLOOKUP(E546,[1]Sheet3!A:B,2,0)</f>
        <v>洗衣机</v>
      </c>
      <c r="E546" s="16" t="s">
        <v>27</v>
      </c>
      <c r="F546" s="16" t="s">
        <v>28</v>
      </c>
      <c r="G546" s="25" t="s">
        <v>4724</v>
      </c>
      <c r="H546" s="16" t="s">
        <v>4725</v>
      </c>
      <c r="I546" s="16"/>
      <c r="J546" s="26" t="s">
        <v>4726</v>
      </c>
      <c r="K546" s="27" t="s">
        <v>24</v>
      </c>
      <c r="L546" s="16"/>
      <c r="M546" s="26" t="s">
        <v>4727</v>
      </c>
      <c r="N546" s="23" t="s">
        <v>34</v>
      </c>
      <c r="O546" s="22"/>
    </row>
    <row r="547" spans="1:15">
      <c r="A547" s="13">
        <v>546</v>
      </c>
      <c r="B547" s="14">
        <v>45943</v>
      </c>
      <c r="C547" s="16" t="s">
        <v>49</v>
      </c>
      <c r="D547" s="16" t="str">
        <f>VLOOKUP(E547,[1]Sheet3!A:B,2,0)</f>
        <v>洗衣机</v>
      </c>
      <c r="E547" s="16" t="s">
        <v>27</v>
      </c>
      <c r="F547" s="16" t="s">
        <v>28</v>
      </c>
      <c r="G547" s="25" t="s">
        <v>4728</v>
      </c>
      <c r="H547" s="16" t="s">
        <v>4729</v>
      </c>
      <c r="I547" s="16"/>
      <c r="J547" s="26" t="s">
        <v>4730</v>
      </c>
      <c r="K547" s="27" t="s">
        <v>49</v>
      </c>
      <c r="L547" s="16"/>
      <c r="M547" s="26" t="s">
        <v>4731</v>
      </c>
      <c r="N547" s="23" t="s">
        <v>34</v>
      </c>
      <c r="O547" s="22"/>
    </row>
    <row r="548" spans="1:15">
      <c r="A548" s="13">
        <v>547</v>
      </c>
      <c r="B548" s="14">
        <v>45943</v>
      </c>
      <c r="C548" s="16" t="s">
        <v>49</v>
      </c>
      <c r="D548" s="16" t="str">
        <f>VLOOKUP(E548,[1]Sheet3!A:B,2,0)</f>
        <v>冰箱</v>
      </c>
      <c r="E548" s="16" t="s">
        <v>41</v>
      </c>
      <c r="F548" s="16" t="s">
        <v>28</v>
      </c>
      <c r="G548" s="25" t="s">
        <v>4732</v>
      </c>
      <c r="H548" s="16" t="s">
        <v>4733</v>
      </c>
      <c r="I548" s="16"/>
      <c r="J548" s="26" t="s">
        <v>4730</v>
      </c>
      <c r="K548" s="27" t="s">
        <v>49</v>
      </c>
      <c r="L548" s="16"/>
      <c r="M548" s="26" t="s">
        <v>4731</v>
      </c>
      <c r="N548" s="23" t="s">
        <v>34</v>
      </c>
      <c r="O548" s="22"/>
    </row>
    <row r="549" ht="39" customHeight="1" spans="1:15">
      <c r="A549" s="13">
        <v>548</v>
      </c>
      <c r="B549" s="14">
        <v>45944</v>
      </c>
      <c r="C549" s="16" t="s">
        <v>68</v>
      </c>
      <c r="D549" s="16" t="str">
        <f>VLOOKUP(E549,[1]Sheet3!A:B,2,0)</f>
        <v>冰箱</v>
      </c>
      <c r="E549" s="16" t="s">
        <v>41</v>
      </c>
      <c r="F549" s="16" t="s">
        <v>28</v>
      </c>
      <c r="G549" s="25" t="s">
        <v>4734</v>
      </c>
      <c r="H549" s="16" t="s">
        <v>4735</v>
      </c>
      <c r="I549" s="16"/>
      <c r="J549" s="26" t="s">
        <v>4736</v>
      </c>
      <c r="K549" s="27" t="s">
        <v>24</v>
      </c>
      <c r="L549" s="16"/>
      <c r="M549" s="26" t="s">
        <v>4737</v>
      </c>
      <c r="N549" s="23" t="s">
        <v>34</v>
      </c>
      <c r="O549" s="22"/>
    </row>
    <row r="550" spans="1:15">
      <c r="A550" s="13">
        <v>549</v>
      </c>
      <c r="B550" s="14">
        <v>45944</v>
      </c>
      <c r="C550" s="16" t="s">
        <v>49</v>
      </c>
      <c r="D550" s="16" t="str">
        <f>VLOOKUP(E550,[1]Sheet3!A:B,2,0)</f>
        <v>厨热</v>
      </c>
      <c r="E550" s="16" t="s">
        <v>411</v>
      </c>
      <c r="F550" s="16" t="s">
        <v>28</v>
      </c>
      <c r="G550" s="25" t="s">
        <v>4738</v>
      </c>
      <c r="H550" s="16" t="s">
        <v>4739</v>
      </c>
      <c r="I550" s="16"/>
      <c r="J550" s="26" t="s">
        <v>4740</v>
      </c>
      <c r="K550" s="27" t="s">
        <v>49</v>
      </c>
      <c r="L550" s="16"/>
      <c r="M550" s="26" t="s">
        <v>4741</v>
      </c>
      <c r="N550" s="23" t="s">
        <v>34</v>
      </c>
      <c r="O550" s="22"/>
    </row>
    <row r="551" spans="1:15">
      <c r="A551" s="13">
        <v>550</v>
      </c>
      <c r="B551" s="14">
        <v>45944</v>
      </c>
      <c r="C551" s="16" t="s">
        <v>49</v>
      </c>
      <c r="D551" s="16" t="str">
        <f>VLOOKUP(E551,[1]Sheet3!A:B,2,0)</f>
        <v>厨热</v>
      </c>
      <c r="E551" s="16" t="s">
        <v>411</v>
      </c>
      <c r="F551" s="16" t="s">
        <v>28</v>
      </c>
      <c r="G551" s="25" t="s">
        <v>4742</v>
      </c>
      <c r="H551" s="16" t="s">
        <v>4743</v>
      </c>
      <c r="I551" s="16"/>
      <c r="J551" s="26" t="s">
        <v>4740</v>
      </c>
      <c r="K551" s="27" t="s">
        <v>49</v>
      </c>
      <c r="L551" s="16"/>
      <c r="M551" s="26" t="s">
        <v>4741</v>
      </c>
      <c r="N551" s="23" t="s">
        <v>34</v>
      </c>
      <c r="O551" s="22"/>
    </row>
    <row r="552" ht="79" customHeight="1" spans="1:15">
      <c r="A552" s="13">
        <v>551</v>
      </c>
      <c r="B552" s="14">
        <v>45944</v>
      </c>
      <c r="C552" s="16" t="s">
        <v>49</v>
      </c>
      <c r="D552" s="16" t="str">
        <f>VLOOKUP(E552,[1]Sheet3!A:B,2,0)</f>
        <v>洗衣机</v>
      </c>
      <c r="E552" s="16" t="s">
        <v>35</v>
      </c>
      <c r="F552" s="16" t="s">
        <v>28</v>
      </c>
      <c r="G552" s="25" t="s">
        <v>4744</v>
      </c>
      <c r="H552" s="16" t="s">
        <v>4745</v>
      </c>
      <c r="I552" s="16"/>
      <c r="J552" s="26" t="s">
        <v>4740</v>
      </c>
      <c r="K552" s="27" t="s">
        <v>49</v>
      </c>
      <c r="L552" s="16"/>
      <c r="M552" s="26" t="s">
        <v>4746</v>
      </c>
      <c r="N552" s="23" t="s">
        <v>34</v>
      </c>
      <c r="O552" s="22"/>
    </row>
    <row r="553" ht="49.5" spans="1:15">
      <c r="A553" s="13">
        <v>552</v>
      </c>
      <c r="B553" s="14">
        <v>45944</v>
      </c>
      <c r="C553" s="16" t="s">
        <v>68</v>
      </c>
      <c r="D553" s="16" t="str">
        <f>VLOOKUP(E553,[1]Sheet3!A:B,2,0)</f>
        <v>冰箱</v>
      </c>
      <c r="E553" s="16" t="s">
        <v>41</v>
      </c>
      <c r="F553" s="16" t="s">
        <v>28</v>
      </c>
      <c r="G553" s="25" t="s">
        <v>4747</v>
      </c>
      <c r="H553" s="16" t="s">
        <v>4748</v>
      </c>
      <c r="I553" s="16"/>
      <c r="J553" s="26" t="s">
        <v>4749</v>
      </c>
      <c r="K553" s="27" t="s">
        <v>24</v>
      </c>
      <c r="L553" s="16"/>
      <c r="M553" s="26" t="s">
        <v>4750</v>
      </c>
      <c r="N553" s="23" t="s">
        <v>34</v>
      </c>
      <c r="O553" s="22"/>
    </row>
    <row r="554" ht="33" spans="1:15">
      <c r="A554" s="13">
        <v>553</v>
      </c>
      <c r="B554" s="14">
        <v>45944</v>
      </c>
      <c r="C554" s="16" t="s">
        <v>25</v>
      </c>
      <c r="D554" s="16" t="str">
        <f>VLOOKUP(E554,[1]Sheet3!A:B,2,0)</f>
        <v>冰箱</v>
      </c>
      <c r="E554" s="16" t="s">
        <v>41</v>
      </c>
      <c r="F554" s="16" t="s">
        <v>28</v>
      </c>
      <c r="G554" s="25" t="s">
        <v>4751</v>
      </c>
      <c r="H554" s="16" t="s">
        <v>4752</v>
      </c>
      <c r="I554" s="16"/>
      <c r="J554" s="26" t="s">
        <v>4753</v>
      </c>
      <c r="K554" s="27" t="s">
        <v>24</v>
      </c>
      <c r="L554" s="16"/>
      <c r="M554" s="26" t="s">
        <v>4754</v>
      </c>
      <c r="N554" s="23" t="s">
        <v>34</v>
      </c>
      <c r="O554" s="22"/>
    </row>
    <row r="555" ht="66" spans="1:15">
      <c r="A555" s="13">
        <v>554</v>
      </c>
      <c r="B555" s="14">
        <v>45944</v>
      </c>
      <c r="C555" s="16" t="s">
        <v>25</v>
      </c>
      <c r="D555" s="16" t="str">
        <f>VLOOKUP(E555,[1]Sheet3!A:B,2,0)</f>
        <v>微波和清洁</v>
      </c>
      <c r="E555" s="16" t="s">
        <v>223</v>
      </c>
      <c r="F555" s="16" t="s">
        <v>28</v>
      </c>
      <c r="G555" s="25" t="s">
        <v>4755</v>
      </c>
      <c r="H555" s="16" t="s">
        <v>4756</v>
      </c>
      <c r="I555" s="16"/>
      <c r="J555" s="26" t="s">
        <v>4757</v>
      </c>
      <c r="K555" s="27" t="s">
        <v>24</v>
      </c>
      <c r="L555" s="16"/>
      <c r="M555" s="26" t="s">
        <v>4758</v>
      </c>
      <c r="N555" s="23" t="s">
        <v>34</v>
      </c>
      <c r="O555" s="22"/>
    </row>
    <row r="556" ht="66" spans="1:15">
      <c r="A556" s="13">
        <v>555</v>
      </c>
      <c r="B556" s="14">
        <v>45945</v>
      </c>
      <c r="C556" s="16" t="s">
        <v>25</v>
      </c>
      <c r="D556" s="16" t="str">
        <f>VLOOKUP(E556,[1]Sheet3!A:B,2,0)</f>
        <v>工业技术</v>
      </c>
      <c r="E556" s="16" t="s">
        <v>165</v>
      </c>
      <c r="F556" s="16" t="s">
        <v>28</v>
      </c>
      <c r="G556" s="25" t="s">
        <v>4759</v>
      </c>
      <c r="H556" s="16" t="s">
        <v>4760</v>
      </c>
      <c r="I556" s="16"/>
      <c r="J556" s="26" t="s">
        <v>4761</v>
      </c>
      <c r="K556" s="27" t="s">
        <v>24</v>
      </c>
      <c r="L556" s="16"/>
      <c r="M556" s="26" t="s">
        <v>4762</v>
      </c>
      <c r="N556" s="23" t="s">
        <v>34</v>
      </c>
      <c r="O556" s="22"/>
    </row>
    <row r="557" spans="1:15">
      <c r="A557" s="13">
        <v>556</v>
      </c>
      <c r="B557" s="14">
        <v>45945</v>
      </c>
      <c r="C557" s="16" t="s">
        <v>49</v>
      </c>
      <c r="D557" s="16" t="str">
        <f>VLOOKUP(E557,[1]Sheet3!A:B,2,0)</f>
        <v>冰箱</v>
      </c>
      <c r="E557" s="16" t="s">
        <v>41</v>
      </c>
      <c r="F557" s="16" t="s">
        <v>28</v>
      </c>
      <c r="G557" s="25" t="s">
        <v>4763</v>
      </c>
      <c r="H557" s="16" t="s">
        <v>4764</v>
      </c>
      <c r="I557" s="16"/>
      <c r="J557" s="26" t="s">
        <v>4765</v>
      </c>
      <c r="K557" s="27" t="s">
        <v>49</v>
      </c>
      <c r="L557" s="16"/>
      <c r="M557" s="26" t="s">
        <v>4766</v>
      </c>
      <c r="N557" s="23" t="s">
        <v>34</v>
      </c>
      <c r="O557" s="22"/>
    </row>
    <row r="558" spans="1:15">
      <c r="A558" s="13">
        <v>557</v>
      </c>
      <c r="B558" s="14">
        <v>45946</v>
      </c>
      <c r="C558" s="16" t="s">
        <v>49</v>
      </c>
      <c r="D558" s="16" t="str">
        <f>VLOOKUP(E558,[1]Sheet3!A:B,2,0)</f>
        <v>冰箱</v>
      </c>
      <c r="E558" s="16" t="s">
        <v>41</v>
      </c>
      <c r="F558" s="16" t="s">
        <v>28</v>
      </c>
      <c r="G558" s="25" t="s">
        <v>4767</v>
      </c>
      <c r="H558" s="16" t="s">
        <v>4768</v>
      </c>
      <c r="I558" s="16"/>
      <c r="J558" s="26" t="s">
        <v>4769</v>
      </c>
      <c r="K558" s="27" t="s">
        <v>49</v>
      </c>
      <c r="L558" s="16"/>
      <c r="M558" s="26" t="s">
        <v>4770</v>
      </c>
      <c r="N558" s="23" t="s">
        <v>34</v>
      </c>
      <c r="O558" s="22"/>
    </row>
    <row r="559" spans="1:15">
      <c r="A559" s="13">
        <v>558</v>
      </c>
      <c r="B559" s="14">
        <v>45946</v>
      </c>
      <c r="C559" s="16" t="s">
        <v>49</v>
      </c>
      <c r="D559" s="16" t="str">
        <f>VLOOKUP(E559,[1]Sheet3!A:B,2,0)</f>
        <v>冰箱</v>
      </c>
      <c r="E559" s="16" t="s">
        <v>41</v>
      </c>
      <c r="F559" s="16" t="s">
        <v>28</v>
      </c>
      <c r="G559" s="25" t="s">
        <v>4771</v>
      </c>
      <c r="H559" s="16">
        <v>264779925</v>
      </c>
      <c r="I559" s="16"/>
      <c r="J559" s="26" t="s">
        <v>4769</v>
      </c>
      <c r="K559" s="27" t="s">
        <v>49</v>
      </c>
      <c r="L559" s="16"/>
      <c r="M559" s="26" t="s">
        <v>4772</v>
      </c>
      <c r="N559" s="23" t="s">
        <v>34</v>
      </c>
      <c r="O559" s="22"/>
    </row>
    <row r="560" spans="1:15">
      <c r="A560" s="13">
        <v>559</v>
      </c>
      <c r="B560" s="14">
        <v>45946</v>
      </c>
      <c r="C560" s="16" t="s">
        <v>49</v>
      </c>
      <c r="D560" s="16" t="str">
        <f>VLOOKUP(E560,[1]Sheet3!A:B,2,0)</f>
        <v>洗衣机</v>
      </c>
      <c r="E560" s="16" t="s">
        <v>27</v>
      </c>
      <c r="F560" s="16" t="s">
        <v>28</v>
      </c>
      <c r="G560" s="25" t="s">
        <v>4773</v>
      </c>
      <c r="H560" s="16" t="s">
        <v>4774</v>
      </c>
      <c r="I560" s="16"/>
      <c r="J560" s="26" t="s">
        <v>4769</v>
      </c>
      <c r="K560" s="27" t="s">
        <v>49</v>
      </c>
      <c r="L560" s="16"/>
      <c r="M560" s="26" t="s">
        <v>4772</v>
      </c>
      <c r="N560" s="23" t="s">
        <v>34</v>
      </c>
      <c r="O560" s="22"/>
    </row>
    <row r="561" ht="31" customHeight="1" spans="1:15">
      <c r="A561" s="13">
        <v>560</v>
      </c>
      <c r="B561" s="14">
        <v>45946</v>
      </c>
      <c r="C561" s="16" t="s">
        <v>68</v>
      </c>
      <c r="D561" s="16" t="str">
        <f>VLOOKUP(E561,[1]Sheet3!A:B,2,0)</f>
        <v>冰箱</v>
      </c>
      <c r="E561" s="16" t="s">
        <v>41</v>
      </c>
      <c r="F561" s="16" t="s">
        <v>28</v>
      </c>
      <c r="G561" s="25" t="s">
        <v>4775</v>
      </c>
      <c r="H561" s="16" t="s">
        <v>4776</v>
      </c>
      <c r="I561" s="16"/>
      <c r="J561" s="26" t="s">
        <v>4777</v>
      </c>
      <c r="K561" s="27" t="s">
        <v>32</v>
      </c>
      <c r="L561" s="16"/>
      <c r="M561" s="26" t="s">
        <v>4778</v>
      </c>
      <c r="N561" s="23" t="s">
        <v>34</v>
      </c>
      <c r="O561" s="22"/>
    </row>
    <row r="562" spans="1:15">
      <c r="A562" s="13">
        <v>561</v>
      </c>
      <c r="B562" s="14">
        <v>45946</v>
      </c>
      <c r="C562" s="16" t="s">
        <v>25</v>
      </c>
      <c r="D562" s="16" t="str">
        <f>VLOOKUP(E562,[1]Sheet3!A:B,2,0)</f>
        <v>洗衣机</v>
      </c>
      <c r="E562" s="16" t="s">
        <v>27</v>
      </c>
      <c r="F562" s="16" t="s">
        <v>28</v>
      </c>
      <c r="G562" s="25" t="s">
        <v>4779</v>
      </c>
      <c r="H562" s="16" t="s">
        <v>4780</v>
      </c>
      <c r="I562" s="16"/>
      <c r="J562" s="26" t="s">
        <v>4781</v>
      </c>
      <c r="K562" s="27" t="s">
        <v>24</v>
      </c>
      <c r="L562" s="16"/>
      <c r="M562" s="26" t="s">
        <v>4782</v>
      </c>
      <c r="N562" s="23" t="s">
        <v>34</v>
      </c>
      <c r="O562" s="22"/>
    </row>
    <row r="563" ht="49.5" spans="1:15">
      <c r="A563" s="13">
        <v>562</v>
      </c>
      <c r="B563" s="14">
        <v>45947</v>
      </c>
      <c r="C563" s="16" t="s">
        <v>25</v>
      </c>
      <c r="D563" s="16" t="str">
        <f>VLOOKUP(E563,[1]Sheet3!A:B,2,0)</f>
        <v>冰箱</v>
      </c>
      <c r="E563" s="16" t="s">
        <v>41</v>
      </c>
      <c r="F563" s="16" t="s">
        <v>28</v>
      </c>
      <c r="G563" s="25" t="s">
        <v>4783</v>
      </c>
      <c r="H563" s="16" t="s">
        <v>4784</v>
      </c>
      <c r="I563" s="16"/>
      <c r="J563" s="26" t="s">
        <v>4785</v>
      </c>
      <c r="K563" s="27" t="s">
        <v>355</v>
      </c>
      <c r="L563" s="16"/>
      <c r="M563" s="26" t="s">
        <v>4786</v>
      </c>
      <c r="N563" s="23" t="s">
        <v>34</v>
      </c>
      <c r="O563" s="22"/>
    </row>
    <row r="564" ht="49.5" spans="1:15">
      <c r="A564" s="13">
        <v>563</v>
      </c>
      <c r="B564" s="14">
        <v>45947</v>
      </c>
      <c r="C564" s="16" t="s">
        <v>25</v>
      </c>
      <c r="D564" s="16" t="str">
        <f>VLOOKUP(E564,[1]Sheet3!A:B,2,0)</f>
        <v>采购中心</v>
      </c>
      <c r="E564" s="16" t="s">
        <v>108</v>
      </c>
      <c r="F564" s="16" t="s">
        <v>28</v>
      </c>
      <c r="G564" s="25" t="s">
        <v>4787</v>
      </c>
      <c r="H564" s="16" t="s">
        <v>4788</v>
      </c>
      <c r="I564" s="16"/>
      <c r="J564" s="26" t="s">
        <v>4789</v>
      </c>
      <c r="K564" s="27" t="s">
        <v>24</v>
      </c>
      <c r="L564" s="16"/>
      <c r="M564" s="26" t="s">
        <v>4790</v>
      </c>
      <c r="N564" s="23" t="s">
        <v>34</v>
      </c>
      <c r="O564" s="22"/>
    </row>
    <row r="565" ht="49.5" spans="1:15">
      <c r="A565" s="13">
        <v>564</v>
      </c>
      <c r="B565" s="14">
        <v>45947</v>
      </c>
      <c r="C565" s="16" t="s">
        <v>25</v>
      </c>
      <c r="D565" s="16" t="str">
        <f>VLOOKUP(E565,[1]Sheet3!A:B,2,0)</f>
        <v>采购中心</v>
      </c>
      <c r="E565" s="16" t="s">
        <v>108</v>
      </c>
      <c r="F565" s="16" t="s">
        <v>28</v>
      </c>
      <c r="G565" s="25" t="s">
        <v>4791</v>
      </c>
      <c r="H565" s="16" t="s">
        <v>4792</v>
      </c>
      <c r="I565" s="16"/>
      <c r="J565" s="26" t="s">
        <v>4789</v>
      </c>
      <c r="K565" s="27" t="s">
        <v>24</v>
      </c>
      <c r="L565" s="16"/>
      <c r="M565" s="26" t="s">
        <v>4793</v>
      </c>
      <c r="N565" s="23" t="s">
        <v>34</v>
      </c>
      <c r="O565" s="22"/>
    </row>
    <row r="566" spans="1:15">
      <c r="A566" s="13">
        <v>565</v>
      </c>
      <c r="B566" s="14">
        <v>45947</v>
      </c>
      <c r="C566" s="16" t="s">
        <v>49</v>
      </c>
      <c r="D566" s="16" t="str">
        <f>VLOOKUP(E566,[1]Sheet3!A:B,2,0)</f>
        <v>冰箱</v>
      </c>
      <c r="E566" s="16" t="s">
        <v>41</v>
      </c>
      <c r="F566" s="16" t="s">
        <v>28</v>
      </c>
      <c r="G566" s="25" t="s">
        <v>4794</v>
      </c>
      <c r="H566" s="16">
        <v>259958322</v>
      </c>
      <c r="I566" s="16"/>
      <c r="J566" s="26" t="s">
        <v>4795</v>
      </c>
      <c r="K566" s="27" t="s">
        <v>49</v>
      </c>
      <c r="L566" s="16"/>
      <c r="M566" s="26" t="s">
        <v>4796</v>
      </c>
      <c r="N566" s="23" t="s">
        <v>34</v>
      </c>
      <c r="O566" s="22"/>
    </row>
    <row r="567" ht="33" spans="1:15">
      <c r="A567" s="13">
        <v>566</v>
      </c>
      <c r="B567" s="14">
        <v>45950</v>
      </c>
      <c r="C567" s="16" t="s">
        <v>25</v>
      </c>
      <c r="D567" s="16" t="str">
        <f>VLOOKUP(E567,[1]Sheet3!A:B,2,0)</f>
        <v>冰箱</v>
      </c>
      <c r="E567" s="16" t="s">
        <v>41</v>
      </c>
      <c r="F567" s="16" t="s">
        <v>28</v>
      </c>
      <c r="G567" s="25" t="s">
        <v>4797</v>
      </c>
      <c r="H567" s="16" t="s">
        <v>4798</v>
      </c>
      <c r="I567" s="16"/>
      <c r="J567" s="26" t="s">
        <v>4799</v>
      </c>
      <c r="K567" s="27" t="s">
        <v>355</v>
      </c>
      <c r="L567" s="16"/>
      <c r="M567" s="26" t="s">
        <v>4800</v>
      </c>
      <c r="N567" s="23" t="s">
        <v>34</v>
      </c>
      <c r="O567" s="22"/>
    </row>
    <row r="568" ht="49.5" spans="1:15">
      <c r="A568" s="13">
        <v>567</v>
      </c>
      <c r="B568" s="14">
        <v>45950</v>
      </c>
      <c r="C568" s="16" t="s">
        <v>25</v>
      </c>
      <c r="D568" s="16" t="str">
        <f>VLOOKUP(E568,[1]Sheet3!A:B,2,0)</f>
        <v>冰箱</v>
      </c>
      <c r="E568" s="16" t="s">
        <v>41</v>
      </c>
      <c r="F568" s="16" t="s">
        <v>28</v>
      </c>
      <c r="G568" s="25" t="s">
        <v>4801</v>
      </c>
      <c r="H568" s="16" t="s">
        <v>4802</v>
      </c>
      <c r="I568" s="16"/>
      <c r="J568" s="26" t="s">
        <v>4803</v>
      </c>
      <c r="K568" s="27" t="s">
        <v>24</v>
      </c>
      <c r="L568" s="16"/>
      <c r="M568" s="26" t="s">
        <v>4804</v>
      </c>
      <c r="N568" s="23" t="s">
        <v>34</v>
      </c>
      <c r="O568" s="22"/>
    </row>
    <row r="569" ht="49.5" spans="1:15">
      <c r="A569" s="13">
        <v>568</v>
      </c>
      <c r="B569" s="14">
        <v>45950</v>
      </c>
      <c r="C569" s="16" t="s">
        <v>25</v>
      </c>
      <c r="D569" s="16" t="str">
        <f>VLOOKUP(E569,[1]Sheet3!A:B,2,0)</f>
        <v>冰箱</v>
      </c>
      <c r="E569" s="16" t="s">
        <v>41</v>
      </c>
      <c r="F569" s="16" t="s">
        <v>28</v>
      </c>
      <c r="G569" s="25" t="s">
        <v>4805</v>
      </c>
      <c r="H569" s="16" t="s">
        <v>4806</v>
      </c>
      <c r="I569" s="16"/>
      <c r="J569" s="26" t="s">
        <v>4803</v>
      </c>
      <c r="K569" s="27" t="s">
        <v>24</v>
      </c>
      <c r="L569" s="16"/>
      <c r="M569" s="26" t="s">
        <v>4804</v>
      </c>
      <c r="N569" s="23" t="s">
        <v>34</v>
      </c>
      <c r="O569" s="22"/>
    </row>
    <row r="570" ht="99" spans="1:15">
      <c r="A570" s="13">
        <v>569</v>
      </c>
      <c r="B570" s="14">
        <v>45950</v>
      </c>
      <c r="C570" s="16" t="s">
        <v>25</v>
      </c>
      <c r="D570" s="16" t="str">
        <f>VLOOKUP(E570,[1]Sheet3!A:B,2,0)</f>
        <v>洗衣机</v>
      </c>
      <c r="E570" s="16" t="s">
        <v>27</v>
      </c>
      <c r="F570" s="16" t="s">
        <v>28</v>
      </c>
      <c r="G570" s="25" t="s">
        <v>4807</v>
      </c>
      <c r="H570" s="16" t="s">
        <v>4808</v>
      </c>
      <c r="I570" s="16"/>
      <c r="J570" s="26" t="s">
        <v>4809</v>
      </c>
      <c r="K570" s="27" t="s">
        <v>355</v>
      </c>
      <c r="L570" s="16"/>
      <c r="M570" s="26" t="s">
        <v>4810</v>
      </c>
      <c r="N570" s="23" t="s">
        <v>34</v>
      </c>
      <c r="O570" s="22"/>
    </row>
    <row r="571" ht="99" spans="1:15">
      <c r="A571" s="13">
        <v>570</v>
      </c>
      <c r="B571" s="14">
        <v>45950</v>
      </c>
      <c r="C571" s="16" t="s">
        <v>403</v>
      </c>
      <c r="D571" s="16" t="str">
        <f>VLOOKUP(E571,[1]Sheet3!A:B,2,0)</f>
        <v>冰箱</v>
      </c>
      <c r="E571" s="16" t="s">
        <v>41</v>
      </c>
      <c r="F571" s="16" t="s">
        <v>28</v>
      </c>
      <c r="G571" s="25" t="s">
        <v>4811</v>
      </c>
      <c r="H571" s="16" t="s">
        <v>4812</v>
      </c>
      <c r="I571" s="16"/>
      <c r="J571" s="26" t="s">
        <v>4813</v>
      </c>
      <c r="K571" s="27" t="s">
        <v>92</v>
      </c>
      <c r="L571" s="16"/>
      <c r="M571" s="26" t="s">
        <v>4814</v>
      </c>
      <c r="N571" s="23" t="s">
        <v>34</v>
      </c>
      <c r="O571" s="22"/>
    </row>
    <row r="572" ht="25" customHeight="1" spans="1:15">
      <c r="A572" s="13">
        <v>571</v>
      </c>
      <c r="B572" s="14">
        <v>45951</v>
      </c>
      <c r="C572" s="16" t="s">
        <v>49</v>
      </c>
      <c r="D572" s="16" t="str">
        <f>VLOOKUP(E572,[1]Sheet3!A:B,2,0)</f>
        <v>洗衣机</v>
      </c>
      <c r="E572" s="16" t="s">
        <v>35</v>
      </c>
      <c r="F572" s="16" t="s">
        <v>28</v>
      </c>
      <c r="G572" s="25" t="s">
        <v>4815</v>
      </c>
      <c r="H572" s="16" t="s">
        <v>4816</v>
      </c>
      <c r="I572" s="16"/>
      <c r="J572" s="26" t="s">
        <v>4817</v>
      </c>
      <c r="K572" s="27" t="s">
        <v>49</v>
      </c>
      <c r="L572" s="16"/>
      <c r="M572" s="26" t="s">
        <v>4818</v>
      </c>
      <c r="N572" s="23" t="s">
        <v>34</v>
      </c>
      <c r="O572" s="22"/>
    </row>
    <row r="573" ht="49.5" spans="1:15">
      <c r="A573" s="13">
        <v>572</v>
      </c>
      <c r="B573" s="14">
        <v>45951</v>
      </c>
      <c r="C573" s="16" t="s">
        <v>49</v>
      </c>
      <c r="D573" s="16" t="str">
        <f>VLOOKUP(E573,[1]Sheet3!A:B,2,0)</f>
        <v>洗衣机</v>
      </c>
      <c r="E573" s="16" t="s">
        <v>35</v>
      </c>
      <c r="F573" s="16" t="s">
        <v>28</v>
      </c>
      <c r="G573" s="25" t="s">
        <v>4819</v>
      </c>
      <c r="H573" s="16" t="s">
        <v>4820</v>
      </c>
      <c r="I573" s="16"/>
      <c r="J573" s="26" t="s">
        <v>4821</v>
      </c>
      <c r="K573" s="27" t="s">
        <v>49</v>
      </c>
      <c r="L573" s="16"/>
      <c r="M573" s="26" t="s">
        <v>4822</v>
      </c>
      <c r="N573" s="23" t="s">
        <v>34</v>
      </c>
      <c r="O573" s="22"/>
    </row>
    <row r="574" ht="33" spans="1:15">
      <c r="A574" s="13">
        <v>573</v>
      </c>
      <c r="B574" s="14">
        <v>45951</v>
      </c>
      <c r="C574" s="16" t="s">
        <v>49</v>
      </c>
      <c r="D574" s="16" t="str">
        <f>VLOOKUP(E574,[1]Sheet3!A:B,2,0)</f>
        <v>MIL</v>
      </c>
      <c r="E574" s="16" t="s">
        <v>490</v>
      </c>
      <c r="F574" s="16" t="s">
        <v>28</v>
      </c>
      <c r="G574" s="25" t="s">
        <v>4823</v>
      </c>
      <c r="H574" s="16" t="s">
        <v>4824</v>
      </c>
      <c r="I574" s="16"/>
      <c r="J574" s="26" t="s">
        <v>4825</v>
      </c>
      <c r="K574" s="27" t="s">
        <v>49</v>
      </c>
      <c r="L574" s="16"/>
      <c r="M574" s="26" t="s">
        <v>4826</v>
      </c>
      <c r="N574" s="23" t="s">
        <v>34</v>
      </c>
      <c r="O574" s="22"/>
    </row>
    <row r="575" ht="33" spans="1:15">
      <c r="A575" s="13">
        <v>574</v>
      </c>
      <c r="B575" s="14">
        <v>45951</v>
      </c>
      <c r="C575" s="16" t="s">
        <v>68</v>
      </c>
      <c r="D575" s="16" t="str">
        <f>VLOOKUP(E575,[1]Sheet3!A:B,2,0)</f>
        <v>洗衣机</v>
      </c>
      <c r="E575" s="16" t="s">
        <v>27</v>
      </c>
      <c r="F575" s="16" t="s">
        <v>28</v>
      </c>
      <c r="G575" s="25" t="s">
        <v>4827</v>
      </c>
      <c r="H575" s="16" t="s">
        <v>4828</v>
      </c>
      <c r="I575" s="16"/>
      <c r="J575" s="26" t="s">
        <v>4829</v>
      </c>
      <c r="K575" s="27" t="s">
        <v>32</v>
      </c>
      <c r="L575" s="16"/>
      <c r="M575" s="26" t="s">
        <v>4830</v>
      </c>
      <c r="N575" s="23" t="s">
        <v>34</v>
      </c>
      <c r="O575" s="22"/>
    </row>
    <row r="576" ht="148.5" spans="1:15">
      <c r="A576" s="13">
        <v>575</v>
      </c>
      <c r="B576" s="14">
        <v>45951</v>
      </c>
      <c r="C576" s="16" t="s">
        <v>25</v>
      </c>
      <c r="D576" s="16" t="str">
        <f>VLOOKUP(E576,[1]Sheet3!A:B,2,0)</f>
        <v>微波和清洁</v>
      </c>
      <c r="E576" s="16" t="s">
        <v>223</v>
      </c>
      <c r="F576" s="16" t="s">
        <v>28</v>
      </c>
      <c r="G576" s="25" t="s">
        <v>4831</v>
      </c>
      <c r="H576" s="16" t="s">
        <v>4832</v>
      </c>
      <c r="I576" s="16"/>
      <c r="J576" s="26" t="s">
        <v>4833</v>
      </c>
      <c r="K576" s="27" t="s">
        <v>598</v>
      </c>
      <c r="L576" s="16"/>
      <c r="M576" s="26" t="s">
        <v>4834</v>
      </c>
      <c r="N576" s="23" t="s">
        <v>113</v>
      </c>
      <c r="O576" s="22"/>
    </row>
    <row r="577" spans="1:15">
      <c r="A577" s="13">
        <v>576</v>
      </c>
      <c r="B577" s="14">
        <v>45951</v>
      </c>
      <c r="C577" s="16" t="s">
        <v>49</v>
      </c>
      <c r="D577" s="16" t="str">
        <f>VLOOKUP(E577,[1]Sheet3!A:B,2,0)</f>
        <v>洗衣机</v>
      </c>
      <c r="E577" s="16" t="s">
        <v>27</v>
      </c>
      <c r="F577" s="16" t="s">
        <v>28</v>
      </c>
      <c r="G577" s="25" t="s">
        <v>4835</v>
      </c>
      <c r="H577" s="16" t="s">
        <v>4836</v>
      </c>
      <c r="I577" s="16"/>
      <c r="J577" s="26" t="s">
        <v>4825</v>
      </c>
      <c r="K577" s="27" t="s">
        <v>49</v>
      </c>
      <c r="L577" s="16"/>
      <c r="M577" s="26" t="s">
        <v>4837</v>
      </c>
      <c r="N577" s="23" t="s">
        <v>34</v>
      </c>
      <c r="O577" s="22"/>
    </row>
    <row r="578" spans="1:15">
      <c r="A578" s="13">
        <v>577</v>
      </c>
      <c r="B578" s="14">
        <v>45951</v>
      </c>
      <c r="C578" s="16" t="s">
        <v>68</v>
      </c>
      <c r="D578" s="16" t="str">
        <f>VLOOKUP(E578,[1]Sheet3!A:B,2,0)</f>
        <v>冰箱</v>
      </c>
      <c r="E578" s="16" t="s">
        <v>41</v>
      </c>
      <c r="F578" s="16" t="s">
        <v>28</v>
      </c>
      <c r="G578" s="25" t="s">
        <v>4838</v>
      </c>
      <c r="H578" s="16" t="s">
        <v>4839</v>
      </c>
      <c r="I578" s="16"/>
      <c r="J578" s="26" t="s">
        <v>4840</v>
      </c>
      <c r="K578" s="27" t="s">
        <v>24</v>
      </c>
      <c r="L578" s="16"/>
      <c r="M578" s="26" t="s">
        <v>4841</v>
      </c>
      <c r="N578" s="23" t="s">
        <v>34</v>
      </c>
      <c r="O578" s="22"/>
    </row>
    <row r="579" spans="1:15">
      <c r="A579" s="13">
        <v>578</v>
      </c>
      <c r="B579" s="14">
        <v>45951</v>
      </c>
      <c r="C579" s="16" t="s">
        <v>68</v>
      </c>
      <c r="D579" s="16" t="str">
        <f>VLOOKUP(E579,[1]Sheet3!A:B,2,0)</f>
        <v>冰箱</v>
      </c>
      <c r="E579" s="16" t="s">
        <v>41</v>
      </c>
      <c r="F579" s="16" t="s">
        <v>28</v>
      </c>
      <c r="G579" s="25" t="s">
        <v>4842</v>
      </c>
      <c r="H579" s="16" t="s">
        <v>4843</v>
      </c>
      <c r="I579" s="16"/>
      <c r="J579" s="26" t="s">
        <v>4840</v>
      </c>
      <c r="K579" s="27" t="s">
        <v>24</v>
      </c>
      <c r="L579" s="16"/>
      <c r="M579" s="26" t="s">
        <v>4841</v>
      </c>
      <c r="N579" s="23" t="s">
        <v>34</v>
      </c>
      <c r="O579" s="22"/>
    </row>
    <row r="580" ht="33" spans="1:15">
      <c r="A580" s="13">
        <v>579</v>
      </c>
      <c r="B580" s="14">
        <v>45951</v>
      </c>
      <c r="C580" s="16" t="s">
        <v>68</v>
      </c>
      <c r="D580" s="16" t="str">
        <f>VLOOKUP(E580,[1]Sheet3!A:B,2,0)</f>
        <v>冰箱</v>
      </c>
      <c r="E580" s="16" t="s">
        <v>41</v>
      </c>
      <c r="F580" s="16" t="s">
        <v>28</v>
      </c>
      <c r="G580" s="25" t="s">
        <v>4844</v>
      </c>
      <c r="H580" s="16" t="s">
        <v>4845</v>
      </c>
      <c r="I580" s="16"/>
      <c r="J580" s="26" t="s">
        <v>4846</v>
      </c>
      <c r="K580" s="27" t="s">
        <v>355</v>
      </c>
      <c r="L580" s="16"/>
      <c r="M580" s="26" t="s">
        <v>4847</v>
      </c>
      <c r="N580" s="23" t="s">
        <v>34</v>
      </c>
      <c r="O580" s="22"/>
    </row>
    <row r="581" spans="1:15">
      <c r="A581" s="13">
        <v>580</v>
      </c>
      <c r="B581" s="14">
        <v>45952</v>
      </c>
      <c r="C581" s="16" t="s">
        <v>68</v>
      </c>
      <c r="D581" s="16" t="str">
        <f>VLOOKUP(E581,[1]Sheet3!A:B,2,0)</f>
        <v>采购中心</v>
      </c>
      <c r="E581" s="16" t="s">
        <v>108</v>
      </c>
      <c r="F581" s="16" t="s">
        <v>28</v>
      </c>
      <c r="G581" s="25" t="s">
        <v>4848</v>
      </c>
      <c r="H581" s="16" t="s">
        <v>4849</v>
      </c>
      <c r="I581" s="16"/>
      <c r="J581" s="26" t="s">
        <v>4850</v>
      </c>
      <c r="K581" s="27" t="s">
        <v>32</v>
      </c>
      <c r="L581" s="16"/>
      <c r="M581" s="26" t="s">
        <v>4851</v>
      </c>
      <c r="N581" s="23" t="s">
        <v>34</v>
      </c>
      <c r="O581" s="22"/>
    </row>
    <row r="582" spans="1:15">
      <c r="A582" s="13">
        <v>581</v>
      </c>
      <c r="B582" s="14">
        <v>45953</v>
      </c>
      <c r="C582" s="16" t="s">
        <v>68</v>
      </c>
      <c r="D582" s="16" t="str">
        <f>VLOOKUP(E582,[1]Sheet3!A:B,2,0)</f>
        <v>冰箱</v>
      </c>
      <c r="E582" s="16" t="s">
        <v>41</v>
      </c>
      <c r="F582" s="16" t="s">
        <v>28</v>
      </c>
      <c r="G582" s="25" t="s">
        <v>4852</v>
      </c>
      <c r="H582" s="16" t="s">
        <v>4853</v>
      </c>
      <c r="I582" s="16"/>
      <c r="J582" s="26" t="s">
        <v>4854</v>
      </c>
      <c r="K582" s="27" t="s">
        <v>24</v>
      </c>
      <c r="L582" s="16"/>
      <c r="M582" s="26" t="s">
        <v>4855</v>
      </c>
      <c r="N582" s="23" t="s">
        <v>34</v>
      </c>
      <c r="O582" s="22"/>
    </row>
    <row r="583" spans="1:15">
      <c r="A583" s="13">
        <v>582</v>
      </c>
      <c r="B583" s="14">
        <v>45953</v>
      </c>
      <c r="C583" s="16" t="s">
        <v>25</v>
      </c>
      <c r="D583" s="16" t="str">
        <f>VLOOKUP(E583,[1]Sheet3!A:B,2,0)</f>
        <v>冰箱</v>
      </c>
      <c r="E583" s="16" t="s">
        <v>469</v>
      </c>
      <c r="F583" s="16" t="s">
        <v>28</v>
      </c>
      <c r="G583" s="25" t="s">
        <v>4856</v>
      </c>
      <c r="H583" s="16" t="s">
        <v>4857</v>
      </c>
      <c r="I583" s="16"/>
      <c r="J583" s="32" t="s">
        <v>4858</v>
      </c>
      <c r="K583" s="27" t="s">
        <v>24</v>
      </c>
      <c r="L583" s="16"/>
      <c r="M583" s="32" t="s">
        <v>4859</v>
      </c>
      <c r="N583" s="47" t="s">
        <v>34</v>
      </c>
      <c r="O583" s="22"/>
    </row>
    <row r="584" spans="1:15">
      <c r="A584" s="13">
        <v>583</v>
      </c>
      <c r="B584" s="14">
        <v>45953</v>
      </c>
      <c r="C584" s="16" t="s">
        <v>25</v>
      </c>
      <c r="D584" s="16" t="str">
        <f>VLOOKUP(E584,[1]Sheet3!A:B,2,0)</f>
        <v>冰箱</v>
      </c>
      <c r="E584" s="16" t="s">
        <v>469</v>
      </c>
      <c r="F584" s="16" t="s">
        <v>28</v>
      </c>
      <c r="G584" s="25" t="s">
        <v>4860</v>
      </c>
      <c r="H584" s="16" t="s">
        <v>4861</v>
      </c>
      <c r="I584" s="16"/>
      <c r="J584" s="48"/>
      <c r="K584" s="27" t="s">
        <v>24</v>
      </c>
      <c r="L584" s="16"/>
      <c r="M584" s="48"/>
      <c r="N584" s="49"/>
      <c r="O584" s="22"/>
    </row>
    <row r="585" ht="139" customHeight="1" spans="1:15">
      <c r="A585" s="13">
        <v>584</v>
      </c>
      <c r="B585" s="14">
        <v>45953</v>
      </c>
      <c r="C585" s="16" t="s">
        <v>25</v>
      </c>
      <c r="D585" s="16" t="str">
        <f>VLOOKUP(E585,[1]Sheet3!A:B,2,0)</f>
        <v>冰箱</v>
      </c>
      <c r="E585" s="16" t="s">
        <v>469</v>
      </c>
      <c r="F585" s="16" t="s">
        <v>28</v>
      </c>
      <c r="G585" s="25" t="s">
        <v>4862</v>
      </c>
      <c r="H585" s="16" t="s">
        <v>4863</v>
      </c>
      <c r="I585" s="16"/>
      <c r="J585" s="35"/>
      <c r="K585" s="27" t="s">
        <v>24</v>
      </c>
      <c r="L585" s="16"/>
      <c r="M585" s="35"/>
      <c r="N585" s="50"/>
      <c r="O585" s="22"/>
    </row>
    <row r="586" ht="66" spans="1:15">
      <c r="A586" s="13">
        <v>585</v>
      </c>
      <c r="B586" s="14">
        <v>45953</v>
      </c>
      <c r="C586" s="16" t="s">
        <v>25</v>
      </c>
      <c r="D586" s="16" t="str">
        <f>VLOOKUP(E586,[1]Sheet3!A:B,2,0)</f>
        <v>冰箱</v>
      </c>
      <c r="E586" s="16" t="s">
        <v>469</v>
      </c>
      <c r="F586" s="16" t="s">
        <v>28</v>
      </c>
      <c r="G586" s="25" t="s">
        <v>4864</v>
      </c>
      <c r="H586" s="16" t="s">
        <v>4865</v>
      </c>
      <c r="I586" s="16"/>
      <c r="J586" s="26" t="s">
        <v>4866</v>
      </c>
      <c r="K586" s="27" t="s">
        <v>24</v>
      </c>
      <c r="L586" s="16"/>
      <c r="M586" s="26" t="s">
        <v>4867</v>
      </c>
      <c r="N586" s="23" t="s">
        <v>34</v>
      </c>
      <c r="O586" s="22"/>
    </row>
    <row r="587" ht="33" spans="1:15">
      <c r="A587" s="13">
        <v>586</v>
      </c>
      <c r="B587" s="14">
        <v>45953</v>
      </c>
      <c r="C587" s="16" t="s">
        <v>403</v>
      </c>
      <c r="D587" s="16" t="str">
        <f>VLOOKUP(E587,[1]Sheet3!A:B,2,0)</f>
        <v>冰箱</v>
      </c>
      <c r="E587" s="16" t="s">
        <v>41</v>
      </c>
      <c r="F587" s="16" t="s">
        <v>28</v>
      </c>
      <c r="G587" s="25" t="s">
        <v>3099</v>
      </c>
      <c r="H587" s="16" t="s">
        <v>4868</v>
      </c>
      <c r="I587" s="16"/>
      <c r="J587" s="26" t="s">
        <v>4869</v>
      </c>
      <c r="K587" s="27" t="s">
        <v>92</v>
      </c>
      <c r="L587" s="16"/>
      <c r="M587" s="26" t="s">
        <v>4870</v>
      </c>
      <c r="N587" s="23" t="s">
        <v>34</v>
      </c>
      <c r="O587" s="22"/>
    </row>
    <row r="588" spans="1:15">
      <c r="A588" s="13">
        <v>587</v>
      </c>
      <c r="B588" s="14">
        <v>45953</v>
      </c>
      <c r="C588" s="16" t="s">
        <v>25</v>
      </c>
      <c r="D588" s="16" t="str">
        <f>VLOOKUP(E588,[1]Sheet3!A:B,2,0)</f>
        <v>冰箱</v>
      </c>
      <c r="E588" s="16" t="s">
        <v>41</v>
      </c>
      <c r="F588" s="16" t="s">
        <v>28</v>
      </c>
      <c r="G588" s="116" t="s">
        <v>4871</v>
      </c>
      <c r="H588" s="16" t="s">
        <v>4872</v>
      </c>
      <c r="I588" s="16"/>
      <c r="J588" s="32" t="s">
        <v>4873</v>
      </c>
      <c r="K588" s="27" t="s">
        <v>24</v>
      </c>
      <c r="L588" s="16"/>
      <c r="M588" s="32" t="s">
        <v>4874</v>
      </c>
      <c r="N588" s="51" t="s">
        <v>34</v>
      </c>
      <c r="O588" s="22"/>
    </row>
    <row r="589" spans="1:15">
      <c r="A589" s="13">
        <v>588</v>
      </c>
      <c r="B589" s="14">
        <v>45953</v>
      </c>
      <c r="C589" s="16" t="s">
        <v>25</v>
      </c>
      <c r="D589" s="16" t="str">
        <f>VLOOKUP(E589,[1]Sheet3!A:B,2,0)</f>
        <v>冰箱</v>
      </c>
      <c r="E589" s="16" t="s">
        <v>41</v>
      </c>
      <c r="F589" s="16" t="s">
        <v>28</v>
      </c>
      <c r="G589" s="116" t="s">
        <v>4875</v>
      </c>
      <c r="H589" s="16" t="s">
        <v>4876</v>
      </c>
      <c r="I589" s="16"/>
      <c r="J589" s="48"/>
      <c r="K589" s="27" t="s">
        <v>24</v>
      </c>
      <c r="L589" s="16"/>
      <c r="M589" s="48"/>
      <c r="N589" s="52"/>
      <c r="O589" s="22"/>
    </row>
    <row r="590" spans="1:15">
      <c r="A590" s="13">
        <v>589</v>
      </c>
      <c r="B590" s="14">
        <v>45953</v>
      </c>
      <c r="C590" s="16" t="s">
        <v>25</v>
      </c>
      <c r="D590" s="16" t="str">
        <f>VLOOKUP(E590,[1]Sheet3!A:B,2,0)</f>
        <v>冰箱</v>
      </c>
      <c r="E590" s="16" t="s">
        <v>41</v>
      </c>
      <c r="F590" s="16" t="s">
        <v>28</v>
      </c>
      <c r="G590" s="116" t="s">
        <v>4877</v>
      </c>
      <c r="H590" s="16" t="s">
        <v>4878</v>
      </c>
      <c r="I590" s="16"/>
      <c r="J590" s="48"/>
      <c r="K590" s="27" t="s">
        <v>24</v>
      </c>
      <c r="L590" s="16"/>
      <c r="M590" s="48"/>
      <c r="N590" s="52"/>
      <c r="O590" s="22"/>
    </row>
    <row r="591" spans="1:15">
      <c r="A591" s="13">
        <v>590</v>
      </c>
      <c r="B591" s="14">
        <v>45953</v>
      </c>
      <c r="C591" s="16" t="s">
        <v>25</v>
      </c>
      <c r="D591" s="16" t="str">
        <f>VLOOKUP(E591,[1]Sheet3!A:B,2,0)</f>
        <v>冰箱</v>
      </c>
      <c r="E591" s="16" t="s">
        <v>41</v>
      </c>
      <c r="F591" s="16" t="s">
        <v>28</v>
      </c>
      <c r="G591" s="116" t="s">
        <v>4879</v>
      </c>
      <c r="H591" s="16" t="s">
        <v>4880</v>
      </c>
      <c r="I591" s="16"/>
      <c r="J591" s="48"/>
      <c r="K591" s="27" t="s">
        <v>24</v>
      </c>
      <c r="L591" s="16"/>
      <c r="M591" s="48"/>
      <c r="N591" s="52"/>
      <c r="O591" s="22"/>
    </row>
    <row r="592" spans="1:15">
      <c r="A592" s="13">
        <v>591</v>
      </c>
      <c r="B592" s="14">
        <v>45953</v>
      </c>
      <c r="C592" s="16" t="s">
        <v>25</v>
      </c>
      <c r="D592" s="16" t="str">
        <f>VLOOKUP(E592,[1]Sheet3!A:B,2,0)</f>
        <v>冰箱</v>
      </c>
      <c r="E592" s="16" t="s">
        <v>41</v>
      </c>
      <c r="F592" s="16" t="s">
        <v>28</v>
      </c>
      <c r="G592" s="116" t="s">
        <v>4881</v>
      </c>
      <c r="H592" s="16" t="s">
        <v>4882</v>
      </c>
      <c r="I592" s="16"/>
      <c r="J592" s="48"/>
      <c r="K592" s="27" t="s">
        <v>24</v>
      </c>
      <c r="L592" s="16"/>
      <c r="M592" s="48"/>
      <c r="N592" s="52"/>
      <c r="O592" s="22"/>
    </row>
    <row r="593" spans="1:15">
      <c r="A593" s="13">
        <v>592</v>
      </c>
      <c r="B593" s="14">
        <v>45953</v>
      </c>
      <c r="C593" s="16" t="s">
        <v>25</v>
      </c>
      <c r="D593" s="16" t="str">
        <f>VLOOKUP(E593,[1]Sheet3!A:B,2,0)</f>
        <v>冰箱</v>
      </c>
      <c r="E593" s="16" t="s">
        <v>41</v>
      </c>
      <c r="F593" s="16" t="s">
        <v>28</v>
      </c>
      <c r="G593" s="116" t="s">
        <v>4883</v>
      </c>
      <c r="H593" s="16" t="s">
        <v>4884</v>
      </c>
      <c r="I593" s="16"/>
      <c r="J593" s="48"/>
      <c r="K593" s="27" t="s">
        <v>24</v>
      </c>
      <c r="L593" s="16"/>
      <c r="M593" s="48"/>
      <c r="N593" s="52"/>
      <c r="O593" s="22"/>
    </row>
    <row r="594" spans="1:15">
      <c r="A594" s="13">
        <v>593</v>
      </c>
      <c r="B594" s="14">
        <v>45953</v>
      </c>
      <c r="C594" s="16" t="s">
        <v>25</v>
      </c>
      <c r="D594" s="16" t="str">
        <f>VLOOKUP(E594,[1]Sheet3!A:B,2,0)</f>
        <v>冰箱</v>
      </c>
      <c r="E594" s="16" t="s">
        <v>41</v>
      </c>
      <c r="F594" s="16" t="s">
        <v>28</v>
      </c>
      <c r="G594" s="116" t="s">
        <v>4885</v>
      </c>
      <c r="H594" s="16" t="s">
        <v>4886</v>
      </c>
      <c r="I594" s="16"/>
      <c r="J594" s="35"/>
      <c r="K594" s="27" t="s">
        <v>24</v>
      </c>
      <c r="L594" s="16"/>
      <c r="M594" s="35"/>
      <c r="N594" s="53"/>
      <c r="O594" s="22"/>
    </row>
    <row r="595" spans="1:15">
      <c r="A595" s="13">
        <v>594</v>
      </c>
      <c r="B595" s="14">
        <v>45953</v>
      </c>
      <c r="C595" s="16" t="s">
        <v>49</v>
      </c>
      <c r="D595" s="16" t="str">
        <f>VLOOKUP(E595,[1]Sheet3!A:B,2,0)</f>
        <v>冰箱</v>
      </c>
      <c r="E595" s="16" t="s">
        <v>41</v>
      </c>
      <c r="F595" s="16" t="s">
        <v>28</v>
      </c>
      <c r="G595" s="25" t="s">
        <v>4887</v>
      </c>
      <c r="H595" s="16" t="s">
        <v>4888</v>
      </c>
      <c r="I595" s="16"/>
      <c r="J595" s="26" t="s">
        <v>4889</v>
      </c>
      <c r="K595" s="27" t="s">
        <v>49</v>
      </c>
      <c r="L595" s="16"/>
      <c r="M595" s="26" t="s">
        <v>4890</v>
      </c>
      <c r="N595" s="23" t="s">
        <v>34</v>
      </c>
      <c r="O595" s="22"/>
    </row>
    <row r="596" spans="1:15">
      <c r="A596" s="13">
        <v>595</v>
      </c>
      <c r="B596" s="14">
        <v>45953</v>
      </c>
      <c r="C596" s="16" t="s">
        <v>49</v>
      </c>
      <c r="D596" s="16" t="str">
        <f>VLOOKUP(E596,[1]Sheet3!A:B,2,0)</f>
        <v>冰箱</v>
      </c>
      <c r="E596" s="16" t="s">
        <v>41</v>
      </c>
      <c r="F596" s="16" t="s">
        <v>28</v>
      </c>
      <c r="G596" s="25" t="s">
        <v>4891</v>
      </c>
      <c r="H596" s="16" t="s">
        <v>4892</v>
      </c>
      <c r="I596" s="16"/>
      <c r="J596" s="26" t="s">
        <v>4889</v>
      </c>
      <c r="K596" s="27" t="s">
        <v>49</v>
      </c>
      <c r="L596" s="16"/>
      <c r="M596" s="26" t="s">
        <v>4893</v>
      </c>
      <c r="N596" s="23" t="s">
        <v>34</v>
      </c>
      <c r="O596" s="22"/>
    </row>
    <row r="597" spans="1:15">
      <c r="A597" s="13">
        <v>596</v>
      </c>
      <c r="B597" s="14">
        <v>45953</v>
      </c>
      <c r="C597" s="16" t="s">
        <v>49</v>
      </c>
      <c r="D597" s="16" t="str">
        <f>VLOOKUP(E597,[1]Sheet3!A:B,2,0)</f>
        <v>洗衣机</v>
      </c>
      <c r="E597" s="16" t="s">
        <v>35</v>
      </c>
      <c r="F597" s="16" t="s">
        <v>28</v>
      </c>
      <c r="G597" s="25" t="s">
        <v>4894</v>
      </c>
      <c r="H597" s="16" t="s">
        <v>4895</v>
      </c>
      <c r="I597" s="16"/>
      <c r="J597" s="26" t="s">
        <v>4889</v>
      </c>
      <c r="K597" s="27" t="s">
        <v>49</v>
      </c>
      <c r="L597" s="16"/>
      <c r="M597" s="26" t="s">
        <v>4890</v>
      </c>
      <c r="N597" s="23" t="s">
        <v>34</v>
      </c>
      <c r="O597" s="22"/>
    </row>
    <row r="598" spans="1:15">
      <c r="A598" s="13">
        <v>597</v>
      </c>
      <c r="B598" s="14">
        <v>45953</v>
      </c>
      <c r="C598" s="16" t="s">
        <v>49</v>
      </c>
      <c r="D598" s="16" t="str">
        <f>VLOOKUP(E598,[1]Sheet3!A:B,2,0)</f>
        <v>洗衣机</v>
      </c>
      <c r="E598" s="16" t="s">
        <v>35</v>
      </c>
      <c r="F598" s="16" t="s">
        <v>28</v>
      </c>
      <c r="G598" s="25" t="s">
        <v>4896</v>
      </c>
      <c r="H598" s="16">
        <v>278292365</v>
      </c>
      <c r="I598" s="16"/>
      <c r="J598" s="26" t="s">
        <v>4889</v>
      </c>
      <c r="K598" s="27" t="s">
        <v>49</v>
      </c>
      <c r="L598" s="16"/>
      <c r="M598" s="26" t="s">
        <v>4890</v>
      </c>
      <c r="N598" s="23" t="s">
        <v>34</v>
      </c>
      <c r="O598" s="22"/>
    </row>
    <row r="599" spans="1:15">
      <c r="A599" s="13">
        <v>598</v>
      </c>
      <c r="B599" s="14">
        <v>45953</v>
      </c>
      <c r="C599" s="16" t="s">
        <v>49</v>
      </c>
      <c r="D599" s="16" t="str">
        <f>VLOOKUP(E599,[1]Sheet3!A:B,2,0)</f>
        <v>洗衣机</v>
      </c>
      <c r="E599" s="16" t="s">
        <v>27</v>
      </c>
      <c r="F599" s="16" t="s">
        <v>28</v>
      </c>
      <c r="G599" s="25" t="s">
        <v>4897</v>
      </c>
      <c r="H599" s="16" t="s">
        <v>4898</v>
      </c>
      <c r="I599" s="16"/>
      <c r="J599" s="26" t="s">
        <v>4889</v>
      </c>
      <c r="K599" s="27" t="s">
        <v>49</v>
      </c>
      <c r="L599" s="16"/>
      <c r="M599" s="26" t="s">
        <v>4890</v>
      </c>
      <c r="N599" s="23" t="s">
        <v>34</v>
      </c>
      <c r="O599" s="22"/>
    </row>
    <row r="600" spans="1:15">
      <c r="A600" s="13">
        <v>599</v>
      </c>
      <c r="B600" s="14">
        <v>45953</v>
      </c>
      <c r="C600" s="16" t="s">
        <v>68</v>
      </c>
      <c r="D600" s="16" t="str">
        <f>VLOOKUP(E600,[1]Sheet3!A:B,2,0)</f>
        <v>洗衣机</v>
      </c>
      <c r="E600" s="16" t="s">
        <v>35</v>
      </c>
      <c r="F600" s="16" t="s">
        <v>28</v>
      </c>
      <c r="G600" s="25" t="s">
        <v>4899</v>
      </c>
      <c r="H600" s="16" t="s">
        <v>4900</v>
      </c>
      <c r="I600" s="16"/>
      <c r="J600" s="32" t="s">
        <v>4901</v>
      </c>
      <c r="K600" s="27" t="s">
        <v>24</v>
      </c>
      <c r="L600" s="16"/>
      <c r="M600" s="32" t="s">
        <v>4902</v>
      </c>
      <c r="N600" s="51" t="s">
        <v>34</v>
      </c>
      <c r="O600" s="22"/>
    </row>
    <row r="601" spans="1:15">
      <c r="A601" s="13">
        <v>600</v>
      </c>
      <c r="B601" s="14">
        <v>45953</v>
      </c>
      <c r="C601" s="16" t="s">
        <v>68</v>
      </c>
      <c r="D601" s="16" t="str">
        <f>VLOOKUP(E601,[1]Sheet3!A:B,2,0)</f>
        <v>冰箱</v>
      </c>
      <c r="E601" s="16" t="s">
        <v>41</v>
      </c>
      <c r="F601" s="16" t="s">
        <v>28</v>
      </c>
      <c r="G601" s="25" t="s">
        <v>4903</v>
      </c>
      <c r="H601" s="16" t="s">
        <v>4904</v>
      </c>
      <c r="I601" s="16"/>
      <c r="J601" s="48"/>
      <c r="K601" s="27" t="s">
        <v>24</v>
      </c>
      <c r="L601" s="16"/>
      <c r="M601" s="48"/>
      <c r="N601" s="52"/>
      <c r="O601" s="22"/>
    </row>
    <row r="602" spans="1:15">
      <c r="A602" s="13">
        <v>601</v>
      </c>
      <c r="B602" s="14">
        <v>45953</v>
      </c>
      <c r="C602" s="16" t="s">
        <v>68</v>
      </c>
      <c r="D602" s="16" t="str">
        <f>VLOOKUP(E602,[1]Sheet3!A:B,2,0)</f>
        <v>冰箱</v>
      </c>
      <c r="E602" s="16" t="s">
        <v>41</v>
      </c>
      <c r="F602" s="16" t="s">
        <v>28</v>
      </c>
      <c r="G602" s="25" t="s">
        <v>4905</v>
      </c>
      <c r="H602" s="16">
        <v>264798385</v>
      </c>
      <c r="I602" s="16"/>
      <c r="J602" s="48"/>
      <c r="K602" s="27" t="s">
        <v>24</v>
      </c>
      <c r="L602" s="16"/>
      <c r="M602" s="48"/>
      <c r="N602" s="52"/>
      <c r="O602" s="22"/>
    </row>
    <row r="603" spans="1:15">
      <c r="A603" s="13">
        <v>602</v>
      </c>
      <c r="B603" s="14">
        <v>45953</v>
      </c>
      <c r="C603" s="16" t="s">
        <v>68</v>
      </c>
      <c r="D603" s="16" t="str">
        <f>VLOOKUP(E603,[1]Sheet3!A:B,2,0)</f>
        <v>冰箱</v>
      </c>
      <c r="E603" s="16" t="s">
        <v>148</v>
      </c>
      <c r="F603" s="16" t="s">
        <v>28</v>
      </c>
      <c r="G603" s="25" t="s">
        <v>4906</v>
      </c>
      <c r="H603" s="16" t="s">
        <v>4907</v>
      </c>
      <c r="I603" s="16"/>
      <c r="J603" s="48"/>
      <c r="K603" s="27" t="s">
        <v>24</v>
      </c>
      <c r="L603" s="16"/>
      <c r="M603" s="48"/>
      <c r="N603" s="52"/>
      <c r="O603" s="22"/>
    </row>
    <row r="604" spans="1:15">
      <c r="A604" s="13">
        <v>603</v>
      </c>
      <c r="B604" s="14">
        <v>45953</v>
      </c>
      <c r="C604" s="16" t="s">
        <v>68</v>
      </c>
      <c r="D604" s="16" t="str">
        <f>VLOOKUP(E604,[1]Sheet3!A:B,2,0)</f>
        <v>冰箱</v>
      </c>
      <c r="E604" s="16" t="s">
        <v>41</v>
      </c>
      <c r="F604" s="16" t="s">
        <v>28</v>
      </c>
      <c r="G604" s="25" t="s">
        <v>4908</v>
      </c>
      <c r="H604" s="16" t="s">
        <v>4909</v>
      </c>
      <c r="I604" s="16"/>
      <c r="J604" s="48"/>
      <c r="K604" s="27" t="s">
        <v>24</v>
      </c>
      <c r="L604" s="16"/>
      <c r="M604" s="48"/>
      <c r="N604" s="52"/>
      <c r="O604" s="22"/>
    </row>
    <row r="605" spans="1:15">
      <c r="A605" s="13">
        <v>604</v>
      </c>
      <c r="B605" s="14">
        <v>45953</v>
      </c>
      <c r="C605" s="16" t="s">
        <v>68</v>
      </c>
      <c r="D605" s="16" t="str">
        <f>VLOOKUP(E605,[1]Sheet3!A:B,2,0)</f>
        <v>冰箱</v>
      </c>
      <c r="E605" s="16" t="s">
        <v>41</v>
      </c>
      <c r="F605" s="16" t="s">
        <v>28</v>
      </c>
      <c r="G605" s="25" t="s">
        <v>4910</v>
      </c>
      <c r="H605" s="16" t="s">
        <v>4911</v>
      </c>
      <c r="I605" s="16"/>
      <c r="J605" s="48"/>
      <c r="K605" s="27" t="s">
        <v>24</v>
      </c>
      <c r="L605" s="16"/>
      <c r="M605" s="48"/>
      <c r="N605" s="52"/>
      <c r="O605" s="22"/>
    </row>
    <row r="606" spans="1:15">
      <c r="A606" s="13">
        <v>605</v>
      </c>
      <c r="B606" s="14">
        <v>45953</v>
      </c>
      <c r="C606" s="16" t="s">
        <v>68</v>
      </c>
      <c r="D606" s="16" t="str">
        <f>VLOOKUP(E606,[1]Sheet3!A:B,2,0)</f>
        <v>冰箱</v>
      </c>
      <c r="E606" s="16" t="s">
        <v>41</v>
      </c>
      <c r="F606" s="16" t="s">
        <v>28</v>
      </c>
      <c r="G606" s="25" t="s">
        <v>4912</v>
      </c>
      <c r="H606" s="16" t="s">
        <v>4913</v>
      </c>
      <c r="I606" s="16"/>
      <c r="J606" s="48"/>
      <c r="K606" s="27" t="s">
        <v>24</v>
      </c>
      <c r="L606" s="16"/>
      <c r="M606" s="48"/>
      <c r="N606" s="52"/>
      <c r="O606" s="22"/>
    </row>
    <row r="607" spans="1:15">
      <c r="A607" s="13">
        <v>606</v>
      </c>
      <c r="B607" s="14">
        <v>45953</v>
      </c>
      <c r="C607" s="16" t="s">
        <v>68</v>
      </c>
      <c r="D607" s="16" t="str">
        <f>VLOOKUP(E607,[1]Sheet3!A:B,2,0)</f>
        <v>洗衣机</v>
      </c>
      <c r="E607" s="16" t="s">
        <v>35</v>
      </c>
      <c r="F607" s="16" t="s">
        <v>28</v>
      </c>
      <c r="G607" s="25" t="s">
        <v>4914</v>
      </c>
      <c r="H607" s="16" t="s">
        <v>4915</v>
      </c>
      <c r="I607" s="16"/>
      <c r="J607" s="48"/>
      <c r="K607" s="27" t="s">
        <v>24</v>
      </c>
      <c r="L607" s="16"/>
      <c r="M607" s="48"/>
      <c r="N607" s="52"/>
      <c r="O607" s="22"/>
    </row>
    <row r="608" spans="1:15">
      <c r="A608" s="13">
        <v>607</v>
      </c>
      <c r="B608" s="14">
        <v>45953</v>
      </c>
      <c r="C608" s="16" t="s">
        <v>68</v>
      </c>
      <c r="D608" s="16" t="str">
        <f>VLOOKUP(E608,[1]Sheet3!A:B,2,0)</f>
        <v>冰箱</v>
      </c>
      <c r="E608" s="16" t="s">
        <v>41</v>
      </c>
      <c r="F608" s="16" t="s">
        <v>28</v>
      </c>
      <c r="G608" s="25" t="s">
        <v>4916</v>
      </c>
      <c r="H608" s="16" t="s">
        <v>4917</v>
      </c>
      <c r="I608" s="16"/>
      <c r="J608" s="48"/>
      <c r="K608" s="27" t="s">
        <v>24</v>
      </c>
      <c r="L608" s="16"/>
      <c r="M608" s="48"/>
      <c r="N608" s="52"/>
      <c r="O608" s="22"/>
    </row>
    <row r="609" spans="1:15">
      <c r="A609" s="13">
        <v>608</v>
      </c>
      <c r="B609" s="14">
        <v>45953</v>
      </c>
      <c r="C609" s="16" t="s">
        <v>68</v>
      </c>
      <c r="D609" s="16" t="str">
        <f>VLOOKUP(E609,[1]Sheet3!A:B,2,0)</f>
        <v>冰箱</v>
      </c>
      <c r="E609" s="16" t="s">
        <v>41</v>
      </c>
      <c r="F609" s="16" t="s">
        <v>28</v>
      </c>
      <c r="G609" s="25" t="s">
        <v>4918</v>
      </c>
      <c r="H609" s="16" t="s">
        <v>4919</v>
      </c>
      <c r="I609" s="16"/>
      <c r="J609" s="48"/>
      <c r="K609" s="27" t="s">
        <v>24</v>
      </c>
      <c r="L609" s="16"/>
      <c r="M609" s="48"/>
      <c r="N609" s="52"/>
      <c r="O609" s="22"/>
    </row>
    <row r="610" spans="1:15">
      <c r="A610" s="13">
        <v>609</v>
      </c>
      <c r="B610" s="14">
        <v>45953</v>
      </c>
      <c r="C610" s="16" t="s">
        <v>68</v>
      </c>
      <c r="D610" s="16" t="str">
        <f>VLOOKUP(E610,[1]Sheet3!A:B,2,0)</f>
        <v>冰箱</v>
      </c>
      <c r="E610" s="16" t="s">
        <v>41</v>
      </c>
      <c r="F610" s="16" t="s">
        <v>28</v>
      </c>
      <c r="G610" s="25" t="s">
        <v>4920</v>
      </c>
      <c r="H610" s="16" t="s">
        <v>4921</v>
      </c>
      <c r="I610" s="16"/>
      <c r="J610" s="48"/>
      <c r="K610" s="27" t="s">
        <v>24</v>
      </c>
      <c r="L610" s="16"/>
      <c r="M610" s="48"/>
      <c r="N610" s="52"/>
      <c r="O610" s="22"/>
    </row>
    <row r="611" spans="1:15">
      <c r="A611" s="13">
        <v>610</v>
      </c>
      <c r="B611" s="14">
        <v>45953</v>
      </c>
      <c r="C611" s="16" t="s">
        <v>68</v>
      </c>
      <c r="D611" s="16" t="str">
        <f>VLOOKUP(E611,[1]Sheet3!A:B,2,0)</f>
        <v>洗衣机</v>
      </c>
      <c r="E611" s="16" t="s">
        <v>35</v>
      </c>
      <c r="F611" s="16" t="s">
        <v>28</v>
      </c>
      <c r="G611" s="25" t="s">
        <v>4922</v>
      </c>
      <c r="H611" s="16" t="s">
        <v>4923</v>
      </c>
      <c r="I611" s="16"/>
      <c r="J611" s="48"/>
      <c r="K611" s="27" t="s">
        <v>24</v>
      </c>
      <c r="L611" s="16"/>
      <c r="M611" s="48"/>
      <c r="N611" s="52"/>
      <c r="O611" s="22"/>
    </row>
    <row r="612" spans="1:15">
      <c r="A612" s="13">
        <v>611</v>
      </c>
      <c r="B612" s="14">
        <v>45953</v>
      </c>
      <c r="C612" s="16" t="s">
        <v>68</v>
      </c>
      <c r="D612" s="16" t="str">
        <f>VLOOKUP(E612,[1]Sheet3!A:B,2,0)</f>
        <v>冰箱</v>
      </c>
      <c r="E612" s="16" t="s">
        <v>41</v>
      </c>
      <c r="F612" s="16" t="s">
        <v>28</v>
      </c>
      <c r="G612" s="25" t="s">
        <v>4924</v>
      </c>
      <c r="H612" s="16" t="s">
        <v>4925</v>
      </c>
      <c r="I612" s="16"/>
      <c r="J612" s="48"/>
      <c r="K612" s="27" t="s">
        <v>24</v>
      </c>
      <c r="L612" s="16"/>
      <c r="M612" s="48"/>
      <c r="N612" s="52"/>
      <c r="O612" s="22"/>
    </row>
    <row r="613" spans="1:15">
      <c r="A613" s="13">
        <v>612</v>
      </c>
      <c r="B613" s="14">
        <v>45953</v>
      </c>
      <c r="C613" s="16" t="s">
        <v>68</v>
      </c>
      <c r="D613" s="16" t="str">
        <f>VLOOKUP(E613,[1]Sheet3!A:B,2,0)</f>
        <v>洗衣机</v>
      </c>
      <c r="E613" s="16" t="s">
        <v>35</v>
      </c>
      <c r="F613" s="16" t="s">
        <v>28</v>
      </c>
      <c r="G613" s="25" t="s">
        <v>4926</v>
      </c>
      <c r="H613" s="16" t="s">
        <v>4927</v>
      </c>
      <c r="I613" s="16"/>
      <c r="J613" s="35"/>
      <c r="K613" s="27" t="s">
        <v>24</v>
      </c>
      <c r="L613" s="16"/>
      <c r="M613" s="35"/>
      <c r="N613" s="53"/>
      <c r="O613" s="22"/>
    </row>
    <row r="614" spans="1:15">
      <c r="A614" s="13">
        <v>613</v>
      </c>
      <c r="B614" s="14">
        <v>45954</v>
      </c>
      <c r="C614" s="16" t="s">
        <v>68</v>
      </c>
      <c r="D614" s="16" t="str">
        <f>VLOOKUP(E614,[1]Sheet3!A:B,2,0)</f>
        <v>冰箱</v>
      </c>
      <c r="E614" s="16" t="s">
        <v>41</v>
      </c>
      <c r="F614" s="16" t="s">
        <v>28</v>
      </c>
      <c r="G614" s="25" t="s">
        <v>4928</v>
      </c>
      <c r="H614" s="16" t="s">
        <v>4929</v>
      </c>
      <c r="I614" s="16"/>
      <c r="J614" s="32" t="s">
        <v>4930</v>
      </c>
      <c r="K614" s="31" t="s">
        <v>24</v>
      </c>
      <c r="L614" s="16"/>
      <c r="M614" s="32" t="s">
        <v>4931</v>
      </c>
      <c r="N614" s="51" t="s">
        <v>34</v>
      </c>
      <c r="O614" s="22"/>
    </row>
    <row r="615" spans="1:15">
      <c r="A615" s="13">
        <v>614</v>
      </c>
      <c r="B615" s="14">
        <v>45954</v>
      </c>
      <c r="C615" s="16" t="s">
        <v>68</v>
      </c>
      <c r="D615" s="16" t="str">
        <f>VLOOKUP(E615,[1]Sheet3!A:B,2,0)</f>
        <v>冰箱</v>
      </c>
      <c r="E615" s="16" t="s">
        <v>148</v>
      </c>
      <c r="F615" s="16" t="s">
        <v>28</v>
      </c>
      <c r="G615" s="25" t="s">
        <v>4932</v>
      </c>
      <c r="H615" s="16" t="s">
        <v>4933</v>
      </c>
      <c r="I615" s="16"/>
      <c r="J615" s="48"/>
      <c r="K615" s="54"/>
      <c r="L615" s="16"/>
      <c r="M615" s="48"/>
      <c r="N615" s="52"/>
      <c r="O615" s="22"/>
    </row>
    <row r="616" spans="1:15">
      <c r="A616" s="13">
        <v>615</v>
      </c>
      <c r="B616" s="14">
        <v>45954</v>
      </c>
      <c r="C616" s="16" t="s">
        <v>68</v>
      </c>
      <c r="D616" s="16" t="str">
        <f>VLOOKUP(E616,[1]Sheet3!A:B,2,0)</f>
        <v>冰箱</v>
      </c>
      <c r="E616" s="16" t="s">
        <v>148</v>
      </c>
      <c r="F616" s="16" t="s">
        <v>28</v>
      </c>
      <c r="G616" s="25" t="s">
        <v>4934</v>
      </c>
      <c r="H616" s="16" t="s">
        <v>4935</v>
      </c>
      <c r="I616" s="16"/>
      <c r="J616" s="48"/>
      <c r="K616" s="54"/>
      <c r="L616" s="16"/>
      <c r="M616" s="48"/>
      <c r="N616" s="52"/>
      <c r="O616" s="22"/>
    </row>
    <row r="617" spans="1:15">
      <c r="A617" s="13">
        <v>616</v>
      </c>
      <c r="B617" s="14">
        <v>45954</v>
      </c>
      <c r="C617" s="16" t="s">
        <v>68</v>
      </c>
      <c r="D617" s="16" t="str">
        <f>VLOOKUP(E617,[1]Sheet3!A:B,2,0)</f>
        <v>冰箱</v>
      </c>
      <c r="E617" s="16" t="s">
        <v>41</v>
      </c>
      <c r="F617" s="16" t="s">
        <v>28</v>
      </c>
      <c r="G617" s="25" t="s">
        <v>4936</v>
      </c>
      <c r="H617" s="16" t="s">
        <v>4937</v>
      </c>
      <c r="I617" s="16"/>
      <c r="J617" s="35"/>
      <c r="K617" s="34"/>
      <c r="L617" s="16"/>
      <c r="M617" s="35"/>
      <c r="N617" s="53"/>
      <c r="O617" s="22"/>
    </row>
    <row r="618" spans="1:15">
      <c r="A618" s="13">
        <v>617</v>
      </c>
      <c r="B618" s="14">
        <v>45954</v>
      </c>
      <c r="C618" s="16" t="s">
        <v>49</v>
      </c>
      <c r="D618" s="16" t="str">
        <f>VLOOKUP(E618,[1]Sheet3!A:B,2,0)</f>
        <v>厨热</v>
      </c>
      <c r="E618" s="16" t="s">
        <v>154</v>
      </c>
      <c r="F618" s="16" t="s">
        <v>28</v>
      </c>
      <c r="G618" s="25" t="s">
        <v>4938</v>
      </c>
      <c r="H618" s="16" t="s">
        <v>4939</v>
      </c>
      <c r="I618" s="16"/>
      <c r="J618" s="26" t="s">
        <v>4940</v>
      </c>
      <c r="K618" s="27" t="s">
        <v>49</v>
      </c>
      <c r="L618" s="16"/>
      <c r="M618" s="26" t="s">
        <v>4893</v>
      </c>
      <c r="N618" s="23" t="s">
        <v>34</v>
      </c>
      <c r="O618" s="22"/>
    </row>
    <row r="619" spans="1:15">
      <c r="A619" s="13">
        <v>618</v>
      </c>
      <c r="B619" s="14">
        <v>45954</v>
      </c>
      <c r="C619" s="16" t="s">
        <v>49</v>
      </c>
      <c r="D619" s="16" t="str">
        <f>VLOOKUP(E619,[1]Sheet3!A:B,2,0)</f>
        <v>冰箱</v>
      </c>
      <c r="E619" s="16" t="s">
        <v>41</v>
      </c>
      <c r="F619" s="16" t="s">
        <v>28</v>
      </c>
      <c r="G619" s="25" t="s">
        <v>4941</v>
      </c>
      <c r="H619" s="16" t="s">
        <v>4942</v>
      </c>
      <c r="I619" s="16"/>
      <c r="J619" s="26" t="s">
        <v>4940</v>
      </c>
      <c r="K619" s="27" t="s">
        <v>49</v>
      </c>
      <c r="L619" s="16"/>
      <c r="M619" s="26" t="s">
        <v>4943</v>
      </c>
      <c r="N619" s="23" t="s">
        <v>34</v>
      </c>
      <c r="O619" s="22"/>
    </row>
    <row r="620" spans="1:15">
      <c r="A620" s="13">
        <v>619</v>
      </c>
      <c r="B620" s="14">
        <v>45954</v>
      </c>
      <c r="C620" s="16" t="s">
        <v>68</v>
      </c>
      <c r="D620" s="16" t="str">
        <f>VLOOKUP(E620,[1]Sheet3!A:B,2,0)</f>
        <v>冰箱</v>
      </c>
      <c r="E620" s="16" t="s">
        <v>41</v>
      </c>
      <c r="F620" s="16" t="s">
        <v>28</v>
      </c>
      <c r="G620" s="25" t="s">
        <v>4944</v>
      </c>
      <c r="H620" s="16" t="s">
        <v>4945</v>
      </c>
      <c r="I620" s="16"/>
      <c r="J620" s="30" t="s">
        <v>4946</v>
      </c>
      <c r="K620" s="31" t="s">
        <v>32</v>
      </c>
      <c r="L620" s="16"/>
      <c r="M620" s="30" t="s">
        <v>4947</v>
      </c>
      <c r="N620" s="23" t="s">
        <v>34</v>
      </c>
      <c r="O620" s="22"/>
    </row>
    <row r="621" spans="1:15">
      <c r="A621" s="13">
        <v>620</v>
      </c>
      <c r="B621" s="14">
        <v>45954</v>
      </c>
      <c r="C621" s="16" t="s">
        <v>68</v>
      </c>
      <c r="D621" s="16" t="str">
        <f>VLOOKUP(E621,[1]Sheet3!A:B,2,0)</f>
        <v>冰箱</v>
      </c>
      <c r="E621" s="16" t="s">
        <v>41</v>
      </c>
      <c r="F621" s="16" t="s">
        <v>28</v>
      </c>
      <c r="G621" s="25" t="s">
        <v>4948</v>
      </c>
      <c r="H621" s="16" t="s">
        <v>4949</v>
      </c>
      <c r="I621" s="16"/>
      <c r="J621" s="39"/>
      <c r="K621" s="54"/>
      <c r="L621" s="16"/>
      <c r="M621" s="39"/>
      <c r="N621" s="23" t="s">
        <v>34</v>
      </c>
      <c r="O621" s="22"/>
    </row>
    <row r="622" spans="1:15">
      <c r="A622" s="13">
        <v>621</v>
      </c>
      <c r="B622" s="14">
        <v>45954</v>
      </c>
      <c r="C622" s="16" t="s">
        <v>68</v>
      </c>
      <c r="D622" s="16" t="str">
        <f>VLOOKUP(E622,[1]Sheet3!A:B,2,0)</f>
        <v>冰箱</v>
      </c>
      <c r="E622" s="16" t="s">
        <v>41</v>
      </c>
      <c r="F622" s="16" t="s">
        <v>28</v>
      </c>
      <c r="G622" s="25" t="s">
        <v>4950</v>
      </c>
      <c r="H622" s="16" t="s">
        <v>4951</v>
      </c>
      <c r="I622" s="16"/>
      <c r="J622" s="39"/>
      <c r="K622" s="54"/>
      <c r="L622" s="16"/>
      <c r="M622" s="39"/>
      <c r="N622" s="23" t="s">
        <v>34</v>
      </c>
      <c r="O622" s="22"/>
    </row>
    <row r="623" spans="1:15">
      <c r="A623" s="13">
        <v>622</v>
      </c>
      <c r="B623" s="14">
        <v>45954</v>
      </c>
      <c r="C623" s="16" t="s">
        <v>68</v>
      </c>
      <c r="D623" s="16" t="str">
        <f>VLOOKUP(E623,[1]Sheet3!A:B,2,0)</f>
        <v>冰箱</v>
      </c>
      <c r="E623" s="16" t="s">
        <v>41</v>
      </c>
      <c r="F623" s="16" t="s">
        <v>28</v>
      </c>
      <c r="G623" s="25" t="s">
        <v>4952</v>
      </c>
      <c r="H623" s="16" t="s">
        <v>4953</v>
      </c>
      <c r="I623" s="16"/>
      <c r="J623" s="33"/>
      <c r="K623" s="34"/>
      <c r="L623" s="16"/>
      <c r="M623" s="33"/>
      <c r="N623" s="23" t="s">
        <v>34</v>
      </c>
      <c r="O623" s="22"/>
    </row>
    <row r="624" ht="33" spans="1:15">
      <c r="A624" s="13">
        <v>623</v>
      </c>
      <c r="B624" s="14">
        <v>45957</v>
      </c>
      <c r="C624" s="16" t="s">
        <v>25</v>
      </c>
      <c r="D624" s="16" t="str">
        <f>VLOOKUP(E624,[1]Sheet3!A:B,2,0)</f>
        <v>洗衣机</v>
      </c>
      <c r="E624" s="16" t="s">
        <v>27</v>
      </c>
      <c r="F624" s="16" t="s">
        <v>28</v>
      </c>
      <c r="G624" s="25" t="s">
        <v>4954</v>
      </c>
      <c r="H624" s="16" t="s">
        <v>4955</v>
      </c>
      <c r="I624" s="16"/>
      <c r="J624" s="26" t="s">
        <v>4956</v>
      </c>
      <c r="K624" s="27" t="s">
        <v>92</v>
      </c>
      <c r="L624" s="16"/>
      <c r="M624" s="26" t="s">
        <v>4957</v>
      </c>
      <c r="N624" s="23" t="s">
        <v>34</v>
      </c>
      <c r="O624" s="22"/>
    </row>
    <row r="625" ht="52" customHeight="1" spans="1:15">
      <c r="A625" s="13">
        <v>624</v>
      </c>
      <c r="B625" s="14">
        <v>45957</v>
      </c>
      <c r="C625" s="16" t="s">
        <v>403</v>
      </c>
      <c r="D625" s="16" t="str">
        <f>VLOOKUP(E625,[1]Sheet3!A:B,2,0)</f>
        <v>厨热</v>
      </c>
      <c r="E625" s="16" t="s">
        <v>154</v>
      </c>
      <c r="F625" s="16" t="s">
        <v>28</v>
      </c>
      <c r="G625" s="25" t="s">
        <v>3099</v>
      </c>
      <c r="H625" s="16" t="s">
        <v>4958</v>
      </c>
      <c r="I625" s="16"/>
      <c r="J625" s="26" t="s">
        <v>4959</v>
      </c>
      <c r="K625" s="27" t="s">
        <v>92</v>
      </c>
      <c r="L625" s="16"/>
      <c r="M625" s="26" t="s">
        <v>4960</v>
      </c>
      <c r="N625" s="23" t="s">
        <v>34</v>
      </c>
      <c r="O625" s="22"/>
    </row>
    <row r="626" ht="115.5" spans="1:15">
      <c r="A626" s="13">
        <v>625</v>
      </c>
      <c r="B626" s="14">
        <v>45957</v>
      </c>
      <c r="C626" s="16" t="s">
        <v>49</v>
      </c>
      <c r="D626" s="16" t="str">
        <f>VLOOKUP(E626,[1]Sheet3!A:B,2,0)</f>
        <v>冰箱</v>
      </c>
      <c r="E626" s="16" t="s">
        <v>41</v>
      </c>
      <c r="F626" s="16" t="s">
        <v>28</v>
      </c>
      <c r="G626" s="25" t="s">
        <v>4961</v>
      </c>
      <c r="H626" s="16" t="s">
        <v>4962</v>
      </c>
      <c r="I626" s="16"/>
      <c r="J626" s="26" t="s">
        <v>4963</v>
      </c>
      <c r="K626" s="27" t="s">
        <v>4964</v>
      </c>
      <c r="L626" s="16"/>
      <c r="M626" s="26" t="s">
        <v>4965</v>
      </c>
      <c r="N626" s="23" t="s">
        <v>34</v>
      </c>
      <c r="O626" s="22"/>
    </row>
    <row r="627" ht="49.5" spans="1:15">
      <c r="A627" s="13">
        <v>626</v>
      </c>
      <c r="B627" s="14">
        <v>45957</v>
      </c>
      <c r="C627" s="16" t="s">
        <v>49</v>
      </c>
      <c r="D627" s="16" t="str">
        <f>VLOOKUP(E627,[1]Sheet3!A:B,2,0)</f>
        <v>洗衣机</v>
      </c>
      <c r="E627" s="16" t="s">
        <v>27</v>
      </c>
      <c r="F627" s="16" t="s">
        <v>28</v>
      </c>
      <c r="G627" s="25" t="s">
        <v>4966</v>
      </c>
      <c r="H627" s="16">
        <v>264478501</v>
      </c>
      <c r="I627" s="16"/>
      <c r="J627" s="26" t="s">
        <v>4967</v>
      </c>
      <c r="K627" s="27" t="s">
        <v>49</v>
      </c>
      <c r="L627" s="16"/>
      <c r="M627" s="26" t="s">
        <v>4968</v>
      </c>
      <c r="N627" s="23" t="s">
        <v>34</v>
      </c>
      <c r="O627" s="22"/>
    </row>
    <row r="628" spans="1:15">
      <c r="A628" s="13">
        <v>627</v>
      </c>
      <c r="B628" s="14">
        <v>45957</v>
      </c>
      <c r="C628" s="16" t="s">
        <v>49</v>
      </c>
      <c r="D628" s="16" t="str">
        <f>VLOOKUP(E628,[1]Sheet3!A:B,2,0)</f>
        <v>洗衣机</v>
      </c>
      <c r="E628" s="16" t="s">
        <v>35</v>
      </c>
      <c r="F628" s="16" t="s">
        <v>28</v>
      </c>
      <c r="G628" s="25" t="s">
        <v>4969</v>
      </c>
      <c r="H628" s="16" t="s">
        <v>4970</v>
      </c>
      <c r="I628" s="16"/>
      <c r="J628" s="26" t="s">
        <v>4967</v>
      </c>
      <c r="K628" s="27" t="s">
        <v>49</v>
      </c>
      <c r="L628" s="16"/>
      <c r="M628" s="26" t="s">
        <v>4971</v>
      </c>
      <c r="N628" s="23" t="s">
        <v>34</v>
      </c>
      <c r="O628" s="22"/>
    </row>
    <row r="629" ht="33" spans="1:15">
      <c r="A629" s="13">
        <v>628</v>
      </c>
      <c r="B629" s="14">
        <v>45957</v>
      </c>
      <c r="C629" s="16" t="s">
        <v>25</v>
      </c>
      <c r="D629" s="16" t="str">
        <f>VLOOKUP(E629,[1]Sheet3!A:B,2,0)</f>
        <v>洗衣机</v>
      </c>
      <c r="E629" s="16" t="s">
        <v>27</v>
      </c>
      <c r="F629" s="16" t="s">
        <v>28</v>
      </c>
      <c r="G629" s="25" t="s">
        <v>4972</v>
      </c>
      <c r="H629" s="16" t="s">
        <v>4973</v>
      </c>
      <c r="I629" s="16"/>
      <c r="J629" s="26" t="s">
        <v>4974</v>
      </c>
      <c r="K629" s="27" t="s">
        <v>92</v>
      </c>
      <c r="L629" s="16"/>
      <c r="M629" s="26" t="s">
        <v>4975</v>
      </c>
      <c r="N629" s="23" t="s">
        <v>34</v>
      </c>
      <c r="O629" s="22"/>
    </row>
    <row r="630" ht="33" spans="1:15">
      <c r="A630" s="13">
        <v>629</v>
      </c>
      <c r="B630" s="14">
        <v>45958</v>
      </c>
      <c r="C630" s="16" t="s">
        <v>25</v>
      </c>
      <c r="D630" s="16" t="str">
        <f>VLOOKUP(E630,[1]Sheet3!A:B,2,0)</f>
        <v>冰箱</v>
      </c>
      <c r="E630" s="16" t="s">
        <v>41</v>
      </c>
      <c r="F630" s="16" t="s">
        <v>28</v>
      </c>
      <c r="G630" s="25" t="s">
        <v>4976</v>
      </c>
      <c r="H630" s="16" t="s">
        <v>4977</v>
      </c>
      <c r="I630" s="16"/>
      <c r="J630" s="26" t="s">
        <v>4978</v>
      </c>
      <c r="K630" s="27" t="s">
        <v>24</v>
      </c>
      <c r="L630" s="16"/>
      <c r="M630" s="26" t="s">
        <v>4979</v>
      </c>
      <c r="N630" s="23" t="s">
        <v>34</v>
      </c>
      <c r="O630" s="22"/>
    </row>
    <row r="631" ht="115.5" spans="1:15">
      <c r="A631" s="13">
        <v>630</v>
      </c>
      <c r="B631" s="14">
        <v>45959</v>
      </c>
      <c r="C631" s="16" t="s">
        <v>49</v>
      </c>
      <c r="D631" s="16" t="str">
        <f>VLOOKUP(E631,[1]Sheet3!A:B,2,0)</f>
        <v>洗衣机</v>
      </c>
      <c r="E631" s="16" t="s">
        <v>27</v>
      </c>
      <c r="F631" s="16" t="s">
        <v>28</v>
      </c>
      <c r="G631" s="25" t="s">
        <v>4980</v>
      </c>
      <c r="H631" s="16" t="s">
        <v>4981</v>
      </c>
      <c r="I631" s="16"/>
      <c r="J631" s="26" t="s">
        <v>4982</v>
      </c>
      <c r="K631" s="27" t="s">
        <v>49</v>
      </c>
      <c r="L631" s="16"/>
      <c r="M631" s="26" t="s">
        <v>4983</v>
      </c>
      <c r="N631" s="23" t="s">
        <v>34</v>
      </c>
      <c r="O631" s="22"/>
    </row>
    <row r="632" spans="1:15">
      <c r="A632" s="13">
        <v>631</v>
      </c>
      <c r="B632" s="14">
        <v>45959</v>
      </c>
      <c r="C632" s="16" t="s">
        <v>49</v>
      </c>
      <c r="D632" s="16" t="str">
        <f>VLOOKUP(E632,[1]Sheet3!A:B,2,0)</f>
        <v>洗衣机</v>
      </c>
      <c r="E632" s="16" t="s">
        <v>35</v>
      </c>
      <c r="F632" s="16" t="s">
        <v>28</v>
      </c>
      <c r="G632" s="25" t="s">
        <v>4984</v>
      </c>
      <c r="H632" s="16" t="s">
        <v>4985</v>
      </c>
      <c r="I632" s="16"/>
      <c r="J632" s="26" t="s">
        <v>4982</v>
      </c>
      <c r="K632" s="27" t="s">
        <v>49</v>
      </c>
      <c r="L632" s="16"/>
      <c r="M632" s="26" t="s">
        <v>4986</v>
      </c>
      <c r="N632" s="23" t="s">
        <v>34</v>
      </c>
      <c r="O632" s="22"/>
    </row>
    <row r="633" spans="1:15">
      <c r="A633" s="13">
        <v>632</v>
      </c>
      <c r="B633" s="14">
        <v>45960</v>
      </c>
      <c r="C633" s="16" t="s">
        <v>25</v>
      </c>
      <c r="D633" s="16" t="str">
        <f>VLOOKUP(E633,[1]Sheet3!A:B,2,0)</f>
        <v>微波和清洁</v>
      </c>
      <c r="E633" s="16" t="s">
        <v>223</v>
      </c>
      <c r="F633" s="16" t="s">
        <v>28</v>
      </c>
      <c r="G633" s="25" t="s">
        <v>4987</v>
      </c>
      <c r="H633" s="16" t="s">
        <v>4988</v>
      </c>
      <c r="I633" s="16"/>
      <c r="J633" s="26" t="s">
        <v>4989</v>
      </c>
      <c r="K633" s="27" t="s">
        <v>92</v>
      </c>
      <c r="L633" s="16"/>
      <c r="M633" s="26" t="s">
        <v>4990</v>
      </c>
      <c r="N633" s="23" t="s">
        <v>34</v>
      </c>
      <c r="O633" s="22"/>
    </row>
    <row r="634" ht="148.5" spans="1:15">
      <c r="A634" s="13">
        <v>633</v>
      </c>
      <c r="B634" s="14">
        <v>45960</v>
      </c>
      <c r="C634" s="16" t="s">
        <v>49</v>
      </c>
      <c r="D634" s="16" t="str">
        <f>VLOOKUP(E634,[1]Sheet3!A:B,2,0)</f>
        <v>微波和清洁</v>
      </c>
      <c r="E634" s="16" t="s">
        <v>223</v>
      </c>
      <c r="F634" s="16" t="s">
        <v>28</v>
      </c>
      <c r="G634" s="25" t="s">
        <v>4991</v>
      </c>
      <c r="H634" s="16" t="s">
        <v>4992</v>
      </c>
      <c r="I634" s="16"/>
      <c r="J634" s="26" t="s">
        <v>4993</v>
      </c>
      <c r="K634" s="27" t="s">
        <v>49</v>
      </c>
      <c r="L634" s="16"/>
      <c r="M634" s="26" t="s">
        <v>4994</v>
      </c>
      <c r="N634" s="23" t="s">
        <v>34</v>
      </c>
      <c r="O634" s="22"/>
    </row>
    <row r="635" spans="1:15">
      <c r="A635" s="13">
        <v>634</v>
      </c>
      <c r="B635" s="14">
        <v>45965</v>
      </c>
      <c r="C635" s="16" t="s">
        <v>25</v>
      </c>
      <c r="D635" s="16" t="str">
        <f>VLOOKUP(E635,[1]Sheet3!A:B,2,0)</f>
        <v>微波和清洁</v>
      </c>
      <c r="E635" s="16" t="s">
        <v>223</v>
      </c>
      <c r="F635" s="16" t="s">
        <v>28</v>
      </c>
      <c r="G635" s="25" t="s">
        <v>4995</v>
      </c>
      <c r="H635" s="16" t="s">
        <v>4996</v>
      </c>
      <c r="I635" s="16"/>
      <c r="J635" s="30" t="s">
        <v>4997</v>
      </c>
      <c r="K635" s="31" t="s">
        <v>49</v>
      </c>
      <c r="L635" s="16"/>
      <c r="M635" s="32" t="s">
        <v>4998</v>
      </c>
      <c r="N635" s="47" t="s">
        <v>34</v>
      </c>
      <c r="O635" s="22"/>
    </row>
    <row r="636" spans="1:15">
      <c r="A636" s="13">
        <v>635</v>
      </c>
      <c r="B636" s="14">
        <v>45965</v>
      </c>
      <c r="C636" s="16" t="s">
        <v>25</v>
      </c>
      <c r="D636" s="16" t="str">
        <f>VLOOKUP(E636,[1]Sheet3!A:B,2,0)</f>
        <v>微波和清洁</v>
      </c>
      <c r="E636" s="16" t="s">
        <v>223</v>
      </c>
      <c r="F636" s="16" t="s">
        <v>28</v>
      </c>
      <c r="G636" s="25" t="s">
        <v>4999</v>
      </c>
      <c r="H636" s="16" t="s">
        <v>5000</v>
      </c>
      <c r="I636" s="16"/>
      <c r="J636" s="39"/>
      <c r="K636" s="54"/>
      <c r="L636" s="16"/>
      <c r="M636" s="48"/>
      <c r="N636" s="49"/>
      <c r="O636" s="22"/>
    </row>
    <row r="637" spans="1:15">
      <c r="A637" s="13">
        <v>636</v>
      </c>
      <c r="B637" s="14">
        <v>45965</v>
      </c>
      <c r="C637" s="16" t="s">
        <v>25</v>
      </c>
      <c r="D637" s="16" t="str">
        <f>VLOOKUP(E637,[1]Sheet3!A:B,2,0)</f>
        <v>微波和清洁</v>
      </c>
      <c r="E637" s="16" t="s">
        <v>223</v>
      </c>
      <c r="F637" s="16" t="s">
        <v>28</v>
      </c>
      <c r="G637" s="25" t="s">
        <v>5001</v>
      </c>
      <c r="H637" s="16" t="s">
        <v>5002</v>
      </c>
      <c r="I637" s="16"/>
      <c r="J637" s="33"/>
      <c r="K637" s="34"/>
      <c r="L637" s="16"/>
      <c r="M637" s="35"/>
      <c r="N637" s="50"/>
      <c r="O637" s="22"/>
    </row>
    <row r="638" spans="1:15">
      <c r="A638" s="13">
        <v>637</v>
      </c>
      <c r="B638" s="14">
        <v>45961</v>
      </c>
      <c r="C638" s="16" t="s">
        <v>49</v>
      </c>
      <c r="D638" s="16" t="str">
        <f>VLOOKUP(E638,[1]Sheet3!A:B,2,0)</f>
        <v>冰箱</v>
      </c>
      <c r="E638" s="16" t="s">
        <v>41</v>
      </c>
      <c r="F638" s="16" t="s">
        <v>28</v>
      </c>
      <c r="G638" s="25" t="s">
        <v>5003</v>
      </c>
      <c r="H638" s="16" t="s">
        <v>5004</v>
      </c>
      <c r="I638" s="16"/>
      <c r="J638" s="26" t="s">
        <v>5005</v>
      </c>
      <c r="K638" s="27" t="s">
        <v>49</v>
      </c>
      <c r="L638" s="16"/>
      <c r="M638" s="26" t="s">
        <v>5006</v>
      </c>
      <c r="N638" s="23" t="s">
        <v>34</v>
      </c>
      <c r="O638" s="22"/>
    </row>
    <row r="639" spans="1:15">
      <c r="A639" s="13">
        <v>638</v>
      </c>
      <c r="B639" s="14">
        <v>45961</v>
      </c>
      <c r="C639" s="16" t="s">
        <v>49</v>
      </c>
      <c r="D639" s="16" t="str">
        <f>VLOOKUP(E639,[1]Sheet3!A:B,2,0)</f>
        <v>家用空调</v>
      </c>
      <c r="E639" s="16" t="s">
        <v>318</v>
      </c>
      <c r="F639" s="16" t="s">
        <v>28</v>
      </c>
      <c r="G639" s="25" t="s">
        <v>5007</v>
      </c>
      <c r="H639" s="16" t="s">
        <v>5008</v>
      </c>
      <c r="I639" s="16"/>
      <c r="J639" s="26" t="s">
        <v>5005</v>
      </c>
      <c r="K639" s="27" t="s">
        <v>49</v>
      </c>
      <c r="L639" s="16"/>
      <c r="M639" s="26" t="s">
        <v>5006</v>
      </c>
      <c r="N639" s="23" t="s">
        <v>34</v>
      </c>
      <c r="O639" s="22"/>
    </row>
    <row r="640" ht="49.5" spans="1:15">
      <c r="A640" s="13">
        <v>639</v>
      </c>
      <c r="B640" s="14">
        <v>45961</v>
      </c>
      <c r="C640" s="16" t="s">
        <v>25</v>
      </c>
      <c r="D640" s="16" t="str">
        <f>VLOOKUP(E640,[1]Sheet3!A:B,2,0)</f>
        <v>冰箱</v>
      </c>
      <c r="E640" s="16" t="s">
        <v>41</v>
      </c>
      <c r="F640" s="16" t="s">
        <v>28</v>
      </c>
      <c r="G640" s="25" t="s">
        <v>5009</v>
      </c>
      <c r="H640" s="16" t="s">
        <v>5010</v>
      </c>
      <c r="I640" s="16"/>
      <c r="J640" s="26" t="s">
        <v>5011</v>
      </c>
      <c r="K640" s="27" t="s">
        <v>355</v>
      </c>
      <c r="L640" s="16"/>
      <c r="M640" s="26" t="s">
        <v>5012</v>
      </c>
      <c r="N640" s="23" t="s">
        <v>34</v>
      </c>
      <c r="O640" s="22"/>
    </row>
    <row r="641" spans="1:15">
      <c r="A641" s="13">
        <v>640</v>
      </c>
      <c r="B641" s="14">
        <v>45961</v>
      </c>
      <c r="C641" s="16" t="s">
        <v>25</v>
      </c>
      <c r="D641" s="16" t="str">
        <f>VLOOKUP(E641,[1]Sheet3!A:B,2,0)</f>
        <v>厨热</v>
      </c>
      <c r="E641" s="16" t="s">
        <v>154</v>
      </c>
      <c r="F641" s="16" t="s">
        <v>28</v>
      </c>
      <c r="G641" s="25" t="s">
        <v>5013</v>
      </c>
      <c r="H641" s="16" t="s">
        <v>5014</v>
      </c>
      <c r="I641" s="16"/>
      <c r="J641" s="30" t="s">
        <v>5015</v>
      </c>
      <c r="K641" s="27" t="s">
        <v>355</v>
      </c>
      <c r="L641" s="16"/>
      <c r="M641" s="32" t="s">
        <v>5016</v>
      </c>
      <c r="N641" s="47" t="s">
        <v>34</v>
      </c>
      <c r="O641" s="22"/>
    </row>
    <row r="642" spans="1:15">
      <c r="A642" s="13">
        <v>641</v>
      </c>
      <c r="B642" s="14">
        <v>45961</v>
      </c>
      <c r="C642" s="16" t="s">
        <v>25</v>
      </c>
      <c r="D642" s="16" t="str">
        <f>VLOOKUP(E642,[1]Sheet3!A:B,2,0)</f>
        <v>厨热</v>
      </c>
      <c r="E642" s="16" t="s">
        <v>154</v>
      </c>
      <c r="F642" s="16" t="s">
        <v>28</v>
      </c>
      <c r="G642" s="25" t="s">
        <v>5017</v>
      </c>
      <c r="H642" s="16" t="s">
        <v>5018</v>
      </c>
      <c r="I642" s="16"/>
      <c r="J642" s="33"/>
      <c r="K642" s="27" t="s">
        <v>355</v>
      </c>
      <c r="L642" s="16"/>
      <c r="M642" s="35"/>
      <c r="N642" s="50"/>
      <c r="O642" s="22"/>
    </row>
    <row r="643" spans="1:15">
      <c r="A643" s="13">
        <v>642</v>
      </c>
      <c r="B643" s="14">
        <v>45962</v>
      </c>
      <c r="C643" s="16" t="s">
        <v>49</v>
      </c>
      <c r="D643" s="16" t="str">
        <f>VLOOKUP(E643,[1]Sheet3!A:B,2,0)</f>
        <v>洗衣机</v>
      </c>
      <c r="E643" s="16" t="s">
        <v>27</v>
      </c>
      <c r="F643" s="16" t="s">
        <v>28</v>
      </c>
      <c r="G643" s="25" t="s">
        <v>5019</v>
      </c>
      <c r="H643" s="16">
        <v>23595538984</v>
      </c>
      <c r="I643" s="16"/>
      <c r="J643" s="26" t="s">
        <v>5020</v>
      </c>
      <c r="K643" s="27" t="s">
        <v>49</v>
      </c>
      <c r="L643" s="16"/>
      <c r="M643" s="26" t="s">
        <v>5021</v>
      </c>
      <c r="N643" s="23" t="s">
        <v>34</v>
      </c>
      <c r="O643" s="22"/>
    </row>
    <row r="644" ht="33" spans="1:15">
      <c r="A644" s="13">
        <v>643</v>
      </c>
      <c r="B644" s="14">
        <v>45964</v>
      </c>
      <c r="C644" s="16" t="s">
        <v>25</v>
      </c>
      <c r="D644" s="16" t="str">
        <f>VLOOKUP(E644,[1]Sheet3!A:B,2,0)</f>
        <v>洗衣机</v>
      </c>
      <c r="E644" s="16" t="s">
        <v>27</v>
      </c>
      <c r="F644" s="16" t="s">
        <v>28</v>
      </c>
      <c r="G644" s="25" t="s">
        <v>5022</v>
      </c>
      <c r="H644" s="16">
        <v>260816906</v>
      </c>
      <c r="I644" s="16"/>
      <c r="J644" s="26" t="s">
        <v>5023</v>
      </c>
      <c r="K644" s="27" t="s">
        <v>92</v>
      </c>
      <c r="L644" s="16"/>
      <c r="M644" s="26" t="s">
        <v>5024</v>
      </c>
      <c r="N644" s="23" t="s">
        <v>34</v>
      </c>
      <c r="O644" s="22"/>
    </row>
    <row r="645" ht="99" spans="1:15">
      <c r="A645" s="13">
        <v>644</v>
      </c>
      <c r="B645" s="14">
        <v>45964</v>
      </c>
      <c r="C645" s="16" t="s">
        <v>25</v>
      </c>
      <c r="D645" s="16" t="str">
        <f>VLOOKUP(E645,[1]Sheet3!A:B,2,0)</f>
        <v>冰箱</v>
      </c>
      <c r="E645" s="16" t="s">
        <v>41</v>
      </c>
      <c r="F645" s="16" t="s">
        <v>28</v>
      </c>
      <c r="G645" s="25" t="s">
        <v>5025</v>
      </c>
      <c r="H645" s="16" t="s">
        <v>5026</v>
      </c>
      <c r="I645" s="16"/>
      <c r="J645" s="26" t="s">
        <v>5027</v>
      </c>
      <c r="K645" s="27" t="s">
        <v>92</v>
      </c>
      <c r="L645" s="16"/>
      <c r="M645" s="26" t="s">
        <v>5028</v>
      </c>
      <c r="N645" s="23" t="s">
        <v>34</v>
      </c>
      <c r="O645" s="22"/>
    </row>
    <row r="646" spans="1:15">
      <c r="A646" s="13">
        <v>645</v>
      </c>
      <c r="B646" s="14">
        <v>45964</v>
      </c>
      <c r="C646" s="16" t="s">
        <v>25</v>
      </c>
      <c r="D646" s="16" t="str">
        <f>VLOOKUP(E646,[1]Sheet3!A:B,2,0)</f>
        <v>洗衣机</v>
      </c>
      <c r="E646" s="16" t="s">
        <v>27</v>
      </c>
      <c r="F646" s="16" t="s">
        <v>28</v>
      </c>
      <c r="G646" s="25" t="s">
        <v>5029</v>
      </c>
      <c r="H646" s="16" t="s">
        <v>5030</v>
      </c>
      <c r="I646" s="16"/>
      <c r="J646" s="32" t="s">
        <v>5031</v>
      </c>
      <c r="K646" s="31" t="s">
        <v>24</v>
      </c>
      <c r="L646" s="16"/>
      <c r="M646" s="32" t="s">
        <v>5032</v>
      </c>
      <c r="N646" s="47" t="s">
        <v>34</v>
      </c>
      <c r="O646" s="55" t="s">
        <v>603</v>
      </c>
    </row>
    <row r="647" spans="1:15">
      <c r="A647" s="13">
        <v>646</v>
      </c>
      <c r="B647" s="14">
        <v>45964</v>
      </c>
      <c r="C647" s="16" t="s">
        <v>25</v>
      </c>
      <c r="D647" s="16" t="str">
        <f>VLOOKUP(E647,[1]Sheet3!A:B,2,0)</f>
        <v>洗衣机</v>
      </c>
      <c r="E647" s="16" t="s">
        <v>35</v>
      </c>
      <c r="F647" s="16" t="s">
        <v>28</v>
      </c>
      <c r="G647" s="25" t="s">
        <v>5033</v>
      </c>
      <c r="H647" s="16" t="s">
        <v>5034</v>
      </c>
      <c r="I647" s="16"/>
      <c r="J647" s="35"/>
      <c r="K647" s="34"/>
      <c r="L647" s="16"/>
      <c r="M647" s="35"/>
      <c r="N647" s="50"/>
      <c r="O647" s="55" t="s">
        <v>603</v>
      </c>
    </row>
    <row r="648" spans="1:15">
      <c r="A648" s="13">
        <v>647</v>
      </c>
      <c r="B648" s="14">
        <v>45964</v>
      </c>
      <c r="C648" s="16" t="s">
        <v>49</v>
      </c>
      <c r="D648" s="16" t="str">
        <f>VLOOKUP(E648,[1]Sheet3!A:B,2,0)</f>
        <v>冰箱</v>
      </c>
      <c r="E648" s="16" t="s">
        <v>41</v>
      </c>
      <c r="F648" s="16" t="s">
        <v>28</v>
      </c>
      <c r="G648" s="25" t="s">
        <v>5035</v>
      </c>
      <c r="H648" s="16">
        <v>721056401</v>
      </c>
      <c r="I648" s="16"/>
      <c r="J648" s="26" t="s">
        <v>5036</v>
      </c>
      <c r="K648" s="27" t="s">
        <v>49</v>
      </c>
      <c r="L648" s="16"/>
      <c r="M648" s="32" t="s">
        <v>5032</v>
      </c>
      <c r="N648" s="23" t="s">
        <v>34</v>
      </c>
      <c r="O648" s="22"/>
    </row>
    <row r="649" ht="49.5" spans="1:15">
      <c r="A649" s="13">
        <v>648</v>
      </c>
      <c r="B649" s="14">
        <v>45964</v>
      </c>
      <c r="C649" s="16" t="s">
        <v>68</v>
      </c>
      <c r="D649" s="16" t="str">
        <f>VLOOKUP(E649,[1]Sheet3!A:B,2,0)</f>
        <v>冰箱</v>
      </c>
      <c r="E649" s="16" t="s">
        <v>41</v>
      </c>
      <c r="F649" s="16" t="s">
        <v>28</v>
      </c>
      <c r="G649" s="25" t="s">
        <v>5037</v>
      </c>
      <c r="H649" s="16" t="s">
        <v>5038</v>
      </c>
      <c r="I649" s="16"/>
      <c r="J649" s="26" t="s">
        <v>5039</v>
      </c>
      <c r="K649" s="27" t="s">
        <v>24</v>
      </c>
      <c r="L649" s="16"/>
      <c r="M649" s="35"/>
      <c r="N649" s="23" t="s">
        <v>34</v>
      </c>
      <c r="O649" s="55" t="s">
        <v>500</v>
      </c>
    </row>
    <row r="650" spans="1:15">
      <c r="A650" s="13">
        <v>649</v>
      </c>
      <c r="B650" s="14">
        <v>45965</v>
      </c>
      <c r="C650" s="16" t="s">
        <v>49</v>
      </c>
      <c r="D650" s="16" t="str">
        <f>VLOOKUP(E650,[1]Sheet3!A:B,2,0)</f>
        <v>冰箱</v>
      </c>
      <c r="E650" s="16" t="s">
        <v>41</v>
      </c>
      <c r="F650" s="16" t="s">
        <v>28</v>
      </c>
      <c r="G650" s="25" t="s">
        <v>5040</v>
      </c>
      <c r="H650" s="16">
        <v>260522267</v>
      </c>
      <c r="I650" s="16"/>
      <c r="J650" s="26" t="s">
        <v>5041</v>
      </c>
      <c r="K650" s="27" t="s">
        <v>49</v>
      </c>
      <c r="L650" s="16"/>
      <c r="M650" s="26" t="s">
        <v>5042</v>
      </c>
      <c r="N650" s="23" t="s">
        <v>34</v>
      </c>
      <c r="O650" s="22"/>
    </row>
    <row r="651" spans="1:15">
      <c r="A651" s="13">
        <v>650</v>
      </c>
      <c r="B651" s="14">
        <v>45965</v>
      </c>
      <c r="C651" s="16" t="s">
        <v>49</v>
      </c>
      <c r="D651" s="16" t="str">
        <f>VLOOKUP(E651,[1]Sheet3!A:B,2,0)</f>
        <v>冰箱</v>
      </c>
      <c r="E651" s="16" t="s">
        <v>41</v>
      </c>
      <c r="F651" s="16" t="s">
        <v>28</v>
      </c>
      <c r="G651" s="25" t="s">
        <v>5043</v>
      </c>
      <c r="H651" s="16" t="s">
        <v>5044</v>
      </c>
      <c r="I651" s="16"/>
      <c r="J651" s="26" t="s">
        <v>5041</v>
      </c>
      <c r="K651" s="27" t="s">
        <v>49</v>
      </c>
      <c r="L651" s="16"/>
      <c r="M651" s="26" t="s">
        <v>5042</v>
      </c>
      <c r="N651" s="23" t="s">
        <v>34</v>
      </c>
      <c r="O651" s="22"/>
    </row>
    <row r="652" ht="33" spans="1:15">
      <c r="A652" s="13">
        <v>651</v>
      </c>
      <c r="B652" s="14">
        <v>45966</v>
      </c>
      <c r="C652" s="16" t="s">
        <v>403</v>
      </c>
      <c r="D652" s="16" t="str">
        <f>VLOOKUP(E652,[1]Sheet3!A:B,2,0)</f>
        <v>家用空调</v>
      </c>
      <c r="E652" s="16" t="s">
        <v>318</v>
      </c>
      <c r="F652" s="16" t="s">
        <v>28</v>
      </c>
      <c r="G652" s="25" t="s">
        <v>3099</v>
      </c>
      <c r="H652" s="16" t="s">
        <v>5045</v>
      </c>
      <c r="I652" s="16"/>
      <c r="J652" s="26" t="s">
        <v>5046</v>
      </c>
      <c r="K652" s="27" t="s">
        <v>92</v>
      </c>
      <c r="L652" s="16"/>
      <c r="M652" s="26" t="s">
        <v>5047</v>
      </c>
      <c r="N652" s="23" t="s">
        <v>34</v>
      </c>
      <c r="O652" s="22"/>
    </row>
    <row r="653" ht="66" spans="1:15">
      <c r="A653" s="13">
        <v>652</v>
      </c>
      <c r="B653" s="14">
        <v>45966</v>
      </c>
      <c r="C653" s="16" t="s">
        <v>403</v>
      </c>
      <c r="D653" s="16" t="str">
        <f>VLOOKUP(E653,[1]Sheet3!A:B,2,0)</f>
        <v>洗衣机</v>
      </c>
      <c r="E653" s="16" t="s">
        <v>27</v>
      </c>
      <c r="F653" s="16" t="s">
        <v>28</v>
      </c>
      <c r="G653" s="25" t="s">
        <v>5048</v>
      </c>
      <c r="H653" s="16" t="s">
        <v>5049</v>
      </c>
      <c r="I653" s="16"/>
      <c r="J653" s="26" t="s">
        <v>5050</v>
      </c>
      <c r="K653" s="27" t="s">
        <v>92</v>
      </c>
      <c r="L653" s="16"/>
      <c r="M653" s="26" t="s">
        <v>5051</v>
      </c>
      <c r="N653" s="23" t="s">
        <v>34</v>
      </c>
      <c r="O653" s="22"/>
    </row>
    <row r="654" ht="52" customHeight="1" spans="1:15">
      <c r="A654" s="13">
        <v>653</v>
      </c>
      <c r="B654" s="14">
        <v>45966</v>
      </c>
      <c r="C654" s="16" t="s">
        <v>403</v>
      </c>
      <c r="D654" s="16" t="str">
        <f>VLOOKUP(E654,[1]Sheet3!A:B,2,0)</f>
        <v>洗衣机</v>
      </c>
      <c r="E654" s="16" t="s">
        <v>27</v>
      </c>
      <c r="F654" s="16" t="s">
        <v>28</v>
      </c>
      <c r="G654" s="25" t="s">
        <v>5052</v>
      </c>
      <c r="H654" s="16" t="s">
        <v>5053</v>
      </c>
      <c r="I654" s="16"/>
      <c r="J654" s="26" t="s">
        <v>5054</v>
      </c>
      <c r="K654" s="27" t="s">
        <v>92</v>
      </c>
      <c r="L654" s="16"/>
      <c r="M654" s="26" t="s">
        <v>5055</v>
      </c>
      <c r="N654" s="23" t="s">
        <v>34</v>
      </c>
      <c r="O654" s="22"/>
    </row>
    <row r="655" ht="33" spans="1:15">
      <c r="A655" s="13">
        <v>654</v>
      </c>
      <c r="B655" s="14">
        <v>45966</v>
      </c>
      <c r="C655" s="16" t="s">
        <v>3116</v>
      </c>
      <c r="D655" s="16" t="str">
        <f>VLOOKUP(E655,[1]Sheet3!A:B,2,0)</f>
        <v>冰箱</v>
      </c>
      <c r="E655" s="16" t="s">
        <v>41</v>
      </c>
      <c r="F655" s="16" t="s">
        <v>28</v>
      </c>
      <c r="G655" s="25" t="s">
        <v>5056</v>
      </c>
      <c r="H655" s="16" t="s">
        <v>5057</v>
      </c>
      <c r="I655" s="16"/>
      <c r="J655" s="26" t="s">
        <v>5058</v>
      </c>
      <c r="K655" s="27" t="s">
        <v>24</v>
      </c>
      <c r="L655" s="16"/>
      <c r="M655" s="26" t="s">
        <v>5059</v>
      </c>
      <c r="N655" s="23" t="s">
        <v>34</v>
      </c>
      <c r="O655" s="55" t="s">
        <v>364</v>
      </c>
    </row>
    <row r="656" spans="1:15">
      <c r="A656" s="13">
        <v>655</v>
      </c>
      <c r="B656" s="14">
        <v>45966</v>
      </c>
      <c r="C656" s="16" t="s">
        <v>49</v>
      </c>
      <c r="D656" s="16" t="str">
        <f>VLOOKUP(E656,[1]Sheet3!A:B,2,0)</f>
        <v>洗衣机</v>
      </c>
      <c r="E656" s="16" t="s">
        <v>35</v>
      </c>
      <c r="F656" s="16" t="s">
        <v>28</v>
      </c>
      <c r="G656" s="25" t="s">
        <v>5060</v>
      </c>
      <c r="H656" s="16" t="s">
        <v>5061</v>
      </c>
      <c r="I656" s="16"/>
      <c r="J656" s="26" t="s">
        <v>5062</v>
      </c>
      <c r="K656" s="27" t="s">
        <v>49</v>
      </c>
      <c r="L656" s="16"/>
      <c r="M656" s="26" t="s">
        <v>5063</v>
      </c>
      <c r="N656" s="23" t="s">
        <v>34</v>
      </c>
      <c r="O656" s="22"/>
    </row>
    <row r="657" spans="1:15">
      <c r="A657" s="13">
        <v>656</v>
      </c>
      <c r="B657" s="14">
        <v>45967</v>
      </c>
      <c r="C657" s="16" t="s">
        <v>403</v>
      </c>
      <c r="D657" s="16" t="str">
        <f>VLOOKUP(E657,[1]Sheet3!A:B,2,0)</f>
        <v>洗衣机</v>
      </c>
      <c r="E657" s="16" t="s">
        <v>27</v>
      </c>
      <c r="F657" s="16" t="s">
        <v>28</v>
      </c>
      <c r="G657" s="25" t="s">
        <v>5064</v>
      </c>
      <c r="H657" s="16" t="s">
        <v>5065</v>
      </c>
      <c r="I657" s="16"/>
      <c r="J657" s="26" t="s">
        <v>5066</v>
      </c>
      <c r="K657" s="27" t="s">
        <v>92</v>
      </c>
      <c r="L657" s="16"/>
      <c r="M657" s="26" t="s">
        <v>5067</v>
      </c>
      <c r="N657" s="23" t="s">
        <v>34</v>
      </c>
      <c r="O657" s="22"/>
    </row>
    <row r="658" spans="1:15">
      <c r="A658" s="13">
        <v>657</v>
      </c>
      <c r="B658" s="14">
        <v>45967</v>
      </c>
      <c r="C658" s="16" t="s">
        <v>68</v>
      </c>
      <c r="D658" s="16" t="str">
        <f>VLOOKUP(E658,[1]Sheet3!A:B,2,0)</f>
        <v>冰箱</v>
      </c>
      <c r="E658" s="16" t="s">
        <v>41</v>
      </c>
      <c r="F658" s="16" t="s">
        <v>28</v>
      </c>
      <c r="G658" s="25" t="s">
        <v>5068</v>
      </c>
      <c r="H658" s="16" t="s">
        <v>5069</v>
      </c>
      <c r="I658" s="16"/>
      <c r="J658" s="32" t="s">
        <v>5070</v>
      </c>
      <c r="K658" s="31" t="s">
        <v>92</v>
      </c>
      <c r="L658" s="16"/>
      <c r="M658" s="32" t="s">
        <v>5071</v>
      </c>
      <c r="N658" s="47" t="s">
        <v>34</v>
      </c>
      <c r="O658" s="22"/>
    </row>
    <row r="659" spans="1:15">
      <c r="A659" s="13">
        <v>658</v>
      </c>
      <c r="B659" s="14">
        <v>45967</v>
      </c>
      <c r="C659" s="16" t="s">
        <v>68</v>
      </c>
      <c r="D659" s="16" t="str">
        <f>VLOOKUP(E659,[1]Sheet3!A:B,2,0)</f>
        <v>冰箱</v>
      </c>
      <c r="E659" s="16" t="s">
        <v>41</v>
      </c>
      <c r="F659" s="16" t="s">
        <v>28</v>
      </c>
      <c r="G659" s="25" t="s">
        <v>5072</v>
      </c>
      <c r="H659" s="16" t="s">
        <v>5073</v>
      </c>
      <c r="I659" s="16"/>
      <c r="J659" s="35"/>
      <c r="K659" s="34"/>
      <c r="L659" s="16"/>
      <c r="M659" s="35"/>
      <c r="N659" s="50"/>
      <c r="O659" s="22"/>
    </row>
    <row r="660" spans="1:15">
      <c r="A660" s="13">
        <v>659</v>
      </c>
      <c r="B660" s="14">
        <v>45967</v>
      </c>
      <c r="C660" s="16" t="s">
        <v>68</v>
      </c>
      <c r="D660" s="16" t="str">
        <f>VLOOKUP(E660,[1]Sheet3!A:B,2,0)</f>
        <v>厨热</v>
      </c>
      <c r="E660" s="16" t="s">
        <v>154</v>
      </c>
      <c r="F660" s="16" t="s">
        <v>28</v>
      </c>
      <c r="G660" s="25" t="s">
        <v>5074</v>
      </c>
      <c r="H660" s="16" t="s">
        <v>5014</v>
      </c>
      <c r="I660" s="16"/>
      <c r="J660" s="32" t="s">
        <v>5075</v>
      </c>
      <c r="K660" s="31" t="s">
        <v>24</v>
      </c>
      <c r="L660" s="16"/>
      <c r="M660" s="32" t="s">
        <v>5076</v>
      </c>
      <c r="N660" s="47" t="s">
        <v>34</v>
      </c>
      <c r="O660" s="55" t="s">
        <v>2067</v>
      </c>
    </row>
    <row r="661" spans="1:15">
      <c r="A661" s="13">
        <v>660</v>
      </c>
      <c r="B661" s="14">
        <v>45967</v>
      </c>
      <c r="C661" s="16" t="s">
        <v>68</v>
      </c>
      <c r="D661" s="16" t="str">
        <f>VLOOKUP(E661,[1]Sheet3!A:B,2,0)</f>
        <v>厨热</v>
      </c>
      <c r="E661" s="16" t="s">
        <v>154</v>
      </c>
      <c r="F661" s="16" t="s">
        <v>28</v>
      </c>
      <c r="G661" s="25" t="s">
        <v>5077</v>
      </c>
      <c r="H661" s="16" t="s">
        <v>5018</v>
      </c>
      <c r="I661" s="16"/>
      <c r="J661" s="48"/>
      <c r="K661" s="54"/>
      <c r="L661" s="16"/>
      <c r="M661" s="48"/>
      <c r="N661" s="49"/>
      <c r="O661" s="55" t="s">
        <v>2067</v>
      </c>
    </row>
    <row r="662" spans="1:15">
      <c r="A662" s="13">
        <v>661</v>
      </c>
      <c r="B662" s="14">
        <v>45967</v>
      </c>
      <c r="C662" s="16" t="s">
        <v>68</v>
      </c>
      <c r="D662" s="16" t="str">
        <f>VLOOKUP(E662,[1]Sheet3!A:B,2,0)</f>
        <v>厨热</v>
      </c>
      <c r="E662" s="16" t="s">
        <v>154</v>
      </c>
      <c r="F662" s="16" t="s">
        <v>28</v>
      </c>
      <c r="G662" s="25" t="s">
        <v>5078</v>
      </c>
      <c r="H662" s="16" t="s">
        <v>5079</v>
      </c>
      <c r="I662" s="16"/>
      <c r="J662" s="35"/>
      <c r="K662" s="34"/>
      <c r="L662" s="16"/>
      <c r="M662" s="35"/>
      <c r="N662" s="50"/>
      <c r="O662" s="55" t="s">
        <v>2067</v>
      </c>
    </row>
    <row r="663" ht="99" spans="1:15">
      <c r="A663" s="13">
        <v>662</v>
      </c>
      <c r="B663" s="14">
        <v>45967</v>
      </c>
      <c r="C663" s="16" t="s">
        <v>49</v>
      </c>
      <c r="D663" s="16" t="str">
        <f>VLOOKUP(E663,[1]Sheet3!A:B,2,0)</f>
        <v>洗衣机</v>
      </c>
      <c r="E663" s="16" t="s">
        <v>27</v>
      </c>
      <c r="F663" s="16" t="s">
        <v>28</v>
      </c>
      <c r="G663" s="25" t="s">
        <v>5080</v>
      </c>
      <c r="H663" s="16" t="s">
        <v>5081</v>
      </c>
      <c r="I663" s="16"/>
      <c r="J663" s="26" t="s">
        <v>5027</v>
      </c>
      <c r="K663" s="27" t="s">
        <v>49</v>
      </c>
      <c r="L663" s="16"/>
      <c r="M663" s="26" t="s">
        <v>5063</v>
      </c>
      <c r="N663" s="23" t="s">
        <v>34</v>
      </c>
      <c r="O663" s="22"/>
    </row>
    <row r="664" ht="165" spans="1:15">
      <c r="A664" s="13">
        <v>663</v>
      </c>
      <c r="B664" s="14">
        <v>45966</v>
      </c>
      <c r="C664" s="16" t="s">
        <v>49</v>
      </c>
      <c r="D664" s="16" t="str">
        <f>VLOOKUP(E664,[1]Sheet3!A:B,2,0)</f>
        <v>洗衣机</v>
      </c>
      <c r="E664" s="16" t="s">
        <v>27</v>
      </c>
      <c r="F664" s="16" t="s">
        <v>28</v>
      </c>
      <c r="G664" s="25" t="s">
        <v>5082</v>
      </c>
      <c r="H664" s="16">
        <v>15742235712</v>
      </c>
      <c r="I664" s="16"/>
      <c r="J664" s="26" t="s">
        <v>5083</v>
      </c>
      <c r="K664" s="27" t="s">
        <v>49</v>
      </c>
      <c r="L664" s="16"/>
      <c r="M664" s="26" t="s">
        <v>5084</v>
      </c>
      <c r="N664" s="23" t="s">
        <v>34</v>
      </c>
      <c r="O664" s="22"/>
    </row>
    <row r="665" spans="1:15">
      <c r="A665" s="13">
        <v>664</v>
      </c>
      <c r="B665" s="14">
        <v>45968</v>
      </c>
      <c r="C665" s="16" t="s">
        <v>49</v>
      </c>
      <c r="D665" s="16" t="str">
        <f>VLOOKUP(E665,[1]Sheet3!A:B,2,0)</f>
        <v>洗衣机</v>
      </c>
      <c r="E665" s="16" t="s">
        <v>27</v>
      </c>
      <c r="F665" s="16" t="s">
        <v>28</v>
      </c>
      <c r="G665" s="25" t="s">
        <v>5085</v>
      </c>
      <c r="H665" s="16">
        <v>260873851</v>
      </c>
      <c r="I665" s="16"/>
      <c r="J665" s="26" t="s">
        <v>5086</v>
      </c>
      <c r="K665" s="27" t="s">
        <v>49</v>
      </c>
      <c r="L665" s="16"/>
      <c r="M665" s="26" t="s">
        <v>5087</v>
      </c>
      <c r="N665" s="23" t="s">
        <v>34</v>
      </c>
      <c r="O665" s="22"/>
    </row>
    <row r="666" spans="1:15">
      <c r="A666" s="13">
        <v>665</v>
      </c>
      <c r="B666" s="14">
        <v>45968</v>
      </c>
      <c r="C666" s="16" t="s">
        <v>68</v>
      </c>
      <c r="D666" s="16" t="str">
        <f>VLOOKUP(E666,[1]Sheet3!A:B,2,0)</f>
        <v>洗衣机</v>
      </c>
      <c r="E666" s="16" t="s">
        <v>27</v>
      </c>
      <c r="F666" s="16" t="s">
        <v>28</v>
      </c>
      <c r="G666" s="25" t="s">
        <v>5088</v>
      </c>
      <c r="H666" s="16" t="s">
        <v>5089</v>
      </c>
      <c r="I666" s="16"/>
      <c r="J666" s="26" t="s">
        <v>5090</v>
      </c>
      <c r="K666" s="27" t="s">
        <v>32</v>
      </c>
      <c r="L666" s="16"/>
      <c r="M666" s="26" t="s">
        <v>5091</v>
      </c>
      <c r="N666" s="23" t="s">
        <v>34</v>
      </c>
      <c r="O666" s="22"/>
    </row>
    <row r="667" spans="1:15">
      <c r="A667" s="13">
        <v>666</v>
      </c>
      <c r="B667" s="14">
        <v>45968</v>
      </c>
      <c r="C667" s="16" t="s">
        <v>49</v>
      </c>
      <c r="D667" s="16" t="str">
        <f>VLOOKUP(E667,[1]Sheet3!A:B,2,0)</f>
        <v>冰箱</v>
      </c>
      <c r="E667" s="16" t="s">
        <v>41</v>
      </c>
      <c r="F667" s="16" t="s">
        <v>28</v>
      </c>
      <c r="G667" s="25" t="s">
        <v>5092</v>
      </c>
      <c r="H667" s="16" t="s">
        <v>5093</v>
      </c>
      <c r="I667" s="16"/>
      <c r="J667" s="26" t="s">
        <v>5086</v>
      </c>
      <c r="K667" s="27" t="s">
        <v>49</v>
      </c>
      <c r="L667" s="16"/>
      <c r="M667" s="26" t="s">
        <v>5087</v>
      </c>
      <c r="N667" s="23" t="s">
        <v>34</v>
      </c>
      <c r="O667" s="22"/>
    </row>
    <row r="668" spans="1:15">
      <c r="A668" s="13">
        <v>667</v>
      </c>
      <c r="B668" s="14">
        <v>45969</v>
      </c>
      <c r="C668" s="16" t="s">
        <v>49</v>
      </c>
      <c r="D668" s="16" t="str">
        <f>VLOOKUP(E668,[1]Sheet3!A:B,2,0)</f>
        <v>洗衣机</v>
      </c>
      <c r="E668" s="16" t="s">
        <v>27</v>
      </c>
      <c r="F668" s="16" t="s">
        <v>28</v>
      </c>
      <c r="G668" s="25" t="s">
        <v>5094</v>
      </c>
      <c r="H668" s="16" t="s">
        <v>5095</v>
      </c>
      <c r="I668" s="16"/>
      <c r="J668" s="26" t="s">
        <v>5096</v>
      </c>
      <c r="K668" s="27" t="s">
        <v>49</v>
      </c>
      <c r="L668" s="16"/>
      <c r="M668" s="26" t="s">
        <v>5097</v>
      </c>
      <c r="N668" s="23" t="s">
        <v>34</v>
      </c>
      <c r="O668" s="22"/>
    </row>
    <row r="669" spans="1:15">
      <c r="A669" s="13">
        <v>668</v>
      </c>
      <c r="B669" s="14">
        <v>45969</v>
      </c>
      <c r="C669" s="16" t="s">
        <v>25</v>
      </c>
      <c r="D669" s="16" t="str">
        <f>VLOOKUP(E669,[1]Sheet3!A:B,2,0)</f>
        <v>微波和清洁</v>
      </c>
      <c r="E669" s="16" t="s">
        <v>223</v>
      </c>
      <c r="F669" s="16" t="s">
        <v>28</v>
      </c>
      <c r="G669" s="25" t="s">
        <v>5098</v>
      </c>
      <c r="H669" s="16" t="s">
        <v>5099</v>
      </c>
      <c r="I669" s="16"/>
      <c r="J669" s="26" t="s">
        <v>5100</v>
      </c>
      <c r="K669" s="27" t="s">
        <v>92</v>
      </c>
      <c r="L669" s="16"/>
      <c r="M669" s="26" t="s">
        <v>5101</v>
      </c>
      <c r="N669" s="23" t="s">
        <v>34</v>
      </c>
      <c r="O669" s="22"/>
    </row>
    <row r="670" ht="18" customHeight="1" spans="1:15">
      <c r="A670" s="13">
        <v>669</v>
      </c>
      <c r="B670" s="14">
        <v>45971</v>
      </c>
      <c r="C670" s="16" t="s">
        <v>68</v>
      </c>
      <c r="D670" s="16" t="str">
        <f>VLOOKUP(E670,[1]Sheet3!A:B,2,0)</f>
        <v>冰箱</v>
      </c>
      <c r="E670" s="16" t="s">
        <v>41</v>
      </c>
      <c r="F670" s="16" t="s">
        <v>28</v>
      </c>
      <c r="G670" s="25" t="s">
        <v>5102</v>
      </c>
      <c r="H670" s="16" t="s">
        <v>5103</v>
      </c>
      <c r="I670" s="16"/>
      <c r="J670" s="26" t="s">
        <v>5104</v>
      </c>
      <c r="K670" s="27" t="s">
        <v>1225</v>
      </c>
      <c r="L670" s="16"/>
      <c r="M670" s="26" t="s">
        <v>5105</v>
      </c>
      <c r="N670" s="23" t="s">
        <v>34</v>
      </c>
      <c r="O670" s="22"/>
    </row>
    <row r="671" ht="16" customHeight="1" spans="1:15">
      <c r="A671" s="13">
        <v>670</v>
      </c>
      <c r="B671" s="14">
        <v>45971</v>
      </c>
      <c r="C671" s="16" t="s">
        <v>25</v>
      </c>
      <c r="D671" s="16" t="str">
        <f>VLOOKUP(E671,[1]Sheet3!A:B,2,0)</f>
        <v>冰箱</v>
      </c>
      <c r="E671" s="16" t="s">
        <v>41</v>
      </c>
      <c r="F671" s="16" t="s">
        <v>28</v>
      </c>
      <c r="G671" s="25" t="s">
        <v>5106</v>
      </c>
      <c r="H671" s="16" t="s">
        <v>5107</v>
      </c>
      <c r="I671" s="16"/>
      <c r="J671" s="26" t="s">
        <v>5108</v>
      </c>
      <c r="K671" s="27" t="s">
        <v>24</v>
      </c>
      <c r="L671" s="16"/>
      <c r="M671" s="26" t="s">
        <v>5109</v>
      </c>
      <c r="N671" s="23" t="s">
        <v>34</v>
      </c>
      <c r="O671" s="55" t="s">
        <v>5110</v>
      </c>
    </row>
    <row r="672" ht="33" spans="1:15">
      <c r="A672" s="13">
        <v>671</v>
      </c>
      <c r="B672" s="14">
        <v>45971</v>
      </c>
      <c r="C672" s="16" t="s">
        <v>49</v>
      </c>
      <c r="D672" s="16" t="str">
        <f>VLOOKUP(E672,[1]Sheet3!A:B,2,0)</f>
        <v>冰箱</v>
      </c>
      <c r="E672" s="16" t="s">
        <v>41</v>
      </c>
      <c r="F672" s="16" t="s">
        <v>28</v>
      </c>
      <c r="G672" s="25" t="s">
        <v>5111</v>
      </c>
      <c r="H672" s="16" t="s">
        <v>5112</v>
      </c>
      <c r="I672" s="16"/>
      <c r="J672" s="16" t="s">
        <v>5113</v>
      </c>
      <c r="K672" s="27" t="s">
        <v>49</v>
      </c>
      <c r="L672" s="16"/>
      <c r="M672" s="26" t="s">
        <v>5114</v>
      </c>
      <c r="N672" s="23" t="s">
        <v>34</v>
      </c>
      <c r="O672" s="22"/>
    </row>
    <row r="673" spans="1:15">
      <c r="A673" s="13">
        <v>672</v>
      </c>
      <c r="B673" s="14">
        <v>45971</v>
      </c>
      <c r="C673" s="16" t="s">
        <v>49</v>
      </c>
      <c r="D673" s="16" t="str">
        <f>VLOOKUP(E673,[1]Sheet3!A:B,2,0)</f>
        <v>冰箱</v>
      </c>
      <c r="E673" s="16" t="s">
        <v>41</v>
      </c>
      <c r="F673" s="16" t="s">
        <v>28</v>
      </c>
      <c r="G673" s="25" t="s">
        <v>5115</v>
      </c>
      <c r="H673" s="16" t="s">
        <v>5116</v>
      </c>
      <c r="I673" s="16"/>
      <c r="J673" s="26" t="s">
        <v>5113</v>
      </c>
      <c r="K673" s="27" t="s">
        <v>49</v>
      </c>
      <c r="L673" s="16"/>
      <c r="M673" s="26" t="s">
        <v>5117</v>
      </c>
      <c r="N673" s="23" t="s">
        <v>34</v>
      </c>
      <c r="O673" s="22"/>
    </row>
    <row r="674" spans="1:15">
      <c r="A674" s="13">
        <v>673</v>
      </c>
      <c r="B674" s="14">
        <v>45971</v>
      </c>
      <c r="C674" s="16" t="s">
        <v>49</v>
      </c>
      <c r="D674" s="16" t="str">
        <f>VLOOKUP(E674,[1]Sheet3!A:B,2,0)</f>
        <v>洗衣机</v>
      </c>
      <c r="E674" s="16" t="s">
        <v>27</v>
      </c>
      <c r="F674" s="16" t="s">
        <v>28</v>
      </c>
      <c r="G674" s="25" t="s">
        <v>5118</v>
      </c>
      <c r="H674" s="16" t="s">
        <v>5119</v>
      </c>
      <c r="I674" s="16"/>
      <c r="J674" s="1" t="s">
        <v>5113</v>
      </c>
      <c r="K674" s="27" t="s">
        <v>49</v>
      </c>
      <c r="L674" s="16"/>
      <c r="M674" s="26" t="s">
        <v>5117</v>
      </c>
      <c r="N674" s="23" t="s">
        <v>34</v>
      </c>
      <c r="O674" s="22"/>
    </row>
    <row r="675" ht="33" spans="1:15">
      <c r="A675" s="13">
        <v>674</v>
      </c>
      <c r="B675" s="14">
        <v>45971</v>
      </c>
      <c r="C675" s="16" t="s">
        <v>49</v>
      </c>
      <c r="D675" s="16" t="str">
        <f>VLOOKUP(E675,[1]Sheet3!A:B,2,0)</f>
        <v>微波和清洁</v>
      </c>
      <c r="E675" s="16" t="s">
        <v>223</v>
      </c>
      <c r="F675" s="16" t="s">
        <v>28</v>
      </c>
      <c r="G675" s="25" t="s">
        <v>5120</v>
      </c>
      <c r="H675" s="16" t="s">
        <v>5121</v>
      </c>
      <c r="I675" s="16"/>
      <c r="J675" s="26" t="s">
        <v>5113</v>
      </c>
      <c r="K675" s="27" t="s">
        <v>49</v>
      </c>
      <c r="L675" s="16"/>
      <c r="M675" s="26" t="s">
        <v>5122</v>
      </c>
      <c r="N675" s="23" t="s">
        <v>34</v>
      </c>
      <c r="O675" s="22"/>
    </row>
    <row r="676" spans="1:15">
      <c r="A676" s="13">
        <v>675</v>
      </c>
      <c r="B676" s="14">
        <v>45971</v>
      </c>
      <c r="C676" s="16" t="s">
        <v>49</v>
      </c>
      <c r="D676" s="16" t="str">
        <f>VLOOKUP(E676,[1]Sheet3!A:B,2,0)</f>
        <v>冰箱</v>
      </c>
      <c r="E676" s="16" t="s">
        <v>41</v>
      </c>
      <c r="F676" s="16" t="s">
        <v>28</v>
      </c>
      <c r="G676" s="25" t="s">
        <v>5123</v>
      </c>
      <c r="H676" s="16" t="s">
        <v>5124</v>
      </c>
      <c r="I676" s="16"/>
      <c r="J676" s="1" t="s">
        <v>5113</v>
      </c>
      <c r="K676" s="27" t="s">
        <v>49</v>
      </c>
      <c r="L676" s="16"/>
      <c r="M676" s="26" t="s">
        <v>5117</v>
      </c>
      <c r="N676" s="23" t="s">
        <v>34</v>
      </c>
      <c r="O676" s="22"/>
    </row>
    <row r="677" spans="1:15">
      <c r="A677" s="13">
        <v>676</v>
      </c>
      <c r="B677" s="14">
        <v>45971</v>
      </c>
      <c r="C677" s="16" t="s">
        <v>49</v>
      </c>
      <c r="D677" s="16" t="str">
        <f>VLOOKUP(E677,[1]Sheet3!A:B,2,0)</f>
        <v>冰箱</v>
      </c>
      <c r="E677" s="16" t="s">
        <v>41</v>
      </c>
      <c r="F677" s="16" t="s">
        <v>28</v>
      </c>
      <c r="G677" s="25" t="s">
        <v>5125</v>
      </c>
      <c r="H677" s="16" t="s">
        <v>5126</v>
      </c>
      <c r="I677" s="16"/>
      <c r="J677" s="26" t="s">
        <v>5113</v>
      </c>
      <c r="K677" s="27" t="s">
        <v>49</v>
      </c>
      <c r="L677" s="16"/>
      <c r="M677" s="26" t="s">
        <v>5117</v>
      </c>
      <c r="N677" s="23" t="s">
        <v>34</v>
      </c>
      <c r="O677" s="22"/>
    </row>
    <row r="678" spans="1:15">
      <c r="A678" s="13">
        <v>677</v>
      </c>
      <c r="B678" s="14">
        <v>45971</v>
      </c>
      <c r="C678" s="16" t="s">
        <v>49</v>
      </c>
      <c r="D678" s="16" t="e">
        <f>VLOOKUP(E678,[1]Sheet3!A:B,2,0)</f>
        <v>#N/A</v>
      </c>
      <c r="E678" s="16" t="s">
        <v>5127</v>
      </c>
      <c r="F678" s="16" t="s">
        <v>28</v>
      </c>
      <c r="G678" s="25" t="s">
        <v>5128</v>
      </c>
      <c r="H678" s="16" t="s">
        <v>5129</v>
      </c>
      <c r="I678" s="16"/>
      <c r="J678" s="1" t="s">
        <v>5113</v>
      </c>
      <c r="K678" s="27" t="s">
        <v>49</v>
      </c>
      <c r="L678" s="16"/>
      <c r="M678" s="26" t="s">
        <v>5117</v>
      </c>
      <c r="N678" s="23" t="s">
        <v>34</v>
      </c>
      <c r="O678" s="22"/>
    </row>
    <row r="679" ht="33" spans="1:15">
      <c r="A679" s="13">
        <v>678</v>
      </c>
      <c r="B679" s="14">
        <v>45971</v>
      </c>
      <c r="C679" s="16" t="s">
        <v>68</v>
      </c>
      <c r="D679" s="16" t="str">
        <f>VLOOKUP(E679,[1]Sheet3!A:B,2,0)</f>
        <v>冰箱</v>
      </c>
      <c r="E679" s="16" t="s">
        <v>41</v>
      </c>
      <c r="F679" s="16" t="s">
        <v>28</v>
      </c>
      <c r="G679" s="25" t="s">
        <v>5130</v>
      </c>
      <c r="H679" s="16" t="s">
        <v>5131</v>
      </c>
      <c r="I679" s="16"/>
      <c r="J679" s="26" t="s">
        <v>5132</v>
      </c>
      <c r="K679" s="27" t="s">
        <v>1225</v>
      </c>
      <c r="L679" s="16"/>
      <c r="M679" s="26" t="s">
        <v>5133</v>
      </c>
      <c r="N679" s="23" t="s">
        <v>34</v>
      </c>
      <c r="O679" s="22"/>
    </row>
    <row r="680" ht="33" spans="1:15">
      <c r="A680" s="13">
        <v>679</v>
      </c>
      <c r="B680" s="14">
        <v>45972</v>
      </c>
      <c r="C680" s="16" t="s">
        <v>25</v>
      </c>
      <c r="D680" s="16" t="str">
        <f>VLOOKUP(E680,[1]Sheet3!A:B,2,0)</f>
        <v>工业技术</v>
      </c>
      <c r="E680" s="16" t="s">
        <v>416</v>
      </c>
      <c r="F680" s="16" t="s">
        <v>28</v>
      </c>
      <c r="G680" s="25" t="s">
        <v>5134</v>
      </c>
      <c r="H680" s="16" t="s">
        <v>5135</v>
      </c>
      <c r="I680" s="16"/>
      <c r="J680" s="26" t="s">
        <v>5136</v>
      </c>
      <c r="K680" s="27" t="s">
        <v>24</v>
      </c>
      <c r="L680" s="16"/>
      <c r="M680" s="26" t="s">
        <v>5137</v>
      </c>
      <c r="N680" s="23" t="s">
        <v>34</v>
      </c>
      <c r="O680" s="55"/>
    </row>
    <row r="681" spans="1:15">
      <c r="A681" s="13">
        <v>680</v>
      </c>
      <c r="B681" s="14">
        <v>45972</v>
      </c>
      <c r="C681" s="16" t="s">
        <v>49</v>
      </c>
      <c r="D681" s="16" t="str">
        <f>VLOOKUP(E681,[1]Sheet3!A:B,2,0)</f>
        <v>冰箱</v>
      </c>
      <c r="E681" s="16" t="s">
        <v>41</v>
      </c>
      <c r="F681" s="16" t="s">
        <v>28</v>
      </c>
      <c r="G681" s="25" t="s">
        <v>5138</v>
      </c>
      <c r="H681" s="16" t="s">
        <v>5139</v>
      </c>
      <c r="I681" s="16"/>
      <c r="J681" s="26" t="s">
        <v>5140</v>
      </c>
      <c r="K681" s="27" t="s">
        <v>49</v>
      </c>
      <c r="L681" s="16"/>
      <c r="M681" s="26" t="s">
        <v>5141</v>
      </c>
      <c r="N681" s="23" t="s">
        <v>34</v>
      </c>
      <c r="O681" s="22"/>
    </row>
    <row r="682" spans="1:15">
      <c r="A682" s="13">
        <v>681</v>
      </c>
      <c r="B682" s="14">
        <v>45972</v>
      </c>
      <c r="C682" s="16" t="s">
        <v>49</v>
      </c>
      <c r="D682" s="16" t="str">
        <f>VLOOKUP(E682,[1]Sheet3!A:B,2,0)</f>
        <v>洗衣机</v>
      </c>
      <c r="E682" s="16" t="s">
        <v>27</v>
      </c>
      <c r="F682" s="16" t="s">
        <v>28</v>
      </c>
      <c r="G682" s="25" t="s">
        <v>5142</v>
      </c>
      <c r="H682" s="16" t="s">
        <v>5143</v>
      </c>
      <c r="I682" s="16"/>
      <c r="J682" s="26" t="s">
        <v>5140</v>
      </c>
      <c r="K682" s="27" t="s">
        <v>49</v>
      </c>
      <c r="L682" s="16"/>
      <c r="M682" s="26" t="s">
        <v>5144</v>
      </c>
      <c r="N682" s="23" t="s">
        <v>34</v>
      </c>
      <c r="O682" s="22"/>
    </row>
    <row r="683" ht="66" spans="1:15">
      <c r="A683" s="13">
        <v>682</v>
      </c>
      <c r="B683" s="14">
        <v>45973</v>
      </c>
      <c r="C683" s="16" t="s">
        <v>25</v>
      </c>
      <c r="D683" s="16" t="str">
        <f>VLOOKUP(E683,[1]Sheet3!A:B,2,0)</f>
        <v>冰箱</v>
      </c>
      <c r="E683" s="16" t="s">
        <v>41</v>
      </c>
      <c r="F683" s="16" t="s">
        <v>28</v>
      </c>
      <c r="G683" s="25" t="s">
        <v>5145</v>
      </c>
      <c r="H683" s="16" t="s">
        <v>5146</v>
      </c>
      <c r="I683" s="16"/>
      <c r="J683" s="26" t="s">
        <v>5147</v>
      </c>
      <c r="K683" s="27" t="s">
        <v>4006</v>
      </c>
      <c r="L683" s="16"/>
      <c r="M683" s="26" t="s">
        <v>5148</v>
      </c>
      <c r="N683" s="23" t="s">
        <v>34</v>
      </c>
      <c r="O683" s="22"/>
    </row>
    <row r="684" spans="1:15">
      <c r="A684" s="13">
        <v>683</v>
      </c>
      <c r="B684" s="14">
        <v>45973</v>
      </c>
      <c r="C684" s="16" t="s">
        <v>25</v>
      </c>
      <c r="D684" s="16" t="str">
        <f>VLOOKUP(E684,[1]Sheet3!A:B,2,0)</f>
        <v>冰箱</v>
      </c>
      <c r="E684" s="16" t="s">
        <v>41</v>
      </c>
      <c r="F684" s="16" t="s">
        <v>28</v>
      </c>
      <c r="G684" s="25" t="s">
        <v>5149</v>
      </c>
      <c r="H684" s="16" t="s">
        <v>5150</v>
      </c>
      <c r="I684" s="16"/>
      <c r="J684" s="26" t="s">
        <v>5151</v>
      </c>
      <c r="K684" s="27" t="s">
        <v>24</v>
      </c>
      <c r="L684" s="16"/>
      <c r="M684" s="26" t="s">
        <v>5152</v>
      </c>
      <c r="N684" s="23" t="s">
        <v>34</v>
      </c>
      <c r="O684" s="55" t="s">
        <v>280</v>
      </c>
    </row>
    <row r="685" ht="33" spans="1:15">
      <c r="A685" s="13">
        <v>684</v>
      </c>
      <c r="B685" s="14">
        <v>45973</v>
      </c>
      <c r="C685" s="16" t="s">
        <v>68</v>
      </c>
      <c r="D685" s="16" t="str">
        <f>VLOOKUP(E685,[1]Sheet3!A:B,2,0)</f>
        <v>冰箱</v>
      </c>
      <c r="E685" s="16" t="s">
        <v>41</v>
      </c>
      <c r="F685" s="16" t="s">
        <v>28</v>
      </c>
      <c r="G685" s="25" t="s">
        <v>5153</v>
      </c>
      <c r="H685" s="16" t="s">
        <v>5154</v>
      </c>
      <c r="I685" s="16"/>
      <c r="J685" s="26" t="s">
        <v>5155</v>
      </c>
      <c r="K685" s="27" t="s">
        <v>24</v>
      </c>
      <c r="L685" s="16"/>
      <c r="M685" s="26" t="s">
        <v>5156</v>
      </c>
      <c r="N685" s="23" t="s">
        <v>34</v>
      </c>
      <c r="O685" s="55" t="s">
        <v>280</v>
      </c>
    </row>
    <row r="686" spans="1:15">
      <c r="A686" s="13">
        <v>685</v>
      </c>
      <c r="B686" s="14">
        <v>45974</v>
      </c>
      <c r="C686" s="16" t="s">
        <v>49</v>
      </c>
      <c r="D686" s="16" t="str">
        <f>VLOOKUP(E686,[1]Sheet3!A:B,2,0)</f>
        <v>冰箱</v>
      </c>
      <c r="E686" s="16" t="s">
        <v>41</v>
      </c>
      <c r="F686" s="16" t="s">
        <v>28</v>
      </c>
      <c r="G686" s="25" t="s">
        <v>5157</v>
      </c>
      <c r="H686" s="16" t="s">
        <v>5158</v>
      </c>
      <c r="I686" s="16"/>
      <c r="J686" s="26" t="s">
        <v>5159</v>
      </c>
      <c r="K686" s="27" t="s">
        <v>49</v>
      </c>
      <c r="L686" s="16"/>
      <c r="M686" s="26" t="s">
        <v>5160</v>
      </c>
      <c r="N686" s="23" t="s">
        <v>34</v>
      </c>
      <c r="O686" s="22"/>
    </row>
    <row r="687" ht="165" spans="1:15">
      <c r="A687" s="13">
        <v>686</v>
      </c>
      <c r="B687" s="14">
        <v>45975</v>
      </c>
      <c r="C687" s="16" t="s">
        <v>68</v>
      </c>
      <c r="D687" s="16" t="str">
        <f>VLOOKUP(E687,[1]Sheet3!A:B,2,0)</f>
        <v>洗衣机</v>
      </c>
      <c r="E687" s="16" t="s">
        <v>27</v>
      </c>
      <c r="F687" s="16" t="s">
        <v>28</v>
      </c>
      <c r="G687" s="25" t="s">
        <v>5161</v>
      </c>
      <c r="H687" s="16" t="s">
        <v>5162</v>
      </c>
      <c r="I687" s="16"/>
      <c r="J687" s="26" t="s">
        <v>5163</v>
      </c>
      <c r="K687" s="27" t="s">
        <v>355</v>
      </c>
      <c r="L687" s="16"/>
      <c r="M687" s="26" t="s">
        <v>5164</v>
      </c>
      <c r="N687" s="23" t="s">
        <v>34</v>
      </c>
      <c r="O687" s="22"/>
    </row>
    <row r="688" spans="1:15">
      <c r="A688" s="13">
        <v>687</v>
      </c>
      <c r="B688" s="14">
        <v>45975</v>
      </c>
      <c r="C688" s="16" t="s">
        <v>49</v>
      </c>
      <c r="D688" s="16" t="str">
        <f>VLOOKUP(E688,[1]Sheet3!A:B,2,0)</f>
        <v>冰箱</v>
      </c>
      <c r="E688" s="16" t="s">
        <v>41</v>
      </c>
      <c r="F688" s="16" t="s">
        <v>28</v>
      </c>
      <c r="G688" s="25" t="s">
        <v>5165</v>
      </c>
      <c r="H688" s="16">
        <v>261558830</v>
      </c>
      <c r="I688" s="16"/>
      <c r="J688" s="26" t="s">
        <v>5166</v>
      </c>
      <c r="K688" s="27" t="s">
        <v>49</v>
      </c>
      <c r="L688" s="16"/>
      <c r="M688" s="26" t="s">
        <v>5167</v>
      </c>
      <c r="N688" s="23" t="s">
        <v>34</v>
      </c>
      <c r="O688" s="22"/>
    </row>
    <row r="689" ht="33" spans="1:15">
      <c r="A689" s="13">
        <v>688</v>
      </c>
      <c r="B689" s="14">
        <v>45975</v>
      </c>
      <c r="C689" s="16" t="s">
        <v>25</v>
      </c>
      <c r="D689" s="16" t="str">
        <f>VLOOKUP(E689,[1]Sheet3!A:B,2,0)</f>
        <v>厨热</v>
      </c>
      <c r="E689" s="16" t="s">
        <v>411</v>
      </c>
      <c r="F689" s="16" t="s">
        <v>28</v>
      </c>
      <c r="G689" s="25" t="s">
        <v>5168</v>
      </c>
      <c r="H689" s="16" t="s">
        <v>5169</v>
      </c>
      <c r="I689" s="16"/>
      <c r="J689" s="26" t="s">
        <v>5170</v>
      </c>
      <c r="K689" s="27" t="s">
        <v>24</v>
      </c>
      <c r="L689" s="16"/>
      <c r="M689" s="26" t="s">
        <v>5171</v>
      </c>
      <c r="N689" s="23" t="s">
        <v>34</v>
      </c>
      <c r="O689" s="55" t="s">
        <v>488</v>
      </c>
    </row>
    <row r="690" spans="1:15">
      <c r="A690" s="13">
        <v>689</v>
      </c>
      <c r="B690" s="14">
        <v>45978</v>
      </c>
      <c r="C690" s="16" t="s">
        <v>49</v>
      </c>
      <c r="D690" s="16" t="str">
        <f>VLOOKUP(E690,[1]Sheet3!A:B,2,0)</f>
        <v>厨热</v>
      </c>
      <c r="E690" s="16" t="s">
        <v>154</v>
      </c>
      <c r="F690" s="16" t="s">
        <v>28</v>
      </c>
      <c r="G690" s="25" t="s">
        <v>5172</v>
      </c>
      <c r="H690" s="16" t="s">
        <v>5173</v>
      </c>
      <c r="I690" s="16"/>
      <c r="J690" s="26" t="s">
        <v>5166</v>
      </c>
      <c r="K690" s="27" t="s">
        <v>49</v>
      </c>
      <c r="L690" s="16"/>
      <c r="M690" s="26" t="s">
        <v>5174</v>
      </c>
      <c r="N690" s="23" t="s">
        <v>34</v>
      </c>
      <c r="O690" s="22"/>
    </row>
    <row r="691" ht="33" spans="1:15">
      <c r="A691" s="13">
        <v>690</v>
      </c>
      <c r="B691" s="14">
        <v>45978</v>
      </c>
      <c r="C691" s="16" t="s">
        <v>49</v>
      </c>
      <c r="D691" s="16" t="str">
        <f>VLOOKUP(E691,[1]Sheet3!A:B,2,0)</f>
        <v>厨热</v>
      </c>
      <c r="E691" s="16" t="s">
        <v>154</v>
      </c>
      <c r="F691" s="16" t="s">
        <v>28</v>
      </c>
      <c r="G691" s="25" t="s">
        <v>5175</v>
      </c>
      <c r="H691" s="16" t="s">
        <v>5176</v>
      </c>
      <c r="I691" s="16"/>
      <c r="J691" s="26" t="s">
        <v>5166</v>
      </c>
      <c r="K691" s="27" t="s">
        <v>49</v>
      </c>
      <c r="L691" s="16"/>
      <c r="M691" s="26" t="s">
        <v>5177</v>
      </c>
      <c r="N691" s="23" t="s">
        <v>34</v>
      </c>
      <c r="O691" s="22"/>
    </row>
    <row r="692" spans="1:15">
      <c r="A692" s="13">
        <v>691</v>
      </c>
      <c r="B692" s="14">
        <v>45978</v>
      </c>
      <c r="C692" s="16" t="s">
        <v>49</v>
      </c>
      <c r="D692" s="16" t="str">
        <f>VLOOKUP(E692,[1]Sheet3!A:B,2,0)</f>
        <v>冰箱</v>
      </c>
      <c r="E692" s="16" t="s">
        <v>41</v>
      </c>
      <c r="F692" s="16" t="s">
        <v>28</v>
      </c>
      <c r="G692" s="25" t="s">
        <v>5178</v>
      </c>
      <c r="H692" s="16" t="s">
        <v>5179</v>
      </c>
      <c r="I692" s="16"/>
      <c r="J692" s="26" t="s">
        <v>5180</v>
      </c>
      <c r="K692" s="27" t="s">
        <v>49</v>
      </c>
      <c r="L692" s="16"/>
      <c r="M692" s="26" t="s">
        <v>5181</v>
      </c>
      <c r="N692" s="23" t="s">
        <v>34</v>
      </c>
      <c r="O692" s="22"/>
    </row>
    <row r="693" ht="66" spans="1:15">
      <c r="A693" s="13">
        <v>692</v>
      </c>
      <c r="B693" s="14">
        <v>45979</v>
      </c>
      <c r="C693" s="16" t="s">
        <v>25</v>
      </c>
      <c r="D693" s="16" t="str">
        <f>VLOOKUP(E693,[1]Sheet3!A:B,2,0)</f>
        <v>洗衣机</v>
      </c>
      <c r="E693" s="16" t="s">
        <v>27</v>
      </c>
      <c r="F693" s="16" t="s">
        <v>28</v>
      </c>
      <c r="G693" s="25" t="s">
        <v>5182</v>
      </c>
      <c r="H693" s="16" t="s">
        <v>5183</v>
      </c>
      <c r="I693" s="16"/>
      <c r="J693" s="26" t="s">
        <v>5184</v>
      </c>
      <c r="K693" s="27" t="s">
        <v>5185</v>
      </c>
      <c r="L693" s="16"/>
      <c r="M693" s="26" t="s">
        <v>5186</v>
      </c>
      <c r="N693" s="23" t="s">
        <v>34</v>
      </c>
      <c r="O693" s="22"/>
    </row>
    <row r="694" ht="33" spans="1:15">
      <c r="A694" s="13">
        <v>693</v>
      </c>
      <c r="B694" s="14">
        <v>45979</v>
      </c>
      <c r="C694" s="16" t="s">
        <v>68</v>
      </c>
      <c r="D694" s="16" t="str">
        <f>VLOOKUP(E694,[1]Sheet3!A:B,2,0)</f>
        <v>冰箱</v>
      </c>
      <c r="E694" s="16" t="s">
        <v>41</v>
      </c>
      <c r="F694" s="16" t="s">
        <v>28</v>
      </c>
      <c r="G694" s="25" t="s">
        <v>5187</v>
      </c>
      <c r="H694" s="16" t="s">
        <v>5188</v>
      </c>
      <c r="I694" s="16"/>
      <c r="J694" s="26" t="s">
        <v>5189</v>
      </c>
      <c r="K694" s="27" t="s">
        <v>24</v>
      </c>
      <c r="L694" s="16"/>
      <c r="M694" s="26" t="s">
        <v>5190</v>
      </c>
      <c r="N694" s="23" t="s">
        <v>34</v>
      </c>
      <c r="O694" s="55" t="s">
        <v>5191</v>
      </c>
    </row>
    <row r="695" ht="82.5" spans="1:15">
      <c r="A695" s="13">
        <v>694</v>
      </c>
      <c r="B695" s="14">
        <v>45979</v>
      </c>
      <c r="C695" s="16" t="s">
        <v>403</v>
      </c>
      <c r="D695" s="16" t="str">
        <f>VLOOKUP(E695,[1]Sheet3!A:B,2,0)</f>
        <v>冰箱</v>
      </c>
      <c r="E695" s="16" t="s">
        <v>41</v>
      </c>
      <c r="F695" s="16" t="s">
        <v>28</v>
      </c>
      <c r="G695" s="25" t="s">
        <v>3099</v>
      </c>
      <c r="H695" s="16" t="s">
        <v>5192</v>
      </c>
      <c r="I695" s="16"/>
      <c r="J695" s="26" t="s">
        <v>5193</v>
      </c>
      <c r="K695" s="27" t="s">
        <v>92</v>
      </c>
      <c r="L695" s="16"/>
      <c r="M695" s="26" t="s">
        <v>5194</v>
      </c>
      <c r="N695" s="23" t="s">
        <v>34</v>
      </c>
      <c r="O695" s="22"/>
    </row>
    <row r="696" spans="1:15">
      <c r="A696" s="13">
        <v>695</v>
      </c>
      <c r="B696" s="14">
        <v>45979</v>
      </c>
      <c r="C696" s="16" t="s">
        <v>49</v>
      </c>
      <c r="D696" s="16" t="str">
        <f>VLOOKUP(E696,[1]Sheet3!A:B,2,0)</f>
        <v>厨热</v>
      </c>
      <c r="E696" s="16" t="s">
        <v>154</v>
      </c>
      <c r="F696" s="16" t="s">
        <v>28</v>
      </c>
      <c r="G696" s="25" t="s">
        <v>5195</v>
      </c>
      <c r="H696" s="16" t="s">
        <v>5196</v>
      </c>
      <c r="I696" s="16"/>
      <c r="J696" s="26" t="s">
        <v>5197</v>
      </c>
      <c r="K696" s="27" t="s">
        <v>49</v>
      </c>
      <c r="L696" s="16"/>
      <c r="M696" s="26" t="s">
        <v>5198</v>
      </c>
      <c r="N696" s="23" t="s">
        <v>34</v>
      </c>
      <c r="O696" s="22"/>
    </row>
    <row r="697" ht="68" customHeight="1" spans="1:15">
      <c r="A697" s="13">
        <v>696</v>
      </c>
      <c r="B697" s="14">
        <v>45979</v>
      </c>
      <c r="C697" s="16" t="s">
        <v>25</v>
      </c>
      <c r="D697" s="16" t="str">
        <f>VLOOKUP(E697,[1]Sheet3!A:B,2,0)</f>
        <v>微波和清洁</v>
      </c>
      <c r="E697" s="16" t="s">
        <v>223</v>
      </c>
      <c r="F697" s="16" t="s">
        <v>28</v>
      </c>
      <c r="G697" s="25" t="s">
        <v>5199</v>
      </c>
      <c r="H697" s="16" t="s">
        <v>5200</v>
      </c>
      <c r="I697" s="16"/>
      <c r="J697" s="26" t="s">
        <v>5201</v>
      </c>
      <c r="K697" s="27" t="s">
        <v>5185</v>
      </c>
      <c r="L697" s="16"/>
      <c r="M697" s="26" t="s">
        <v>5202</v>
      </c>
      <c r="N697" s="23" t="s">
        <v>34</v>
      </c>
      <c r="O697" s="22"/>
    </row>
    <row r="698" spans="1:15">
      <c r="A698" s="13">
        <v>697</v>
      </c>
      <c r="B698" s="14">
        <v>45981</v>
      </c>
      <c r="C698" s="16" t="s">
        <v>49</v>
      </c>
      <c r="D698" s="16" t="str">
        <f>VLOOKUP(E698,[1]Sheet3!A:B,2,0)</f>
        <v>厨热</v>
      </c>
      <c r="E698" s="25" t="s">
        <v>154</v>
      </c>
      <c r="F698" s="16" t="s">
        <v>28</v>
      </c>
      <c r="G698" s="117" t="s">
        <v>5203</v>
      </c>
      <c r="H698" s="16" t="s">
        <v>5204</v>
      </c>
      <c r="I698" s="16"/>
      <c r="J698" s="26" t="s">
        <v>5205</v>
      </c>
      <c r="K698" s="27" t="s">
        <v>49</v>
      </c>
      <c r="L698" s="16"/>
      <c r="M698" s="26" t="s">
        <v>5206</v>
      </c>
      <c r="N698" s="23" t="s">
        <v>34</v>
      </c>
      <c r="O698" s="22"/>
    </row>
    <row r="699" ht="66" spans="1:15">
      <c r="A699" s="13">
        <v>698</v>
      </c>
      <c r="B699" s="14">
        <v>45982</v>
      </c>
      <c r="C699" s="16" t="s">
        <v>49</v>
      </c>
      <c r="D699" s="16" t="str">
        <f>VLOOKUP(E699,[1]Sheet3!A:B,2,0)</f>
        <v>洗衣机</v>
      </c>
      <c r="E699" s="16" t="s">
        <v>660</v>
      </c>
      <c r="F699" s="16" t="s">
        <v>28</v>
      </c>
      <c r="G699" s="25" t="s">
        <v>5207</v>
      </c>
      <c r="H699" s="16" t="s">
        <v>5208</v>
      </c>
      <c r="I699" s="16"/>
      <c r="J699" s="26" t="s">
        <v>5209</v>
      </c>
      <c r="K699" s="27" t="s">
        <v>49</v>
      </c>
      <c r="L699" s="16"/>
      <c r="M699" s="26" t="s">
        <v>5210</v>
      </c>
      <c r="N699" s="23" t="s">
        <v>34</v>
      </c>
      <c r="O699" s="22"/>
    </row>
    <row r="700" spans="1:15">
      <c r="A700" s="13">
        <v>699</v>
      </c>
      <c r="B700" s="14">
        <v>45982</v>
      </c>
      <c r="C700" s="16" t="s">
        <v>49</v>
      </c>
      <c r="D700" s="16" t="str">
        <f>VLOOKUP(E700,[1]Sheet3!A:B,2,0)</f>
        <v>洗衣机</v>
      </c>
      <c r="E700" s="16" t="s">
        <v>27</v>
      </c>
      <c r="F700" s="16" t="s">
        <v>28</v>
      </c>
      <c r="G700" s="25" t="s">
        <v>5211</v>
      </c>
      <c r="H700" s="16">
        <v>72479234444</v>
      </c>
      <c r="I700" s="16"/>
      <c r="J700" s="26" t="s">
        <v>5209</v>
      </c>
      <c r="K700" s="27" t="s">
        <v>49</v>
      </c>
      <c r="L700" s="16"/>
      <c r="M700" s="26" t="s">
        <v>5212</v>
      </c>
      <c r="N700" s="23" t="s">
        <v>34</v>
      </c>
      <c r="O700" s="22"/>
    </row>
    <row r="701" spans="1:15">
      <c r="A701" s="13">
        <v>700</v>
      </c>
      <c r="B701" s="14">
        <v>45982</v>
      </c>
      <c r="C701" s="16" t="s">
        <v>49</v>
      </c>
      <c r="D701" s="16" t="str">
        <f>VLOOKUP(E701,[1]Sheet3!A:B,2,0)</f>
        <v>冰箱</v>
      </c>
      <c r="E701" s="16" t="s">
        <v>41</v>
      </c>
      <c r="F701" s="16" t="s">
        <v>28</v>
      </c>
      <c r="G701" s="25" t="s">
        <v>5213</v>
      </c>
      <c r="H701" s="16">
        <v>260185546</v>
      </c>
      <c r="I701" s="16"/>
      <c r="J701" s="26" t="s">
        <v>5209</v>
      </c>
      <c r="K701" s="27" t="s">
        <v>49</v>
      </c>
      <c r="L701" s="16"/>
      <c r="M701" s="26" t="s">
        <v>5212</v>
      </c>
      <c r="N701" s="23" t="s">
        <v>34</v>
      </c>
      <c r="O701" s="22"/>
    </row>
    <row r="702" spans="1:15">
      <c r="A702" s="13">
        <v>701</v>
      </c>
      <c r="B702" s="14">
        <v>45985</v>
      </c>
      <c r="C702" s="16" t="s">
        <v>49</v>
      </c>
      <c r="D702" s="16" t="str">
        <f>VLOOKUP(E702,[1]Sheet3!A:B,2,0)</f>
        <v>洗衣机</v>
      </c>
      <c r="E702" s="16" t="s">
        <v>35</v>
      </c>
      <c r="F702" s="16" t="s">
        <v>28</v>
      </c>
      <c r="G702" s="25" t="s">
        <v>5214</v>
      </c>
      <c r="H702" s="16" t="s">
        <v>5215</v>
      </c>
      <c r="I702" s="16"/>
      <c r="J702" s="26" t="s">
        <v>5216</v>
      </c>
      <c r="K702" s="27" t="s">
        <v>49</v>
      </c>
      <c r="L702" s="16"/>
      <c r="M702" s="26" t="s">
        <v>5217</v>
      </c>
      <c r="N702" s="23" t="s">
        <v>34</v>
      </c>
      <c r="O702" s="22"/>
    </row>
    <row r="703" spans="1:15">
      <c r="A703" s="13">
        <v>703</v>
      </c>
      <c r="B703" s="14">
        <v>45985</v>
      </c>
      <c r="C703" s="16" t="s">
        <v>49</v>
      </c>
      <c r="D703" s="16" t="str">
        <f>VLOOKUP(E703,[1]Sheet3!A:B,2,0)</f>
        <v>洗衣机</v>
      </c>
      <c r="E703" s="16" t="s">
        <v>27</v>
      </c>
      <c r="F703" s="16" t="s">
        <v>28</v>
      </c>
      <c r="G703" s="25" t="s">
        <v>5218</v>
      </c>
      <c r="H703" s="16" t="s">
        <v>5219</v>
      </c>
      <c r="I703" s="16"/>
      <c r="J703" s="26" t="s">
        <v>5216</v>
      </c>
      <c r="K703" s="27" t="s">
        <v>49</v>
      </c>
      <c r="L703" s="16"/>
      <c r="M703" s="26" t="s">
        <v>5217</v>
      </c>
      <c r="N703" s="23" t="s">
        <v>34</v>
      </c>
      <c r="O703" s="22"/>
    </row>
    <row r="704" ht="124" customHeight="1" spans="1:15">
      <c r="A704" s="13">
        <v>702</v>
      </c>
      <c r="B704" s="14">
        <v>45985</v>
      </c>
      <c r="C704" s="16" t="s">
        <v>49</v>
      </c>
      <c r="D704" s="16" t="str">
        <f>VLOOKUP(E704,[1]Sheet3!A:B,2,0)</f>
        <v>冰箱</v>
      </c>
      <c r="E704" s="16" t="s">
        <v>41</v>
      </c>
      <c r="F704" s="16" t="s">
        <v>28</v>
      </c>
      <c r="G704" s="25" t="s">
        <v>5220</v>
      </c>
      <c r="H704" s="16" t="s">
        <v>5221</v>
      </c>
      <c r="I704" s="16"/>
      <c r="J704" s="26" t="s">
        <v>5216</v>
      </c>
      <c r="K704" s="27" t="s">
        <v>49</v>
      </c>
      <c r="L704" s="16"/>
      <c r="M704" s="32" t="s">
        <v>5222</v>
      </c>
      <c r="N704" s="23" t="s">
        <v>34</v>
      </c>
      <c r="O704" s="22"/>
    </row>
    <row r="705" ht="133" customHeight="1" spans="1:15">
      <c r="A705" s="13">
        <v>704</v>
      </c>
      <c r="B705" s="14">
        <v>45985</v>
      </c>
      <c r="C705" s="16" t="s">
        <v>25</v>
      </c>
      <c r="D705" s="16" t="str">
        <f>VLOOKUP(E705,[1]Sheet3!A:B,2,0)</f>
        <v>冰箱</v>
      </c>
      <c r="E705" s="16" t="s">
        <v>41</v>
      </c>
      <c r="F705" s="16" t="s">
        <v>28</v>
      </c>
      <c r="G705" s="25" t="s">
        <v>5223</v>
      </c>
      <c r="H705" s="16" t="s">
        <v>5224</v>
      </c>
      <c r="I705" s="16"/>
      <c r="J705" s="26" t="s">
        <v>5216</v>
      </c>
      <c r="K705" s="27" t="s">
        <v>49</v>
      </c>
      <c r="L705" s="16"/>
      <c r="M705" s="48"/>
      <c r="N705" s="23" t="s">
        <v>34</v>
      </c>
      <c r="O705" s="22"/>
    </row>
    <row r="706" ht="125" customHeight="1" spans="1:15">
      <c r="A706" s="13">
        <v>705</v>
      </c>
      <c r="B706" s="14">
        <v>45985</v>
      </c>
      <c r="C706" s="16" t="s">
        <v>25</v>
      </c>
      <c r="D706" s="16" t="str">
        <f>VLOOKUP(E706,[1]Sheet3!A:B,2,0)</f>
        <v>冰箱</v>
      </c>
      <c r="E706" s="16" t="s">
        <v>41</v>
      </c>
      <c r="F706" s="16" t="s">
        <v>28</v>
      </c>
      <c r="G706" s="25" t="s">
        <v>5225</v>
      </c>
      <c r="H706" s="16" t="s">
        <v>5226</v>
      </c>
      <c r="I706" s="16"/>
      <c r="J706" s="26" t="s">
        <v>5216</v>
      </c>
      <c r="K706" s="27" t="s">
        <v>49</v>
      </c>
      <c r="L706" s="16"/>
      <c r="M706" s="35"/>
      <c r="N706" s="23" t="s">
        <v>34</v>
      </c>
      <c r="O706" s="22"/>
    </row>
    <row r="707" ht="82.5" spans="1:15">
      <c r="A707" s="13">
        <v>706</v>
      </c>
      <c r="B707" s="14">
        <v>45985</v>
      </c>
      <c r="C707" s="16" t="s">
        <v>49</v>
      </c>
      <c r="D707" s="16" t="str">
        <f>VLOOKUP(E707,[1]Sheet3!A:B,2,0)</f>
        <v>洗衣机</v>
      </c>
      <c r="E707" s="16" t="s">
        <v>27</v>
      </c>
      <c r="F707" s="16" t="s">
        <v>28</v>
      </c>
      <c r="G707" s="25" t="s">
        <v>5227</v>
      </c>
      <c r="H707" s="16">
        <v>15752842812</v>
      </c>
      <c r="I707" s="16"/>
      <c r="J707" s="26" t="s">
        <v>5228</v>
      </c>
      <c r="K707" s="27" t="s">
        <v>49</v>
      </c>
      <c r="L707" s="16"/>
      <c r="M707" s="26" t="s">
        <v>5229</v>
      </c>
      <c r="N707" s="23" t="s">
        <v>34</v>
      </c>
      <c r="O707" s="22"/>
    </row>
    <row r="708" ht="49.5" spans="1:15">
      <c r="A708" s="13">
        <v>707</v>
      </c>
      <c r="B708" s="14">
        <v>45986</v>
      </c>
      <c r="C708" s="16" t="s">
        <v>25</v>
      </c>
      <c r="D708" s="16" t="str">
        <f>VLOOKUP(E708,[1]Sheet3!A:B,2,0)</f>
        <v>洗衣机</v>
      </c>
      <c r="E708" s="16" t="s">
        <v>35</v>
      </c>
      <c r="F708" s="16" t="s">
        <v>28</v>
      </c>
      <c r="G708" s="25" t="s">
        <v>5230</v>
      </c>
      <c r="H708" s="16">
        <v>261800484</v>
      </c>
      <c r="I708" s="16"/>
      <c r="J708" s="26" t="s">
        <v>5231</v>
      </c>
      <c r="K708" s="27" t="s">
        <v>24</v>
      </c>
      <c r="L708" s="16"/>
      <c r="M708" s="26" t="s">
        <v>5232</v>
      </c>
      <c r="N708" s="23" t="s">
        <v>34</v>
      </c>
      <c r="O708" s="55" t="s">
        <v>500</v>
      </c>
    </row>
    <row r="709" ht="33" spans="1:15">
      <c r="A709" s="13">
        <v>708</v>
      </c>
      <c r="B709" s="14">
        <v>45986</v>
      </c>
      <c r="C709" s="16" t="s">
        <v>68</v>
      </c>
      <c r="D709" s="16" t="str">
        <f>VLOOKUP(E709,[1]Sheet3!A:B,2,0)</f>
        <v>洗衣机</v>
      </c>
      <c r="E709" s="16" t="s">
        <v>35</v>
      </c>
      <c r="F709" s="16" t="s">
        <v>28</v>
      </c>
      <c r="G709" s="25" t="s">
        <v>5233</v>
      </c>
      <c r="H709" s="16" t="s">
        <v>5234</v>
      </c>
      <c r="I709" s="16"/>
      <c r="J709" s="26" t="s">
        <v>5235</v>
      </c>
      <c r="K709" s="27" t="s">
        <v>355</v>
      </c>
      <c r="L709" s="16"/>
      <c r="M709" s="26" t="s">
        <v>5236</v>
      </c>
      <c r="N709" s="23" t="s">
        <v>34</v>
      </c>
      <c r="O709" s="22"/>
    </row>
    <row r="710" spans="1:15">
      <c r="A710" s="13">
        <v>709</v>
      </c>
      <c r="B710" s="14">
        <v>45986</v>
      </c>
      <c r="C710" s="16" t="s">
        <v>49</v>
      </c>
      <c r="D710" s="16" t="str">
        <f>VLOOKUP(E710,[1]Sheet3!A:B,2,0)</f>
        <v>冰箱</v>
      </c>
      <c r="E710" s="16" t="s">
        <v>148</v>
      </c>
      <c r="F710" s="16" t="s">
        <v>28</v>
      </c>
      <c r="G710" s="25" t="s">
        <v>5237</v>
      </c>
      <c r="H710" s="16" t="s">
        <v>5238</v>
      </c>
      <c r="I710" s="16"/>
      <c r="J710" s="26" t="s">
        <v>5239</v>
      </c>
      <c r="K710" s="27" t="s">
        <v>49</v>
      </c>
      <c r="L710" s="16"/>
      <c r="M710" s="26" t="s">
        <v>5240</v>
      </c>
      <c r="N710" s="23" t="s">
        <v>34</v>
      </c>
      <c r="O710" s="22"/>
    </row>
    <row r="711" spans="1:15">
      <c r="A711" s="13">
        <v>710</v>
      </c>
      <c r="B711" s="14">
        <v>45986</v>
      </c>
      <c r="C711" s="16" t="s">
        <v>49</v>
      </c>
      <c r="D711" s="16" t="str">
        <f>VLOOKUP(E711,[1]Sheet3!A:B,2,0)</f>
        <v>厨热</v>
      </c>
      <c r="E711" s="16" t="s">
        <v>411</v>
      </c>
      <c r="F711" s="16" t="s">
        <v>28</v>
      </c>
      <c r="G711" s="25" t="s">
        <v>5241</v>
      </c>
      <c r="H711" s="16" t="s">
        <v>5242</v>
      </c>
      <c r="I711" s="16"/>
      <c r="J711" s="26" t="s">
        <v>5239</v>
      </c>
      <c r="K711" s="27" t="s">
        <v>49</v>
      </c>
      <c r="L711" s="16"/>
      <c r="M711" s="26" t="s">
        <v>5240</v>
      </c>
      <c r="N711" s="23" t="s">
        <v>34</v>
      </c>
      <c r="O711" s="22"/>
    </row>
    <row r="712" ht="102" customHeight="1" spans="1:15">
      <c r="A712" s="13">
        <v>711</v>
      </c>
      <c r="B712" s="14">
        <v>45986</v>
      </c>
      <c r="C712" s="16" t="s">
        <v>25</v>
      </c>
      <c r="D712" s="16" t="str">
        <f>VLOOKUP(E712,[1]Sheet3!A:B,2,0)</f>
        <v>洗衣机</v>
      </c>
      <c r="E712" s="16" t="s">
        <v>27</v>
      </c>
      <c r="F712" s="16" t="s">
        <v>28</v>
      </c>
      <c r="G712" s="25" t="s">
        <v>5243</v>
      </c>
      <c r="H712" s="16" t="s">
        <v>5244</v>
      </c>
      <c r="I712" s="16"/>
      <c r="J712" s="26" t="s">
        <v>5245</v>
      </c>
      <c r="K712" s="27" t="s">
        <v>24</v>
      </c>
      <c r="L712" s="16"/>
      <c r="M712" s="26" t="s">
        <v>5246</v>
      </c>
      <c r="N712" s="23" t="s">
        <v>34</v>
      </c>
      <c r="O712" s="55" t="s">
        <v>163</v>
      </c>
    </row>
    <row r="713" spans="1:15">
      <c r="A713" s="13">
        <v>712</v>
      </c>
      <c r="B713" s="14">
        <v>45987</v>
      </c>
      <c r="C713" s="16" t="s">
        <v>68</v>
      </c>
      <c r="D713" s="16" t="str">
        <f>VLOOKUP(E713,[1]Sheet3!A:B,2,0)</f>
        <v>冰箱</v>
      </c>
      <c r="E713" s="25" t="s">
        <v>41</v>
      </c>
      <c r="F713" s="16" t="s">
        <v>28</v>
      </c>
      <c r="G713" s="116" t="s">
        <v>5247</v>
      </c>
      <c r="H713" s="16" t="s">
        <v>5248</v>
      </c>
      <c r="I713" s="16"/>
      <c r="J713" s="32" t="s">
        <v>5249</v>
      </c>
      <c r="K713" s="31" t="s">
        <v>355</v>
      </c>
      <c r="L713" s="16"/>
      <c r="M713" s="32" t="s">
        <v>5250</v>
      </c>
      <c r="N713" s="51" t="s">
        <v>34</v>
      </c>
      <c r="O713" s="22"/>
    </row>
    <row r="714" spans="1:15">
      <c r="A714" s="13">
        <v>713</v>
      </c>
      <c r="B714" s="14">
        <v>45987</v>
      </c>
      <c r="C714" s="16" t="s">
        <v>68</v>
      </c>
      <c r="D714" s="16" t="str">
        <f>VLOOKUP(E714,[1]Sheet3!A:B,2,0)</f>
        <v>冰箱</v>
      </c>
      <c r="E714" s="25" t="s">
        <v>41</v>
      </c>
      <c r="F714" s="16" t="s">
        <v>28</v>
      </c>
      <c r="G714" s="116" t="s">
        <v>5251</v>
      </c>
      <c r="H714" s="16" t="s">
        <v>5252</v>
      </c>
      <c r="I714" s="16"/>
      <c r="J714" s="35"/>
      <c r="K714" s="34"/>
      <c r="L714" s="16"/>
      <c r="M714" s="35"/>
      <c r="N714" s="53"/>
      <c r="O714" s="22"/>
    </row>
    <row r="715" spans="1:15">
      <c r="A715" s="13">
        <v>714</v>
      </c>
      <c r="B715" s="14">
        <v>45988</v>
      </c>
      <c r="C715" s="16" t="s">
        <v>49</v>
      </c>
      <c r="D715" s="16" t="str">
        <f>VLOOKUP(E715,[1]Sheet3!A:B,2,0)</f>
        <v>洗衣机</v>
      </c>
      <c r="E715" s="16" t="s">
        <v>27</v>
      </c>
      <c r="F715" s="16" t="s">
        <v>28</v>
      </c>
      <c r="G715" s="25" t="s">
        <v>5253</v>
      </c>
      <c r="H715" s="16" t="s">
        <v>5254</v>
      </c>
      <c r="I715" s="16"/>
      <c r="J715" s="26" t="s">
        <v>5255</v>
      </c>
      <c r="K715" s="27" t="s">
        <v>49</v>
      </c>
      <c r="L715" s="16"/>
      <c r="M715" s="26" t="s">
        <v>5256</v>
      </c>
      <c r="N715" s="23" t="s">
        <v>34</v>
      </c>
      <c r="O715" s="22"/>
    </row>
    <row r="716" ht="33" spans="1:15">
      <c r="A716" s="13">
        <v>715</v>
      </c>
      <c r="B716" s="14">
        <v>45988</v>
      </c>
      <c r="C716" s="16" t="s">
        <v>49</v>
      </c>
      <c r="D716" s="16" t="str">
        <f>VLOOKUP(E716,[1]Sheet3!A:B,2,0)</f>
        <v>冰箱</v>
      </c>
      <c r="E716" s="16" t="s">
        <v>41</v>
      </c>
      <c r="F716" s="16" t="s">
        <v>28</v>
      </c>
      <c r="G716" s="25" t="s">
        <v>5257</v>
      </c>
      <c r="H716" s="16" t="s">
        <v>5258</v>
      </c>
      <c r="I716" s="16"/>
      <c r="J716" s="26" t="s">
        <v>5255</v>
      </c>
      <c r="K716" s="27" t="s">
        <v>49</v>
      </c>
      <c r="L716" s="16"/>
      <c r="M716" s="26" t="s">
        <v>5259</v>
      </c>
      <c r="N716" s="23" t="s">
        <v>34</v>
      </c>
      <c r="O716" s="22"/>
    </row>
    <row r="717" spans="1:15">
      <c r="A717" s="13">
        <v>716</v>
      </c>
      <c r="B717" s="14">
        <v>45988</v>
      </c>
      <c r="C717" s="16" t="s">
        <v>49</v>
      </c>
      <c r="D717" s="16" t="str">
        <f>VLOOKUP(E717,[1]Sheet3!A:B,2,0)</f>
        <v>洗衣机</v>
      </c>
      <c r="E717" s="16" t="s">
        <v>27</v>
      </c>
      <c r="F717" s="16" t="s">
        <v>28</v>
      </c>
      <c r="G717" s="25" t="s">
        <v>5260</v>
      </c>
      <c r="H717" s="16" t="s">
        <v>5261</v>
      </c>
      <c r="I717" s="16"/>
      <c r="J717" s="26" t="s">
        <v>5255</v>
      </c>
      <c r="K717" s="27" t="s">
        <v>49</v>
      </c>
      <c r="L717" s="16"/>
      <c r="M717" s="26" t="s">
        <v>5256</v>
      </c>
      <c r="N717" s="23" t="s">
        <v>34</v>
      </c>
      <c r="O717" s="22"/>
    </row>
    <row r="718" ht="33" spans="1:15">
      <c r="A718" s="13">
        <v>717</v>
      </c>
      <c r="B718" s="14">
        <v>45988</v>
      </c>
      <c r="C718" s="16" t="s">
        <v>49</v>
      </c>
      <c r="D718" s="16" t="str">
        <f>VLOOKUP(E718,[1]Sheet3!A:B,2,0)</f>
        <v>微波和清洁</v>
      </c>
      <c r="E718" s="16" t="s">
        <v>223</v>
      </c>
      <c r="F718" s="16" t="s">
        <v>28</v>
      </c>
      <c r="G718" s="25" t="s">
        <v>5262</v>
      </c>
      <c r="H718" s="16" t="s">
        <v>5263</v>
      </c>
      <c r="I718" s="16"/>
      <c r="J718" s="26" t="s">
        <v>5255</v>
      </c>
      <c r="K718" s="27" t="s">
        <v>49</v>
      </c>
      <c r="L718" s="16"/>
      <c r="M718" s="26" t="s">
        <v>5264</v>
      </c>
      <c r="N718" s="23" t="s">
        <v>34</v>
      </c>
      <c r="O718" s="22"/>
    </row>
    <row r="719" ht="33" spans="1:15">
      <c r="A719" s="13">
        <v>718</v>
      </c>
      <c r="B719" s="14">
        <v>45988</v>
      </c>
      <c r="C719" s="16" t="s">
        <v>68</v>
      </c>
      <c r="D719" s="16" t="str">
        <f>VLOOKUP(E719,[1]Sheet3!A:B,2,0)</f>
        <v>洗衣机</v>
      </c>
      <c r="E719" s="16" t="s">
        <v>27</v>
      </c>
      <c r="F719" s="16" t="s">
        <v>28</v>
      </c>
      <c r="G719" s="25" t="s">
        <v>5265</v>
      </c>
      <c r="H719" s="16" t="s">
        <v>5266</v>
      </c>
      <c r="I719" s="16"/>
      <c r="J719" s="26" t="s">
        <v>5267</v>
      </c>
      <c r="K719" s="27" t="s">
        <v>32</v>
      </c>
      <c r="L719" s="16"/>
      <c r="M719" s="26" t="s">
        <v>5268</v>
      </c>
      <c r="N719" s="23" t="s">
        <v>34</v>
      </c>
      <c r="O719" s="22"/>
    </row>
    <row r="720" ht="33" spans="1:15">
      <c r="A720" s="13">
        <v>719</v>
      </c>
      <c r="B720" s="14">
        <v>45988</v>
      </c>
      <c r="C720" s="16" t="s">
        <v>25</v>
      </c>
      <c r="D720" s="16" t="str">
        <f>VLOOKUP(E720,[1]Sheet3!A:B,2,0)</f>
        <v>洗衣机</v>
      </c>
      <c r="E720" s="16" t="s">
        <v>35</v>
      </c>
      <c r="F720" s="16" t="s">
        <v>28</v>
      </c>
      <c r="G720" s="25" t="s">
        <v>5269</v>
      </c>
      <c r="H720" s="16" t="s">
        <v>5270</v>
      </c>
      <c r="I720" s="16"/>
      <c r="J720" s="26" t="s">
        <v>5271</v>
      </c>
      <c r="K720" s="27" t="s">
        <v>92</v>
      </c>
      <c r="L720" s="16"/>
      <c r="M720" s="26" t="s">
        <v>5272</v>
      </c>
      <c r="N720" s="23" t="s">
        <v>34</v>
      </c>
      <c r="O720" s="22"/>
    </row>
    <row r="721" ht="49.5" spans="1:15">
      <c r="A721" s="13">
        <v>720</v>
      </c>
      <c r="B721" s="14">
        <v>45989</v>
      </c>
      <c r="C721" s="16" t="s">
        <v>25</v>
      </c>
      <c r="D721" s="16" t="str">
        <f>VLOOKUP(E721,[1]Sheet3!A:B,2,0)</f>
        <v>MIL</v>
      </c>
      <c r="E721" s="16" t="s">
        <v>490</v>
      </c>
      <c r="F721" s="16" t="s">
        <v>521</v>
      </c>
      <c r="G721" s="25" t="s">
        <v>5273</v>
      </c>
      <c r="H721" s="16" t="s">
        <v>5274</v>
      </c>
      <c r="I721" s="16"/>
      <c r="J721" s="26" t="s">
        <v>5275</v>
      </c>
      <c r="K721" s="27" t="s">
        <v>92</v>
      </c>
      <c r="L721" s="16"/>
      <c r="M721" s="26" t="s">
        <v>5276</v>
      </c>
      <c r="N721" s="23" t="s">
        <v>34</v>
      </c>
      <c r="O721" s="22"/>
    </row>
    <row r="722" ht="33" spans="1:15">
      <c r="A722" s="13">
        <v>721</v>
      </c>
      <c r="B722" s="14">
        <v>45992</v>
      </c>
      <c r="C722" s="16" t="s">
        <v>25</v>
      </c>
      <c r="D722" s="16" t="str">
        <f>VLOOKUP(E722,[1]Sheet3!A:B,2,0)</f>
        <v>洗衣机</v>
      </c>
      <c r="E722" s="16" t="s">
        <v>27</v>
      </c>
      <c r="F722" s="16" t="s">
        <v>28</v>
      </c>
      <c r="G722" s="25" t="s">
        <v>5277</v>
      </c>
      <c r="H722" s="16" t="s">
        <v>5278</v>
      </c>
      <c r="I722" s="16"/>
      <c r="J722" s="26" t="s">
        <v>5279</v>
      </c>
      <c r="K722" s="27" t="s">
        <v>355</v>
      </c>
      <c r="L722" s="16"/>
      <c r="M722" s="26" t="s">
        <v>5280</v>
      </c>
      <c r="N722" s="23" t="s">
        <v>34</v>
      </c>
      <c r="O722" s="22"/>
    </row>
    <row r="723" spans="1:15">
      <c r="A723" s="13">
        <v>722</v>
      </c>
      <c r="B723" s="14">
        <v>45992</v>
      </c>
      <c r="C723" s="16" t="s">
        <v>3116</v>
      </c>
      <c r="D723" s="16" t="str">
        <f>VLOOKUP(E723,[1]Sheet3!A:B,2,0)</f>
        <v>家用空调</v>
      </c>
      <c r="E723" s="16" t="s">
        <v>318</v>
      </c>
      <c r="F723" s="16" t="s">
        <v>28</v>
      </c>
      <c r="G723" s="25" t="s">
        <v>5281</v>
      </c>
      <c r="H723" s="16" t="s">
        <v>5282</v>
      </c>
      <c r="I723" s="16"/>
      <c r="J723" s="26" t="s">
        <v>5283</v>
      </c>
      <c r="K723" s="27" t="s">
        <v>24</v>
      </c>
      <c r="L723" s="16"/>
      <c r="M723" s="26" t="s">
        <v>5284</v>
      </c>
      <c r="N723" s="23" t="s">
        <v>34</v>
      </c>
      <c r="O723" s="55" t="s">
        <v>5285</v>
      </c>
    </row>
    <row r="724" spans="1:15">
      <c r="A724" s="13">
        <v>723</v>
      </c>
      <c r="B724" s="14">
        <v>45992</v>
      </c>
      <c r="C724" s="16" t="s">
        <v>25</v>
      </c>
      <c r="D724" s="16" t="str">
        <f>VLOOKUP(E724,[1]Sheet3!A:B,2,0)</f>
        <v>洗衣机</v>
      </c>
      <c r="E724" s="16" t="s">
        <v>27</v>
      </c>
      <c r="F724" s="16" t="s">
        <v>28</v>
      </c>
      <c r="G724" s="25" t="s">
        <v>5286</v>
      </c>
      <c r="H724" s="16" t="s">
        <v>5287</v>
      </c>
      <c r="I724" s="16"/>
      <c r="J724" s="26" t="s">
        <v>5288</v>
      </c>
      <c r="K724" s="27" t="s">
        <v>24</v>
      </c>
      <c r="L724" s="16"/>
      <c r="M724" s="26" t="s">
        <v>5280</v>
      </c>
      <c r="N724" s="23" t="s">
        <v>34</v>
      </c>
      <c r="O724" s="55" t="s">
        <v>794</v>
      </c>
    </row>
    <row r="725" spans="1:15">
      <c r="A725" s="13">
        <v>724</v>
      </c>
      <c r="B725" s="14">
        <v>45992</v>
      </c>
      <c r="C725" s="16" t="s">
        <v>25</v>
      </c>
      <c r="D725" s="16" t="str">
        <f>VLOOKUP(E725,[1]Sheet3!A:B,2,0)</f>
        <v>洗衣机</v>
      </c>
      <c r="E725" s="16" t="s">
        <v>27</v>
      </c>
      <c r="F725" s="16" t="s">
        <v>28</v>
      </c>
      <c r="G725" s="25" t="s">
        <v>5289</v>
      </c>
      <c r="H725" s="16" t="s">
        <v>5290</v>
      </c>
      <c r="I725" s="16"/>
      <c r="J725" s="26" t="s">
        <v>5288</v>
      </c>
      <c r="K725" s="27" t="s">
        <v>24</v>
      </c>
      <c r="L725" s="16"/>
      <c r="M725" s="26" t="s">
        <v>5280</v>
      </c>
      <c r="N725" s="23" t="s">
        <v>34</v>
      </c>
      <c r="O725" s="55" t="s">
        <v>794</v>
      </c>
    </row>
    <row r="726" spans="1:15">
      <c r="A726" s="13">
        <v>725</v>
      </c>
      <c r="B726" s="14">
        <v>45992</v>
      </c>
      <c r="C726" s="16" t="s">
        <v>68</v>
      </c>
      <c r="D726" s="16" t="str">
        <f>VLOOKUP(E726,[1]Sheet3!A:B,2,0)</f>
        <v>冰箱</v>
      </c>
      <c r="E726" s="16" t="s">
        <v>41</v>
      </c>
      <c r="F726" s="16" t="s">
        <v>28</v>
      </c>
      <c r="G726" s="25" t="s">
        <v>3099</v>
      </c>
      <c r="H726" s="16" t="s">
        <v>5291</v>
      </c>
      <c r="I726" s="16"/>
      <c r="J726" s="32" t="s">
        <v>5292</v>
      </c>
      <c r="K726" s="31" t="s">
        <v>92</v>
      </c>
      <c r="L726" s="16"/>
      <c r="M726" s="32" t="s">
        <v>5293</v>
      </c>
      <c r="N726" s="47" t="s">
        <v>34</v>
      </c>
      <c r="O726" s="22"/>
    </row>
    <row r="727" spans="1:15">
      <c r="A727" s="13">
        <v>726</v>
      </c>
      <c r="B727" s="14">
        <v>45992</v>
      </c>
      <c r="C727" s="16" t="s">
        <v>68</v>
      </c>
      <c r="D727" s="16" t="str">
        <f>VLOOKUP(E727,[1]Sheet3!A:B,2,0)</f>
        <v>冰箱</v>
      </c>
      <c r="E727" s="16" t="s">
        <v>41</v>
      </c>
      <c r="F727" s="16" t="s">
        <v>28</v>
      </c>
      <c r="G727" s="25" t="s">
        <v>3099</v>
      </c>
      <c r="H727" s="16" t="s">
        <v>5294</v>
      </c>
      <c r="I727" s="16"/>
      <c r="J727" s="48"/>
      <c r="K727" s="54"/>
      <c r="L727" s="16"/>
      <c r="M727" s="48"/>
      <c r="N727" s="49"/>
      <c r="O727" s="22"/>
    </row>
    <row r="728" ht="82" customHeight="1" spans="1:15">
      <c r="A728" s="13">
        <v>727</v>
      </c>
      <c r="B728" s="14">
        <v>45992</v>
      </c>
      <c r="C728" s="16" t="s">
        <v>68</v>
      </c>
      <c r="D728" s="16" t="str">
        <f>VLOOKUP(E728,[1]Sheet3!A:B,2,0)</f>
        <v>冰箱</v>
      </c>
      <c r="E728" s="16" t="s">
        <v>41</v>
      </c>
      <c r="F728" s="16" t="s">
        <v>28</v>
      </c>
      <c r="G728" s="25" t="s">
        <v>3099</v>
      </c>
      <c r="H728" s="16" t="s">
        <v>5295</v>
      </c>
      <c r="I728" s="16"/>
      <c r="J728" s="35"/>
      <c r="K728" s="34"/>
      <c r="L728" s="16"/>
      <c r="M728" s="35"/>
      <c r="N728" s="50"/>
      <c r="O728" s="22"/>
    </row>
    <row r="729" spans="1:15">
      <c r="A729" s="13">
        <v>728</v>
      </c>
      <c r="B729" s="14">
        <v>45992</v>
      </c>
      <c r="C729" s="16" t="s">
        <v>49</v>
      </c>
      <c r="D729" s="16" t="str">
        <f>VLOOKUP(E729,[1]Sheet3!A:B,2,0)</f>
        <v>冰箱</v>
      </c>
      <c r="E729" s="16" t="s">
        <v>41</v>
      </c>
      <c r="F729" s="16" t="s">
        <v>28</v>
      </c>
      <c r="G729" s="25" t="s">
        <v>5296</v>
      </c>
      <c r="H729" s="16" t="s">
        <v>5297</v>
      </c>
      <c r="I729" s="16"/>
      <c r="J729" s="26" t="s">
        <v>5298</v>
      </c>
      <c r="K729" s="27" t="s">
        <v>49</v>
      </c>
      <c r="L729" s="16"/>
      <c r="M729" s="26" t="s">
        <v>5299</v>
      </c>
      <c r="N729" s="23" t="s">
        <v>34</v>
      </c>
      <c r="O729" s="22"/>
    </row>
    <row r="730" ht="49.5" spans="1:15">
      <c r="A730" s="13">
        <v>729</v>
      </c>
      <c r="B730" s="14">
        <v>45992</v>
      </c>
      <c r="C730" s="16" t="s">
        <v>49</v>
      </c>
      <c r="D730" s="16" t="str">
        <f>VLOOKUP(E730,[1]Sheet3!A:B,2,0)</f>
        <v>冰箱</v>
      </c>
      <c r="E730" s="16" t="s">
        <v>41</v>
      </c>
      <c r="F730" s="16" t="s">
        <v>28</v>
      </c>
      <c r="G730" s="25" t="s">
        <v>5300</v>
      </c>
      <c r="H730" s="16" t="s">
        <v>5301</v>
      </c>
      <c r="I730" s="16"/>
      <c r="J730" s="26" t="s">
        <v>5302</v>
      </c>
      <c r="K730" s="27"/>
      <c r="L730" s="16"/>
      <c r="M730" s="26" t="s">
        <v>5303</v>
      </c>
      <c r="N730" s="23" t="s">
        <v>34</v>
      </c>
      <c r="O730" s="22"/>
    </row>
    <row r="731" ht="49.5" spans="1:15">
      <c r="A731" s="13">
        <v>730</v>
      </c>
      <c r="B731" s="14">
        <v>45992</v>
      </c>
      <c r="C731" s="16" t="s">
        <v>49</v>
      </c>
      <c r="D731" s="16" t="str">
        <f>VLOOKUP(E731,[1]Sheet3!A:B,2,0)</f>
        <v>洗衣机</v>
      </c>
      <c r="E731" s="16" t="s">
        <v>27</v>
      </c>
      <c r="F731" s="16" t="s">
        <v>28</v>
      </c>
      <c r="G731" s="25" t="s">
        <v>5304</v>
      </c>
      <c r="H731" s="16">
        <v>72479234702</v>
      </c>
      <c r="I731" s="16"/>
      <c r="J731" s="26" t="s">
        <v>5305</v>
      </c>
      <c r="K731" s="27" t="s">
        <v>49</v>
      </c>
      <c r="L731" s="16"/>
      <c r="M731" s="26" t="s">
        <v>5306</v>
      </c>
      <c r="N731" s="23" t="s">
        <v>34</v>
      </c>
      <c r="O731" s="22"/>
    </row>
    <row r="732" ht="33" spans="1:15">
      <c r="A732" s="13">
        <v>731</v>
      </c>
      <c r="B732" s="14">
        <v>45993</v>
      </c>
      <c r="C732" s="16" t="s">
        <v>68</v>
      </c>
      <c r="D732" s="16" t="str">
        <f>VLOOKUP(E732,[1]Sheet3!A:B,2,0)</f>
        <v>冰箱</v>
      </c>
      <c r="E732" s="16" t="s">
        <v>41</v>
      </c>
      <c r="F732" s="16" t="s">
        <v>28</v>
      </c>
      <c r="G732" s="25" t="s">
        <v>5307</v>
      </c>
      <c r="H732" s="16" t="s">
        <v>5308</v>
      </c>
      <c r="I732" s="16"/>
      <c r="J732" s="26" t="s">
        <v>5309</v>
      </c>
      <c r="K732" s="27" t="s">
        <v>24</v>
      </c>
      <c r="L732" s="16"/>
      <c r="M732" s="26" t="s">
        <v>5310</v>
      </c>
      <c r="N732" s="23" t="s">
        <v>34</v>
      </c>
      <c r="O732" s="55" t="s">
        <v>500</v>
      </c>
    </row>
    <row r="733" spans="1:15">
      <c r="A733" s="13">
        <v>732</v>
      </c>
      <c r="B733" s="14">
        <v>45993</v>
      </c>
      <c r="C733" s="16" t="s">
        <v>68</v>
      </c>
      <c r="D733" s="16" t="str">
        <f>VLOOKUP(E733,[1]Sheet3!A:B,2,0)</f>
        <v>冰箱</v>
      </c>
      <c r="E733" s="16" t="s">
        <v>41</v>
      </c>
      <c r="F733" s="16" t="s">
        <v>28</v>
      </c>
      <c r="G733" s="25" t="s">
        <v>5311</v>
      </c>
      <c r="H733" s="16" t="s">
        <v>5312</v>
      </c>
      <c r="I733" s="16"/>
      <c r="J733" s="32" t="s">
        <v>5288</v>
      </c>
      <c r="K733" s="31" t="s">
        <v>24</v>
      </c>
      <c r="L733" s="16"/>
      <c r="M733" s="32" t="s">
        <v>5313</v>
      </c>
      <c r="N733" s="47" t="s">
        <v>34</v>
      </c>
      <c r="O733" s="55" t="s">
        <v>5314</v>
      </c>
    </row>
    <row r="734" spans="1:15">
      <c r="A734" s="13">
        <v>733</v>
      </c>
      <c r="B734" s="14">
        <v>45993</v>
      </c>
      <c r="C734" s="16" t="s">
        <v>68</v>
      </c>
      <c r="D734" s="16" t="str">
        <f>VLOOKUP(E734,[1]Sheet3!A:B,2,0)</f>
        <v>冰箱</v>
      </c>
      <c r="E734" s="16" t="s">
        <v>41</v>
      </c>
      <c r="F734" s="16" t="s">
        <v>28</v>
      </c>
      <c r="G734" s="25" t="s">
        <v>5315</v>
      </c>
      <c r="H734" s="16" t="s">
        <v>5316</v>
      </c>
      <c r="I734" s="16"/>
      <c r="J734" s="48"/>
      <c r="K734" s="54"/>
      <c r="L734" s="16"/>
      <c r="M734" s="48"/>
      <c r="N734" s="49"/>
      <c r="O734" s="55" t="s">
        <v>5314</v>
      </c>
    </row>
    <row r="735" spans="1:15">
      <c r="A735" s="13">
        <v>734</v>
      </c>
      <c r="B735" s="14">
        <v>45993</v>
      </c>
      <c r="C735" s="16" t="s">
        <v>68</v>
      </c>
      <c r="D735" s="16" t="str">
        <f>VLOOKUP(E735,[1]Sheet3!A:B,2,0)</f>
        <v>冰箱</v>
      </c>
      <c r="E735" s="16" t="s">
        <v>41</v>
      </c>
      <c r="F735" s="16" t="s">
        <v>28</v>
      </c>
      <c r="G735" s="25" t="s">
        <v>5317</v>
      </c>
      <c r="H735" s="16" t="s">
        <v>5318</v>
      </c>
      <c r="I735" s="16"/>
      <c r="J735" s="35"/>
      <c r="K735" s="34"/>
      <c r="L735" s="16"/>
      <c r="M735" s="35"/>
      <c r="N735" s="50"/>
      <c r="O735" s="55" t="s">
        <v>5314</v>
      </c>
    </row>
    <row r="736" spans="1:15">
      <c r="A736" s="13">
        <v>735</v>
      </c>
      <c r="B736" s="14">
        <v>45993</v>
      </c>
      <c r="C736" s="16" t="s">
        <v>25</v>
      </c>
      <c r="D736" s="16" t="str">
        <f>VLOOKUP(E736,[1]Sheet3!A:B,2,0)</f>
        <v>厨热</v>
      </c>
      <c r="E736" s="16" t="s">
        <v>411</v>
      </c>
      <c r="F736" s="16" t="s">
        <v>28</v>
      </c>
      <c r="G736" s="25" t="s">
        <v>5319</v>
      </c>
      <c r="H736" s="16" t="s">
        <v>5320</v>
      </c>
      <c r="I736" s="16"/>
      <c r="J736" s="32" t="s">
        <v>5321</v>
      </c>
      <c r="K736" s="31" t="s">
        <v>5322</v>
      </c>
      <c r="L736" s="16"/>
      <c r="M736" s="32" t="s">
        <v>5323</v>
      </c>
      <c r="N736" s="47" t="s">
        <v>34</v>
      </c>
      <c r="O736" s="22"/>
    </row>
    <row r="737" spans="1:15">
      <c r="A737" s="13">
        <v>736</v>
      </c>
      <c r="B737" s="14">
        <v>45993</v>
      </c>
      <c r="C737" s="16" t="s">
        <v>25</v>
      </c>
      <c r="D737" s="16" t="str">
        <f>VLOOKUP(E737,[1]Sheet3!A:B,2,0)</f>
        <v>厨热</v>
      </c>
      <c r="E737" s="16" t="s">
        <v>411</v>
      </c>
      <c r="F737" s="16" t="s">
        <v>28</v>
      </c>
      <c r="G737" s="25" t="s">
        <v>5324</v>
      </c>
      <c r="H737" s="16" t="s">
        <v>5325</v>
      </c>
      <c r="I737" s="16"/>
      <c r="J737" s="48"/>
      <c r="K737" s="54"/>
      <c r="L737" s="16"/>
      <c r="M737" s="48"/>
      <c r="N737" s="49"/>
      <c r="O737" s="22"/>
    </row>
    <row r="738" spans="1:15">
      <c r="A738" s="13">
        <v>737</v>
      </c>
      <c r="B738" s="14">
        <v>45993</v>
      </c>
      <c r="C738" s="16" t="s">
        <v>25</v>
      </c>
      <c r="D738" s="16" t="str">
        <f>VLOOKUP(E738,[1]Sheet3!A:B,2,0)</f>
        <v>厨热</v>
      </c>
      <c r="E738" s="16" t="s">
        <v>411</v>
      </c>
      <c r="F738" s="16" t="s">
        <v>28</v>
      </c>
      <c r="G738" s="25" t="s">
        <v>5326</v>
      </c>
      <c r="H738" s="16" t="s">
        <v>5327</v>
      </c>
      <c r="I738" s="16"/>
      <c r="J738" s="35"/>
      <c r="K738" s="34"/>
      <c r="L738" s="16"/>
      <c r="M738" s="35"/>
      <c r="N738" s="50"/>
      <c r="O738" s="22"/>
    </row>
    <row r="739" spans="1:15">
      <c r="A739" s="13">
        <v>738</v>
      </c>
      <c r="B739" s="14">
        <v>45993</v>
      </c>
      <c r="C739" s="16" t="s">
        <v>68</v>
      </c>
      <c r="D739" s="16" t="str">
        <f>VLOOKUP(E739,[1]Sheet3!A:B,2,0)</f>
        <v>冰箱</v>
      </c>
      <c r="E739" s="16" t="s">
        <v>41</v>
      </c>
      <c r="F739" s="16" t="s">
        <v>28</v>
      </c>
      <c r="G739" s="25" t="s">
        <v>5328</v>
      </c>
      <c r="H739" s="16" t="s">
        <v>5329</v>
      </c>
      <c r="I739" s="16"/>
      <c r="J739" s="32" t="s">
        <v>5330</v>
      </c>
      <c r="K739" s="31" t="s">
        <v>92</v>
      </c>
      <c r="L739" s="16"/>
      <c r="M739" s="32" t="s">
        <v>5331</v>
      </c>
      <c r="N739" s="47" t="s">
        <v>34</v>
      </c>
      <c r="O739" s="22"/>
    </row>
    <row r="740" spans="1:15">
      <c r="A740" s="13">
        <v>739</v>
      </c>
      <c r="B740" s="14">
        <v>45993</v>
      </c>
      <c r="C740" s="16" t="s">
        <v>68</v>
      </c>
      <c r="D740" s="16" t="str">
        <f>VLOOKUP(E740,[1]Sheet3!A:B,2,0)</f>
        <v>冰箱</v>
      </c>
      <c r="E740" s="16" t="s">
        <v>41</v>
      </c>
      <c r="F740" s="16" t="s">
        <v>28</v>
      </c>
      <c r="G740" s="25" t="s">
        <v>5332</v>
      </c>
      <c r="H740" s="16" t="s">
        <v>5333</v>
      </c>
      <c r="I740" s="16"/>
      <c r="J740" s="48"/>
      <c r="K740" s="54"/>
      <c r="L740" s="16"/>
      <c r="M740" s="48"/>
      <c r="N740" s="49"/>
      <c r="O740" s="22"/>
    </row>
    <row r="741" spans="1:15">
      <c r="A741" s="13">
        <v>740</v>
      </c>
      <c r="B741" s="14">
        <v>45993</v>
      </c>
      <c r="C741" s="16" t="s">
        <v>68</v>
      </c>
      <c r="D741" s="16" t="str">
        <f>VLOOKUP(E741,[1]Sheet3!A:B,2,0)</f>
        <v>冰箱</v>
      </c>
      <c r="E741" s="16" t="s">
        <v>41</v>
      </c>
      <c r="F741" s="16" t="s">
        <v>28</v>
      </c>
      <c r="G741" s="25" t="s">
        <v>5334</v>
      </c>
      <c r="H741" s="16" t="s">
        <v>5335</v>
      </c>
      <c r="I741" s="16"/>
      <c r="J741" s="35"/>
      <c r="K741" s="34"/>
      <c r="L741" s="16"/>
      <c r="M741" s="35"/>
      <c r="N741" s="50"/>
      <c r="O741" s="22"/>
    </row>
    <row r="742" ht="33" spans="1:15">
      <c r="A742" s="13">
        <v>741</v>
      </c>
      <c r="B742" s="14">
        <v>45993</v>
      </c>
      <c r="C742" s="16" t="s">
        <v>49</v>
      </c>
      <c r="D742" s="16" t="str">
        <f>VLOOKUP(E742,[1]Sheet3!A:B,2,0)</f>
        <v>厨热</v>
      </c>
      <c r="E742" s="16" t="s">
        <v>411</v>
      </c>
      <c r="F742" s="16" t="s">
        <v>28</v>
      </c>
      <c r="G742" s="25" t="s">
        <v>5336</v>
      </c>
      <c r="H742" s="16" t="s">
        <v>5337</v>
      </c>
      <c r="I742" s="16"/>
      <c r="J742" s="26" t="s">
        <v>5338</v>
      </c>
      <c r="K742" s="27" t="s">
        <v>355</v>
      </c>
      <c r="L742" s="16"/>
      <c r="M742" s="26" t="s">
        <v>5339</v>
      </c>
      <c r="N742" s="23" t="s">
        <v>34</v>
      </c>
      <c r="O742" s="22"/>
    </row>
    <row r="743" spans="1:15">
      <c r="A743" s="13">
        <v>742</v>
      </c>
      <c r="B743" s="14">
        <v>45993</v>
      </c>
      <c r="C743" s="16" t="s">
        <v>49</v>
      </c>
      <c r="D743" s="16" t="str">
        <f>VLOOKUP(E743,[1]Sheet3!A:B,2,0)</f>
        <v>冰箱</v>
      </c>
      <c r="E743" s="16" t="s">
        <v>41</v>
      </c>
      <c r="F743" s="16" t="s">
        <v>28</v>
      </c>
      <c r="G743" s="25" t="s">
        <v>5340</v>
      </c>
      <c r="H743" s="16" t="s">
        <v>5341</v>
      </c>
      <c r="I743" s="16"/>
      <c r="J743" s="26" t="s">
        <v>5342</v>
      </c>
      <c r="K743" s="27" t="s">
        <v>49</v>
      </c>
      <c r="L743" s="16"/>
      <c r="M743" s="26" t="s">
        <v>5343</v>
      </c>
      <c r="N743" s="23" t="s">
        <v>34</v>
      </c>
      <c r="O743" s="22"/>
    </row>
    <row r="744" spans="1:15">
      <c r="A744" s="13">
        <v>743</v>
      </c>
      <c r="B744" s="14">
        <v>45993</v>
      </c>
      <c r="C744" s="16" t="s">
        <v>49</v>
      </c>
      <c r="D744" s="16" t="str">
        <f>VLOOKUP(E744,[1]Sheet3!A:B,2,0)</f>
        <v>洗衣机</v>
      </c>
      <c r="E744" s="16" t="s">
        <v>27</v>
      </c>
      <c r="F744" s="16" t="s">
        <v>28</v>
      </c>
      <c r="G744" s="25" t="s">
        <v>5344</v>
      </c>
      <c r="H744" s="16" t="s">
        <v>5345</v>
      </c>
      <c r="I744" s="16"/>
      <c r="J744" s="26" t="s">
        <v>5342</v>
      </c>
      <c r="K744" s="27" t="s">
        <v>49</v>
      </c>
      <c r="L744" s="16"/>
      <c r="M744" s="26" t="s">
        <v>5343</v>
      </c>
      <c r="N744" s="23" t="s">
        <v>34</v>
      </c>
      <c r="O744" s="22"/>
    </row>
    <row r="745" ht="33" spans="1:15">
      <c r="A745" s="13">
        <v>744</v>
      </c>
      <c r="B745" s="14">
        <v>45993</v>
      </c>
      <c r="C745" s="16" t="s">
        <v>68</v>
      </c>
      <c r="D745" s="16" t="str">
        <f>VLOOKUP(E745,[1]Sheet3!A:B,2,0)</f>
        <v>微波和清洁</v>
      </c>
      <c r="E745" s="16" t="s">
        <v>223</v>
      </c>
      <c r="F745" s="16" t="s">
        <v>28</v>
      </c>
      <c r="G745" s="25" t="s">
        <v>5346</v>
      </c>
      <c r="H745" s="16" t="s">
        <v>5347</v>
      </c>
      <c r="I745" s="16"/>
      <c r="J745" s="26" t="s">
        <v>5348</v>
      </c>
      <c r="K745" s="27" t="s">
        <v>598</v>
      </c>
      <c r="L745" s="16"/>
      <c r="M745" s="26" t="s">
        <v>5349</v>
      </c>
      <c r="N745" s="23" t="s">
        <v>34</v>
      </c>
      <c r="O745" s="22"/>
    </row>
    <row r="746" spans="1:15">
      <c r="A746" s="13">
        <v>745</v>
      </c>
      <c r="B746" s="14">
        <v>45993</v>
      </c>
      <c r="C746" s="16" t="s">
        <v>49</v>
      </c>
      <c r="D746" s="16" t="str">
        <f>VLOOKUP(E746,[1]Sheet3!A:B,2,0)</f>
        <v>冰箱</v>
      </c>
      <c r="E746" s="16" t="s">
        <v>41</v>
      </c>
      <c r="F746" s="16" t="s">
        <v>28</v>
      </c>
      <c r="G746" s="25" t="s">
        <v>5350</v>
      </c>
      <c r="H746" s="16" t="s">
        <v>5351</v>
      </c>
      <c r="I746" s="16"/>
      <c r="J746" s="26" t="s">
        <v>5352</v>
      </c>
      <c r="K746" s="27" t="s">
        <v>49</v>
      </c>
      <c r="L746" s="16"/>
      <c r="M746" s="26" t="s">
        <v>5353</v>
      </c>
      <c r="N746" s="23" t="s">
        <v>34</v>
      </c>
      <c r="O746" s="22"/>
    </row>
    <row r="747" spans="1:15">
      <c r="A747" s="13">
        <v>746</v>
      </c>
      <c r="B747" s="14">
        <v>45993</v>
      </c>
      <c r="C747" s="16" t="s">
        <v>49</v>
      </c>
      <c r="D747" s="16" t="str">
        <f>VLOOKUP(E747,[1]Sheet3!A:B,2,0)</f>
        <v>冰箱</v>
      </c>
      <c r="E747" s="16" t="s">
        <v>41</v>
      </c>
      <c r="F747" s="16" t="s">
        <v>28</v>
      </c>
      <c r="G747" s="25" t="s">
        <v>5354</v>
      </c>
      <c r="H747" s="16" t="s">
        <v>5355</v>
      </c>
      <c r="I747" s="16"/>
      <c r="J747" s="26" t="s">
        <v>5352</v>
      </c>
      <c r="K747" s="27" t="s">
        <v>49</v>
      </c>
      <c r="L747" s="16"/>
      <c r="M747" s="26" t="s">
        <v>5353</v>
      </c>
      <c r="N747" s="23" t="s">
        <v>34</v>
      </c>
      <c r="O747" s="22"/>
    </row>
    <row r="748" spans="1:15">
      <c r="A748" s="13">
        <v>747</v>
      </c>
      <c r="B748" s="14">
        <v>45993</v>
      </c>
      <c r="C748" s="16" t="s">
        <v>68</v>
      </c>
      <c r="D748" s="16" t="str">
        <f>VLOOKUP(E748,[1]Sheet3!$A:$B,2,0)</f>
        <v>冰箱</v>
      </c>
      <c r="E748" s="16" t="s">
        <v>41</v>
      </c>
      <c r="F748" s="16" t="s">
        <v>28</v>
      </c>
      <c r="G748" s="25" t="s">
        <v>3099</v>
      </c>
      <c r="H748" s="16" t="s">
        <v>5356</v>
      </c>
      <c r="I748" s="16"/>
      <c r="J748" s="30" t="s">
        <v>5357</v>
      </c>
      <c r="K748" s="31" t="s">
        <v>92</v>
      </c>
      <c r="L748" s="16"/>
      <c r="M748" s="32" t="s">
        <v>5358</v>
      </c>
      <c r="N748" s="47" t="s">
        <v>34</v>
      </c>
      <c r="O748" s="22"/>
    </row>
    <row r="749" ht="31" customHeight="1" spans="1:15">
      <c r="A749" s="13">
        <v>748</v>
      </c>
      <c r="B749" s="14">
        <v>45993</v>
      </c>
      <c r="C749" s="16" t="s">
        <v>68</v>
      </c>
      <c r="D749" s="16" t="str">
        <f>VLOOKUP(E749,[1]Sheet3!$A:$B,2,0)</f>
        <v>冰箱</v>
      </c>
      <c r="E749" s="16" t="s">
        <v>41</v>
      </c>
      <c r="F749" s="16" t="s">
        <v>28</v>
      </c>
      <c r="G749" s="25" t="s">
        <v>5359</v>
      </c>
      <c r="H749" s="16" t="s">
        <v>5360</v>
      </c>
      <c r="I749" s="16"/>
      <c r="J749" s="33"/>
      <c r="K749" s="34"/>
      <c r="L749" s="16"/>
      <c r="M749" s="35"/>
      <c r="N749" s="50"/>
      <c r="O749" s="22"/>
    </row>
    <row r="750" spans="1:15">
      <c r="A750" s="13">
        <v>749</v>
      </c>
      <c r="B750" s="14">
        <v>45995</v>
      </c>
      <c r="C750" s="16" t="s">
        <v>49</v>
      </c>
      <c r="D750" s="16" t="str">
        <f>VLOOKUP(E750,[1]Sheet3!$A:$B,2,0)</f>
        <v>厨热</v>
      </c>
      <c r="E750" s="16" t="s">
        <v>154</v>
      </c>
      <c r="F750" s="16" t="s">
        <v>28</v>
      </c>
      <c r="G750" s="25" t="s">
        <v>5361</v>
      </c>
      <c r="H750" s="16" t="s">
        <v>5362</v>
      </c>
      <c r="I750" s="16"/>
      <c r="J750" s="26" t="s">
        <v>5363</v>
      </c>
      <c r="K750" s="27" t="s">
        <v>49</v>
      </c>
      <c r="L750" s="16"/>
      <c r="M750" s="26" t="s">
        <v>5364</v>
      </c>
      <c r="N750" s="23" t="s">
        <v>34</v>
      </c>
      <c r="O750" s="22"/>
    </row>
    <row r="751" spans="1:15">
      <c r="A751" s="13">
        <v>750</v>
      </c>
      <c r="B751" s="14">
        <v>45995</v>
      </c>
      <c r="C751" s="16" t="s">
        <v>49</v>
      </c>
      <c r="D751" s="16" t="str">
        <f>VLOOKUP(E751,[1]Sheet3!$A:$B,2,0)</f>
        <v>冰箱</v>
      </c>
      <c r="E751" s="16" t="s">
        <v>41</v>
      </c>
      <c r="F751" s="16" t="s">
        <v>28</v>
      </c>
      <c r="G751" s="25" t="s">
        <v>5365</v>
      </c>
      <c r="H751" s="16">
        <v>256264406</v>
      </c>
      <c r="I751" s="16"/>
      <c r="J751" s="26" t="s">
        <v>5363</v>
      </c>
      <c r="K751" s="27" t="s">
        <v>49</v>
      </c>
      <c r="L751" s="16"/>
      <c r="M751" s="26" t="s">
        <v>5364</v>
      </c>
      <c r="N751" s="23" t="s">
        <v>34</v>
      </c>
      <c r="O751" s="22"/>
    </row>
    <row r="752" ht="33" spans="1:15">
      <c r="A752" s="13">
        <v>751</v>
      </c>
      <c r="B752" s="14">
        <v>45995</v>
      </c>
      <c r="C752" s="16" t="s">
        <v>25</v>
      </c>
      <c r="D752" s="16" t="str">
        <f>VLOOKUP(E752,[1]Sheet3!A:B,2,0)</f>
        <v>厨热</v>
      </c>
      <c r="E752" s="16" t="s">
        <v>154</v>
      </c>
      <c r="F752" s="16" t="s">
        <v>28</v>
      </c>
      <c r="G752" s="25" t="s">
        <v>5366</v>
      </c>
      <c r="H752" s="16" t="s">
        <v>5367</v>
      </c>
      <c r="I752" s="16"/>
      <c r="J752" s="26" t="s">
        <v>5368</v>
      </c>
      <c r="K752" s="27" t="s">
        <v>92</v>
      </c>
      <c r="L752" s="16"/>
      <c r="M752" s="26" t="s">
        <v>5369</v>
      </c>
      <c r="N752" s="23" t="s">
        <v>34</v>
      </c>
      <c r="O752" s="22"/>
    </row>
    <row r="753" spans="1:15">
      <c r="A753" s="13">
        <v>752</v>
      </c>
      <c r="B753" s="14">
        <v>45996</v>
      </c>
      <c r="C753" s="16" t="s">
        <v>49</v>
      </c>
      <c r="D753" s="16" t="str">
        <f>VLOOKUP(E753,[1]Sheet3!A:B,2,0)</f>
        <v>工业技术</v>
      </c>
      <c r="E753" s="16" t="s">
        <v>416</v>
      </c>
      <c r="F753" s="16" t="s">
        <v>28</v>
      </c>
      <c r="G753" s="25" t="s">
        <v>5370</v>
      </c>
      <c r="H753" s="16" t="s">
        <v>5371</v>
      </c>
      <c r="I753" s="16"/>
      <c r="J753" s="26" t="s">
        <v>5363</v>
      </c>
      <c r="K753" s="27" t="s">
        <v>49</v>
      </c>
      <c r="L753" s="16"/>
      <c r="M753" s="26" t="s">
        <v>5364</v>
      </c>
      <c r="N753" s="23" t="s">
        <v>34</v>
      </c>
      <c r="O753" s="22"/>
    </row>
    <row r="754" ht="49.5" spans="1:15">
      <c r="A754" s="13">
        <v>753</v>
      </c>
      <c r="B754" s="14">
        <v>45996</v>
      </c>
      <c r="C754" s="16" t="s">
        <v>25</v>
      </c>
      <c r="D754" s="16" t="str">
        <f>VLOOKUP(E754,[1]Sheet3!A:B,2,0)</f>
        <v>冰箱</v>
      </c>
      <c r="E754" s="16" t="s">
        <v>41</v>
      </c>
      <c r="F754" s="16" t="s">
        <v>28</v>
      </c>
      <c r="G754" s="25" t="s">
        <v>5372</v>
      </c>
      <c r="H754" s="116" t="s">
        <v>5373</v>
      </c>
      <c r="I754" s="16"/>
      <c r="J754" s="26" t="s">
        <v>5374</v>
      </c>
      <c r="K754" s="27" t="s">
        <v>92</v>
      </c>
      <c r="L754" s="16"/>
      <c r="M754" s="26" t="s">
        <v>5375</v>
      </c>
      <c r="N754" s="23" t="s">
        <v>34</v>
      </c>
      <c r="O754" s="22"/>
    </row>
    <row r="755" spans="1:15">
      <c r="A755" s="13">
        <v>754</v>
      </c>
      <c r="B755" s="14">
        <v>45999</v>
      </c>
      <c r="C755" s="16" t="s">
        <v>25</v>
      </c>
      <c r="D755" s="16" t="str">
        <f>VLOOKUP(E755,[1]Sheet3!A:B,2,0)</f>
        <v>冰箱</v>
      </c>
      <c r="E755" s="16" t="s">
        <v>41</v>
      </c>
      <c r="F755" s="16" t="s">
        <v>28</v>
      </c>
      <c r="G755" s="25" t="s">
        <v>5376</v>
      </c>
      <c r="H755" s="16" t="s">
        <v>5377</v>
      </c>
      <c r="I755" s="16"/>
      <c r="J755" s="26" t="s">
        <v>5378</v>
      </c>
      <c r="K755" s="27" t="s">
        <v>24</v>
      </c>
      <c r="L755" s="16"/>
      <c r="M755" s="26" t="s">
        <v>5379</v>
      </c>
      <c r="N755" s="23" t="s">
        <v>34</v>
      </c>
      <c r="O755" s="55" t="s">
        <v>500</v>
      </c>
    </row>
    <row r="756" spans="1:15">
      <c r="A756" s="13">
        <v>755</v>
      </c>
      <c r="B756" s="14">
        <v>45999</v>
      </c>
      <c r="C756" s="16" t="s">
        <v>25</v>
      </c>
      <c r="D756" s="16" t="str">
        <f>VLOOKUP(E756,[1]Sheet3!A:B,2,0)</f>
        <v>洗衣机</v>
      </c>
      <c r="E756" s="16" t="s">
        <v>35</v>
      </c>
      <c r="F756" s="16" t="s">
        <v>28</v>
      </c>
      <c r="G756" s="25" t="s">
        <v>5380</v>
      </c>
      <c r="H756" s="16" t="s">
        <v>5381</v>
      </c>
      <c r="I756" s="16"/>
      <c r="J756" s="26" t="s">
        <v>5382</v>
      </c>
      <c r="K756" s="27" t="s">
        <v>24</v>
      </c>
      <c r="L756" s="16"/>
      <c r="M756" s="26" t="s">
        <v>5379</v>
      </c>
      <c r="N756" s="23" t="s">
        <v>34</v>
      </c>
      <c r="O756" s="55" t="s">
        <v>221</v>
      </c>
    </row>
    <row r="757" ht="33" spans="1:15">
      <c r="A757" s="13">
        <v>756</v>
      </c>
      <c r="B757" s="14">
        <v>46000</v>
      </c>
      <c r="C757" s="16" t="s">
        <v>68</v>
      </c>
      <c r="D757" s="16" t="str">
        <f>VLOOKUP(E757,[1]Sheet3!A:B,2,0)</f>
        <v>冰箱</v>
      </c>
      <c r="E757" s="16" t="s">
        <v>41</v>
      </c>
      <c r="F757" s="16" t="s">
        <v>28</v>
      </c>
      <c r="G757" s="25" t="s">
        <v>3099</v>
      </c>
      <c r="H757" s="16" t="s">
        <v>5383</v>
      </c>
      <c r="I757" s="16"/>
      <c r="J757" s="26" t="s">
        <v>5384</v>
      </c>
      <c r="K757" s="27" t="s">
        <v>92</v>
      </c>
      <c r="L757" s="16"/>
      <c r="M757" s="26" t="s">
        <v>5385</v>
      </c>
      <c r="N757" s="23" t="s">
        <v>34</v>
      </c>
      <c r="O757" s="22"/>
    </row>
    <row r="758" ht="33" spans="1:15">
      <c r="A758" s="13">
        <v>757</v>
      </c>
      <c r="B758" s="14">
        <v>46000</v>
      </c>
      <c r="C758" s="16" t="s">
        <v>49</v>
      </c>
      <c r="D758" s="16" t="str">
        <f>VLOOKUP(E758,[1]Sheet3!A:B,2,0)</f>
        <v>洗衣机</v>
      </c>
      <c r="E758" s="16" t="s">
        <v>27</v>
      </c>
      <c r="F758" s="16" t="s">
        <v>28</v>
      </c>
      <c r="G758" s="25" t="s">
        <v>5386</v>
      </c>
      <c r="H758" s="16" t="s">
        <v>5387</v>
      </c>
      <c r="I758" s="16"/>
      <c r="J758" s="26" t="s">
        <v>5388</v>
      </c>
      <c r="K758" s="27" t="s">
        <v>49</v>
      </c>
      <c r="L758" s="16"/>
      <c r="M758" s="26" t="s">
        <v>5389</v>
      </c>
      <c r="N758" s="23" t="s">
        <v>34</v>
      </c>
      <c r="O758" s="22"/>
    </row>
    <row r="759" spans="1:15">
      <c r="A759" s="13">
        <v>758</v>
      </c>
      <c r="B759" s="14">
        <v>46001</v>
      </c>
      <c r="C759" s="16" t="s">
        <v>68</v>
      </c>
      <c r="D759" s="16" t="str">
        <f>VLOOKUP(E759,[1]Sheet3!A:B,2,0)</f>
        <v>冰箱</v>
      </c>
      <c r="E759" s="16" t="s">
        <v>41</v>
      </c>
      <c r="F759" s="16" t="s">
        <v>28</v>
      </c>
      <c r="G759" s="25" t="s">
        <v>5390</v>
      </c>
      <c r="H759" s="16" t="s">
        <v>5391</v>
      </c>
      <c r="I759" s="16"/>
      <c r="J759" s="26" t="s">
        <v>5392</v>
      </c>
      <c r="K759" s="27" t="s">
        <v>32</v>
      </c>
      <c r="L759" s="16"/>
      <c r="M759" s="26" t="s">
        <v>5393</v>
      </c>
      <c r="N759" s="23" t="s">
        <v>34</v>
      </c>
      <c r="O759" s="22"/>
    </row>
    <row r="760" spans="1:15">
      <c r="A760" s="13">
        <v>759</v>
      </c>
      <c r="B760" s="14">
        <v>46001</v>
      </c>
      <c r="C760" s="16" t="s">
        <v>49</v>
      </c>
      <c r="D760" s="16" t="str">
        <f>VLOOKUP(E760,[1]Sheet3!A:B,2,0)</f>
        <v>洗衣机</v>
      </c>
      <c r="E760" s="16" t="s">
        <v>27</v>
      </c>
      <c r="F760" s="16" t="s">
        <v>28</v>
      </c>
      <c r="G760" s="25" t="s">
        <v>5394</v>
      </c>
      <c r="H760" s="16" t="s">
        <v>5395</v>
      </c>
      <c r="I760" s="16"/>
      <c r="J760" s="26" t="s">
        <v>5396</v>
      </c>
      <c r="K760" s="27" t="s">
        <v>49</v>
      </c>
      <c r="L760" s="16"/>
      <c r="M760" s="26" t="s">
        <v>5397</v>
      </c>
      <c r="N760" s="23" t="s">
        <v>34</v>
      </c>
      <c r="O760" s="22"/>
    </row>
    <row r="761" ht="114" customHeight="1" spans="1:15">
      <c r="A761" s="13">
        <v>760</v>
      </c>
      <c r="B761" s="14">
        <v>46002</v>
      </c>
      <c r="C761" s="16" t="s">
        <v>403</v>
      </c>
      <c r="D761" s="16" t="str">
        <f>VLOOKUP(E761,[1]Sheet3!A:B,2,0)</f>
        <v>冰箱</v>
      </c>
      <c r="E761" s="16" t="s">
        <v>41</v>
      </c>
      <c r="F761" s="16" t="s">
        <v>28</v>
      </c>
      <c r="G761" s="25" t="s">
        <v>5398</v>
      </c>
      <c r="H761" s="16" t="s">
        <v>5399</v>
      </c>
      <c r="I761" s="16"/>
      <c r="J761" s="26" t="s">
        <v>5400</v>
      </c>
      <c r="K761" s="27" t="s">
        <v>92</v>
      </c>
      <c r="L761" s="16"/>
      <c r="M761" s="26" t="s">
        <v>5401</v>
      </c>
      <c r="N761" s="23" t="s">
        <v>34</v>
      </c>
      <c r="O761" s="22"/>
    </row>
    <row r="762" spans="1:15">
      <c r="A762" s="13">
        <v>761</v>
      </c>
      <c r="B762" s="14">
        <v>46003</v>
      </c>
      <c r="C762" s="16" t="s">
        <v>49</v>
      </c>
      <c r="D762" s="16" t="str">
        <f>VLOOKUP(E762,[1]Sheet3!A:B,2,0)</f>
        <v>冰箱</v>
      </c>
      <c r="E762" s="16" t="s">
        <v>41</v>
      </c>
      <c r="F762" s="16" t="s">
        <v>28</v>
      </c>
      <c r="G762" s="25" t="s">
        <v>5402</v>
      </c>
      <c r="H762" s="16" t="s">
        <v>5403</v>
      </c>
      <c r="I762" s="16"/>
      <c r="J762" s="26" t="s">
        <v>5404</v>
      </c>
      <c r="K762" s="27" t="s">
        <v>49</v>
      </c>
      <c r="L762" s="16"/>
      <c r="M762" s="26" t="s">
        <v>5405</v>
      </c>
      <c r="N762" s="23" t="s">
        <v>34</v>
      </c>
      <c r="O762" s="22"/>
    </row>
    <row r="763" spans="1:15">
      <c r="A763" s="13">
        <v>762</v>
      </c>
      <c r="B763" s="14">
        <v>46003</v>
      </c>
      <c r="C763" s="16" t="s">
        <v>68</v>
      </c>
      <c r="D763" s="16" t="str">
        <f>VLOOKUP(E763,[1]Sheet3!A:B,2,0)</f>
        <v>洗衣机</v>
      </c>
      <c r="E763" s="16" t="s">
        <v>35</v>
      </c>
      <c r="F763" s="16" t="s">
        <v>28</v>
      </c>
      <c r="G763" s="25" t="s">
        <v>5406</v>
      </c>
      <c r="H763" s="16">
        <v>262726588</v>
      </c>
      <c r="I763" s="16"/>
      <c r="J763" s="26" t="s">
        <v>5407</v>
      </c>
      <c r="K763" s="27" t="s">
        <v>24</v>
      </c>
      <c r="L763" s="16"/>
      <c r="M763" s="26" t="s">
        <v>5408</v>
      </c>
      <c r="N763" s="23" t="s">
        <v>34</v>
      </c>
      <c r="O763" s="55" t="s">
        <v>5314</v>
      </c>
    </row>
    <row r="764" spans="1:15">
      <c r="A764" s="13">
        <v>763</v>
      </c>
      <c r="B764" s="14">
        <v>46003</v>
      </c>
      <c r="C764" s="16" t="s">
        <v>25</v>
      </c>
      <c r="D764" s="16" t="str">
        <f>VLOOKUP(E764,[1]Sheet3!A:B,2,0)</f>
        <v>冰箱</v>
      </c>
      <c r="E764" s="16" t="s">
        <v>148</v>
      </c>
      <c r="F764" s="16" t="s">
        <v>28</v>
      </c>
      <c r="G764" s="25" t="s">
        <v>5409</v>
      </c>
      <c r="H764" s="16" t="s">
        <v>5410</v>
      </c>
      <c r="I764" s="16"/>
      <c r="J764" s="26" t="s">
        <v>5411</v>
      </c>
      <c r="K764" s="27" t="s">
        <v>24</v>
      </c>
      <c r="L764" s="16"/>
      <c r="M764" s="26" t="s">
        <v>5412</v>
      </c>
      <c r="N764" s="23" t="s">
        <v>34</v>
      </c>
      <c r="O764" s="55" t="s">
        <v>5413</v>
      </c>
    </row>
    <row r="765" ht="66" spans="1:15">
      <c r="A765" s="13">
        <v>764</v>
      </c>
      <c r="B765" s="14">
        <v>46006</v>
      </c>
      <c r="C765" s="16" t="s">
        <v>25</v>
      </c>
      <c r="D765" s="16" t="str">
        <f>VLOOKUP(E765,[1]Sheet3!A:B,2,0)</f>
        <v>冰箱</v>
      </c>
      <c r="E765" s="16" t="s">
        <v>41</v>
      </c>
      <c r="F765" s="16" t="s">
        <v>28</v>
      </c>
      <c r="G765" s="25" t="s">
        <v>5414</v>
      </c>
      <c r="H765" s="16" t="s">
        <v>5415</v>
      </c>
      <c r="I765" s="16"/>
      <c r="J765" s="26" t="s">
        <v>5416</v>
      </c>
      <c r="K765" s="27" t="s">
        <v>24</v>
      </c>
      <c r="L765" s="16"/>
      <c r="M765" s="26" t="s">
        <v>5417</v>
      </c>
      <c r="N765" s="23" t="s">
        <v>34</v>
      </c>
      <c r="O765" s="55" t="s">
        <v>500</v>
      </c>
    </row>
    <row r="766" spans="1:15">
      <c r="A766" s="13">
        <v>765</v>
      </c>
      <c r="B766" s="14">
        <v>46006</v>
      </c>
      <c r="C766" s="16" t="s">
        <v>49</v>
      </c>
      <c r="D766" s="16" t="str">
        <f>VLOOKUP(E766,[1]Sheet3!A:B,2,0)</f>
        <v>冰箱</v>
      </c>
      <c r="E766" s="16" t="s">
        <v>41</v>
      </c>
      <c r="F766" s="16" t="s">
        <v>28</v>
      </c>
      <c r="G766" s="25" t="s">
        <v>5418</v>
      </c>
      <c r="H766" s="16" t="s">
        <v>5419</v>
      </c>
      <c r="I766" s="16"/>
      <c r="J766" s="26" t="s">
        <v>5420</v>
      </c>
      <c r="K766" s="27" t="s">
        <v>49</v>
      </c>
      <c r="L766" s="16"/>
      <c r="M766" s="26" t="s">
        <v>5421</v>
      </c>
      <c r="N766" s="23" t="s">
        <v>34</v>
      </c>
      <c r="O766" s="22"/>
    </row>
    <row r="767" spans="1:15">
      <c r="A767" s="13">
        <v>766</v>
      </c>
      <c r="B767" s="14">
        <v>46006</v>
      </c>
      <c r="C767" s="16" t="s">
        <v>49</v>
      </c>
      <c r="D767" s="16" t="str">
        <f>VLOOKUP(E767,[1]Sheet3!A:B,2,0)</f>
        <v>冰箱</v>
      </c>
      <c r="E767" s="16" t="s">
        <v>41</v>
      </c>
      <c r="F767" s="16" t="s">
        <v>28</v>
      </c>
      <c r="G767" s="25" t="s">
        <v>5422</v>
      </c>
      <c r="H767" s="16" t="s">
        <v>5423</v>
      </c>
      <c r="I767" s="16"/>
      <c r="J767" s="26" t="s">
        <v>5420</v>
      </c>
      <c r="K767" s="27" t="s">
        <v>49</v>
      </c>
      <c r="L767" s="16"/>
      <c r="M767" s="26" t="s">
        <v>5421</v>
      </c>
      <c r="N767" s="23" t="s">
        <v>34</v>
      </c>
      <c r="O767" s="22"/>
    </row>
    <row r="768" spans="1:15">
      <c r="A768" s="13">
        <v>767</v>
      </c>
      <c r="B768" s="14">
        <v>46007</v>
      </c>
      <c r="C768" s="16" t="s">
        <v>49</v>
      </c>
      <c r="D768" s="16" t="str">
        <f>VLOOKUP(E768,[1]Sheet3!A:B,2,0)</f>
        <v>冰箱</v>
      </c>
      <c r="E768" s="16" t="s">
        <v>41</v>
      </c>
      <c r="F768" s="16" t="s">
        <v>28</v>
      </c>
      <c r="G768" s="25" t="s">
        <v>5424</v>
      </c>
      <c r="H768" s="16" t="s">
        <v>5425</v>
      </c>
      <c r="I768" s="16"/>
      <c r="J768" s="26" t="s">
        <v>5426</v>
      </c>
      <c r="K768" s="27" t="s">
        <v>49</v>
      </c>
      <c r="L768" s="16"/>
      <c r="M768" s="26" t="s">
        <v>5427</v>
      </c>
      <c r="N768" s="23" t="s">
        <v>34</v>
      </c>
      <c r="O768" s="22"/>
    </row>
    <row r="769" ht="165" spans="1:15">
      <c r="A769" s="13">
        <v>768</v>
      </c>
      <c r="B769" s="14">
        <v>46007</v>
      </c>
      <c r="C769" s="16" t="s">
        <v>49</v>
      </c>
      <c r="D769" s="16" t="str">
        <f>VLOOKUP(E769,[1]Sheet3!A:B,2,0)</f>
        <v>洗衣机</v>
      </c>
      <c r="E769" s="16" t="s">
        <v>35</v>
      </c>
      <c r="F769" s="16" t="s">
        <v>28</v>
      </c>
      <c r="G769" s="25" t="s">
        <v>5428</v>
      </c>
      <c r="H769" s="16" t="s">
        <v>5429</v>
      </c>
      <c r="I769" s="16"/>
      <c r="J769" s="26" t="s">
        <v>5426</v>
      </c>
      <c r="K769" s="27" t="s">
        <v>49</v>
      </c>
      <c r="L769" s="16"/>
      <c r="M769" s="26" t="s">
        <v>5430</v>
      </c>
      <c r="N769" s="23" t="s">
        <v>34</v>
      </c>
      <c r="O769" s="22"/>
    </row>
    <row r="770" ht="82.5" spans="1:15">
      <c r="A770" s="13">
        <v>769</v>
      </c>
      <c r="B770" s="14">
        <v>46008</v>
      </c>
      <c r="C770" s="16" t="s">
        <v>68</v>
      </c>
      <c r="D770" s="16" t="str">
        <f>VLOOKUP(E770,[1]Sheet3!A:B,2,0)</f>
        <v>洗衣机</v>
      </c>
      <c r="E770" s="16" t="s">
        <v>27</v>
      </c>
      <c r="F770" s="16" t="s">
        <v>28</v>
      </c>
      <c r="G770" s="25" t="s">
        <v>5431</v>
      </c>
      <c r="H770" s="16" t="s">
        <v>5432</v>
      </c>
      <c r="I770" s="16"/>
      <c r="J770" s="26" t="s">
        <v>5433</v>
      </c>
      <c r="K770" s="27" t="s">
        <v>97</v>
      </c>
      <c r="L770" s="16"/>
      <c r="M770" s="26" t="s">
        <v>5434</v>
      </c>
      <c r="N770" s="23" t="s">
        <v>34</v>
      </c>
      <c r="O770" s="22"/>
    </row>
    <row r="771" spans="1:15">
      <c r="A771" s="13">
        <v>770</v>
      </c>
      <c r="B771" s="14">
        <v>46009</v>
      </c>
      <c r="C771" s="16" t="s">
        <v>25</v>
      </c>
      <c r="D771" s="16" t="str">
        <f>VLOOKUP(E771,[1]Sheet3!A:B,2,0)</f>
        <v>洗衣机</v>
      </c>
      <c r="E771" s="16" t="s">
        <v>35</v>
      </c>
      <c r="F771" s="16" t="s">
        <v>28</v>
      </c>
      <c r="G771" s="25" t="s">
        <v>5435</v>
      </c>
      <c r="H771" s="16" t="s">
        <v>5436</v>
      </c>
      <c r="I771" s="16"/>
      <c r="J771" s="26" t="s">
        <v>5437</v>
      </c>
      <c r="K771" s="27" t="s">
        <v>24</v>
      </c>
      <c r="L771" s="16"/>
      <c r="M771" s="26" t="s">
        <v>5438</v>
      </c>
      <c r="N771" s="23" t="s">
        <v>34</v>
      </c>
      <c r="O771" s="55" t="s">
        <v>221</v>
      </c>
    </row>
    <row r="772" ht="33" spans="1:15">
      <c r="A772" s="13">
        <v>771</v>
      </c>
      <c r="B772" s="14">
        <v>46009</v>
      </c>
      <c r="C772" s="16" t="s">
        <v>403</v>
      </c>
      <c r="D772" s="16" t="str">
        <f>VLOOKUP(E772,[1]Sheet3!A:B,2,0)</f>
        <v>洗衣机</v>
      </c>
      <c r="E772" s="16" t="s">
        <v>35</v>
      </c>
      <c r="F772" s="16" t="s">
        <v>28</v>
      </c>
      <c r="G772" s="25" t="s">
        <v>3099</v>
      </c>
      <c r="H772" s="16" t="s">
        <v>5439</v>
      </c>
      <c r="I772" s="16"/>
      <c r="J772" s="26" t="s">
        <v>5440</v>
      </c>
      <c r="K772" s="27" t="s">
        <v>92</v>
      </c>
      <c r="L772" s="16"/>
      <c r="M772" s="26" t="s">
        <v>5441</v>
      </c>
      <c r="N772" s="23" t="s">
        <v>34</v>
      </c>
      <c r="O772" s="22"/>
    </row>
    <row r="773" spans="1:15">
      <c r="A773" s="13">
        <v>772</v>
      </c>
      <c r="B773" s="14">
        <v>46010</v>
      </c>
      <c r="C773" s="16" t="s">
        <v>49</v>
      </c>
      <c r="D773" s="16" t="str">
        <f>VLOOKUP(E773,[1]Sheet3!A:B,2,0)</f>
        <v>冰箱</v>
      </c>
      <c r="E773" s="16" t="s">
        <v>41</v>
      </c>
      <c r="F773" s="16" t="s">
        <v>28</v>
      </c>
      <c r="G773" s="25" t="s">
        <v>5442</v>
      </c>
      <c r="H773" s="16" t="s">
        <v>5443</v>
      </c>
      <c r="I773" s="16"/>
      <c r="J773" s="26" t="s">
        <v>5444</v>
      </c>
      <c r="K773" s="27" t="s">
        <v>49</v>
      </c>
      <c r="L773" s="16"/>
      <c r="M773" s="26" t="s">
        <v>5445</v>
      </c>
      <c r="N773" s="23" t="s">
        <v>34</v>
      </c>
      <c r="O773" s="22"/>
    </row>
    <row r="774" ht="115.5" spans="1:15">
      <c r="A774" s="13">
        <v>773</v>
      </c>
      <c r="B774" s="14">
        <v>46010</v>
      </c>
      <c r="C774" s="16" t="s">
        <v>68</v>
      </c>
      <c r="D774" s="16" t="str">
        <f>VLOOKUP(E774,[1]Sheet3!A:B,2,0)</f>
        <v>洗衣机</v>
      </c>
      <c r="E774" s="16" t="s">
        <v>27</v>
      </c>
      <c r="F774" s="16" t="s">
        <v>28</v>
      </c>
      <c r="G774" s="25" t="s">
        <v>5446</v>
      </c>
      <c r="H774" s="16" t="s">
        <v>5447</v>
      </c>
      <c r="I774" s="16"/>
      <c r="J774" s="26" t="s">
        <v>5448</v>
      </c>
      <c r="K774" s="27" t="s">
        <v>32</v>
      </c>
      <c r="L774" s="16"/>
      <c r="M774" s="26" t="s">
        <v>5449</v>
      </c>
      <c r="N774" s="23" t="s">
        <v>34</v>
      </c>
      <c r="O774" s="22"/>
    </row>
    <row r="775" ht="33" spans="1:15">
      <c r="A775" s="13">
        <v>774</v>
      </c>
      <c r="B775" s="14">
        <v>46012</v>
      </c>
      <c r="C775" s="16" t="s">
        <v>49</v>
      </c>
      <c r="D775" s="16" t="str">
        <f>VLOOKUP(E775,[1]Sheet3!A:B,2,0)</f>
        <v>微波和清洁</v>
      </c>
      <c r="E775" s="16" t="s">
        <v>223</v>
      </c>
      <c r="F775" s="16" t="s">
        <v>28</v>
      </c>
      <c r="G775" s="25" t="s">
        <v>5450</v>
      </c>
      <c r="H775" s="16" t="s">
        <v>5451</v>
      </c>
      <c r="I775" s="16"/>
      <c r="J775" s="26" t="s">
        <v>5452</v>
      </c>
      <c r="K775" s="27" t="s">
        <v>49</v>
      </c>
      <c r="L775" s="16"/>
      <c r="M775" s="26" t="s">
        <v>5453</v>
      </c>
      <c r="N775" s="23" t="s">
        <v>34</v>
      </c>
      <c r="O775" s="22"/>
    </row>
    <row r="776" ht="33" spans="1:15">
      <c r="A776" s="13">
        <v>775</v>
      </c>
      <c r="B776" s="14">
        <v>46013</v>
      </c>
      <c r="C776" s="16" t="s">
        <v>25</v>
      </c>
      <c r="D776" s="16" t="str">
        <f>VLOOKUP(E776,[1]Sheet3!A:B,2,0)</f>
        <v>家用空调</v>
      </c>
      <c r="E776" s="16" t="s">
        <v>318</v>
      </c>
      <c r="F776" s="16" t="s">
        <v>28</v>
      </c>
      <c r="G776" s="25" t="s">
        <v>5454</v>
      </c>
      <c r="H776" s="16" t="s">
        <v>5455</v>
      </c>
      <c r="I776" s="16"/>
      <c r="J776" s="26" t="s">
        <v>5456</v>
      </c>
      <c r="K776" s="27" t="s">
        <v>92</v>
      </c>
      <c r="L776" s="16"/>
      <c r="M776" s="26" t="s">
        <v>5457</v>
      </c>
      <c r="N776" s="23" t="s">
        <v>34</v>
      </c>
      <c r="O776" s="22"/>
    </row>
    <row r="777" ht="33" spans="1:15">
      <c r="A777" s="13">
        <v>776</v>
      </c>
      <c r="B777" s="14">
        <v>46013</v>
      </c>
      <c r="C777" s="16" t="s">
        <v>25</v>
      </c>
      <c r="D777" s="16" t="str">
        <f>VLOOKUP(E777,[1]Sheet3!A:B,2,0)</f>
        <v>家用空调</v>
      </c>
      <c r="E777" s="16" t="s">
        <v>318</v>
      </c>
      <c r="F777" s="16" t="s">
        <v>28</v>
      </c>
      <c r="G777" s="25" t="s">
        <v>5458</v>
      </c>
      <c r="H777" s="16" t="s">
        <v>5459</v>
      </c>
      <c r="I777" s="16"/>
      <c r="J777" s="26" t="s">
        <v>5460</v>
      </c>
      <c r="K777" s="27" t="s">
        <v>24</v>
      </c>
      <c r="L777" s="16"/>
      <c r="M777" s="26" t="s">
        <v>5461</v>
      </c>
      <c r="N777" s="23" t="s">
        <v>34</v>
      </c>
      <c r="O777" s="55" t="s">
        <v>1246</v>
      </c>
    </row>
    <row r="778" spans="1:15">
      <c r="A778" s="13">
        <v>777</v>
      </c>
      <c r="B778" s="14">
        <v>46013</v>
      </c>
      <c r="C778" s="16" t="s">
        <v>49</v>
      </c>
      <c r="D778" s="16" t="str">
        <f>VLOOKUP(E778,[1]Sheet3!A:B,2,0)</f>
        <v>冰箱</v>
      </c>
      <c r="E778" s="16" t="s">
        <v>41</v>
      </c>
      <c r="F778" s="16" t="s">
        <v>28</v>
      </c>
      <c r="G778" s="25" t="s">
        <v>5462</v>
      </c>
      <c r="H778" s="16" t="s">
        <v>5463</v>
      </c>
      <c r="I778" s="16"/>
      <c r="J778" s="26" t="s">
        <v>5452</v>
      </c>
      <c r="K778" s="27" t="s">
        <v>49</v>
      </c>
      <c r="L778" s="16"/>
      <c r="M778" s="26" t="s">
        <v>5464</v>
      </c>
      <c r="N778" s="23" t="s">
        <v>34</v>
      </c>
      <c r="O778" s="22"/>
    </row>
    <row r="779" spans="1:15">
      <c r="A779" s="13">
        <v>778</v>
      </c>
      <c r="B779" s="14">
        <v>46013</v>
      </c>
      <c r="C779" s="16" t="s">
        <v>49</v>
      </c>
      <c r="D779" s="16" t="str">
        <f>VLOOKUP(E779,[1]Sheet3!A:B,2,0)</f>
        <v>洗衣机</v>
      </c>
      <c r="E779" s="16" t="s">
        <v>27</v>
      </c>
      <c r="F779" s="16" t="s">
        <v>28</v>
      </c>
      <c r="G779" s="25" t="s">
        <v>5465</v>
      </c>
      <c r="H779" s="16" t="s">
        <v>5466</v>
      </c>
      <c r="I779" s="16"/>
      <c r="J779" s="26" t="s">
        <v>5452</v>
      </c>
      <c r="K779" s="27" t="s">
        <v>49</v>
      </c>
      <c r="L779" s="16"/>
      <c r="M779" s="26" t="s">
        <v>5464</v>
      </c>
      <c r="N779" s="23" t="s">
        <v>34</v>
      </c>
      <c r="O779" s="22"/>
    </row>
    <row r="780" spans="1:15">
      <c r="A780" s="13">
        <v>779</v>
      </c>
      <c r="B780" s="14">
        <v>46013</v>
      </c>
      <c r="C780" s="16" t="s">
        <v>49</v>
      </c>
      <c r="D780" s="16" t="str">
        <f>VLOOKUP(E780,[1]Sheet3!A:B,2,0)</f>
        <v>厨热</v>
      </c>
      <c r="E780" s="16" t="s">
        <v>411</v>
      </c>
      <c r="F780" s="16" t="s">
        <v>28</v>
      </c>
      <c r="G780" s="25" t="s">
        <v>5467</v>
      </c>
      <c r="H780" s="16">
        <v>262637171</v>
      </c>
      <c r="I780" s="16"/>
      <c r="J780" s="26" t="s">
        <v>5452</v>
      </c>
      <c r="K780" s="27" t="s">
        <v>49</v>
      </c>
      <c r="L780" s="16"/>
      <c r="M780" s="26" t="s">
        <v>5464</v>
      </c>
      <c r="N780" s="23" t="s">
        <v>34</v>
      </c>
      <c r="O780" s="22"/>
    </row>
    <row r="781" ht="66" spans="1:15">
      <c r="A781" s="13">
        <v>780</v>
      </c>
      <c r="B781" s="14">
        <v>46013</v>
      </c>
      <c r="C781" s="16" t="s">
        <v>49</v>
      </c>
      <c r="D781" s="16" t="str">
        <f>VLOOKUP(E781,[1]Sheet3!A:B,2,0)</f>
        <v>洗衣机</v>
      </c>
      <c r="E781" s="16" t="s">
        <v>27</v>
      </c>
      <c r="F781" s="16" t="s">
        <v>28</v>
      </c>
      <c r="G781" s="25" t="s">
        <v>5468</v>
      </c>
      <c r="H781" s="16">
        <v>11201639046</v>
      </c>
      <c r="I781" s="16"/>
      <c r="J781" s="26" t="s">
        <v>5469</v>
      </c>
      <c r="K781" s="27" t="s">
        <v>49</v>
      </c>
      <c r="L781" s="16"/>
      <c r="M781" s="26" t="s">
        <v>5470</v>
      </c>
      <c r="N781" s="23" t="s">
        <v>34</v>
      </c>
      <c r="O781" s="22"/>
    </row>
    <row r="782" spans="1:15">
      <c r="A782" s="13">
        <v>781</v>
      </c>
      <c r="B782" s="14">
        <v>46014</v>
      </c>
      <c r="C782" s="16" t="s">
        <v>25</v>
      </c>
      <c r="D782" s="16" t="str">
        <f>VLOOKUP(E782,[1]Sheet3!A:B,2,0)</f>
        <v>洗衣机</v>
      </c>
      <c r="E782" s="16" t="s">
        <v>27</v>
      </c>
      <c r="F782" s="16" t="s">
        <v>28</v>
      </c>
      <c r="G782" s="25" t="s">
        <v>5471</v>
      </c>
      <c r="H782" s="16" t="s">
        <v>5472</v>
      </c>
      <c r="I782" s="16"/>
      <c r="J782" s="26" t="s">
        <v>5473</v>
      </c>
      <c r="K782" s="27" t="s">
        <v>92</v>
      </c>
      <c r="L782" s="16"/>
      <c r="M782" s="26" t="s">
        <v>5474</v>
      </c>
      <c r="N782" s="23" t="s">
        <v>34</v>
      </c>
      <c r="O782" s="22"/>
    </row>
    <row r="783" spans="1:15">
      <c r="A783" s="13">
        <v>782</v>
      </c>
      <c r="B783" s="14">
        <v>46016</v>
      </c>
      <c r="C783" s="16" t="s">
        <v>49</v>
      </c>
      <c r="D783" s="16" t="str">
        <f>VLOOKUP(E783,[1]Sheet3!A:B,2,0)</f>
        <v>冰箱</v>
      </c>
      <c r="E783" s="16" t="s">
        <v>41</v>
      </c>
      <c r="F783" s="16" t="s">
        <v>28</v>
      </c>
      <c r="G783" s="25" t="s">
        <v>5475</v>
      </c>
      <c r="H783" s="16" t="s">
        <v>5476</v>
      </c>
      <c r="I783" s="16"/>
      <c r="J783" s="26" t="s">
        <v>5477</v>
      </c>
      <c r="K783" s="27" t="s">
        <v>49</v>
      </c>
      <c r="L783" s="16"/>
      <c r="M783" s="26" t="s">
        <v>5478</v>
      </c>
      <c r="N783" s="23" t="s">
        <v>34</v>
      </c>
      <c r="O783" s="22"/>
    </row>
    <row r="784" ht="82.5" spans="1:15">
      <c r="A784" s="13">
        <v>783</v>
      </c>
      <c r="B784" s="14">
        <v>46016</v>
      </c>
      <c r="C784" s="16" t="s">
        <v>403</v>
      </c>
      <c r="D784" s="16" t="str">
        <f>VLOOKUP(E784,[1]Sheet3!A:B,2,0)</f>
        <v>微波和清洁</v>
      </c>
      <c r="E784" s="16" t="s">
        <v>295</v>
      </c>
      <c r="F784" s="16" t="s">
        <v>28</v>
      </c>
      <c r="G784" s="25" t="s">
        <v>3099</v>
      </c>
      <c r="H784" s="16" t="s">
        <v>5479</v>
      </c>
      <c r="I784" s="16"/>
      <c r="J784" s="26" t="s">
        <v>5480</v>
      </c>
      <c r="K784" s="27" t="s">
        <v>92</v>
      </c>
      <c r="L784" s="16"/>
      <c r="M784" s="26" t="s">
        <v>5481</v>
      </c>
      <c r="N784" s="23" t="s">
        <v>34</v>
      </c>
      <c r="O784" s="22"/>
    </row>
    <row r="785" ht="115.5" spans="1:15">
      <c r="A785" s="13">
        <v>784</v>
      </c>
      <c r="B785" s="14">
        <v>46016</v>
      </c>
      <c r="C785" s="16" t="s">
        <v>68</v>
      </c>
      <c r="D785" s="16" t="str">
        <f>VLOOKUP(E785,[1]Sheet3!A:B,2,0)</f>
        <v>洗衣机</v>
      </c>
      <c r="E785" s="16" t="s">
        <v>27</v>
      </c>
      <c r="F785" s="16" t="s">
        <v>28</v>
      </c>
      <c r="G785" s="25" t="s">
        <v>5482</v>
      </c>
      <c r="H785" s="16">
        <v>262883536</v>
      </c>
      <c r="I785" s="16"/>
      <c r="J785" s="26" t="s">
        <v>5483</v>
      </c>
      <c r="K785" s="27" t="s">
        <v>32</v>
      </c>
      <c r="L785" s="16"/>
      <c r="M785" s="26" t="s">
        <v>5484</v>
      </c>
      <c r="N785" s="23" t="s">
        <v>34</v>
      </c>
      <c r="O785" s="22"/>
    </row>
    <row r="786" spans="1:15">
      <c r="A786" s="13">
        <v>785</v>
      </c>
      <c r="B786" s="14">
        <v>46017</v>
      </c>
      <c r="C786" s="16" t="s">
        <v>49</v>
      </c>
      <c r="D786" s="16" t="str">
        <f>VLOOKUP(E786,[1]Sheet3!A:B,2,0)</f>
        <v>冰箱</v>
      </c>
      <c r="E786" s="16" t="s">
        <v>41</v>
      </c>
      <c r="F786" s="16" t="s">
        <v>28</v>
      </c>
      <c r="G786" s="25" t="s">
        <v>5485</v>
      </c>
      <c r="H786" s="16">
        <v>264822567</v>
      </c>
      <c r="I786" s="16"/>
      <c r="J786" s="26" t="s">
        <v>5486</v>
      </c>
      <c r="K786" s="27" t="s">
        <v>49</v>
      </c>
      <c r="L786" s="16"/>
      <c r="M786" s="26" t="s">
        <v>5487</v>
      </c>
      <c r="N786" s="23" t="s">
        <v>34</v>
      </c>
      <c r="O786" s="22"/>
    </row>
    <row r="787" spans="1:15">
      <c r="A787" s="13">
        <v>786</v>
      </c>
      <c r="B787" s="14">
        <v>46017</v>
      </c>
      <c r="C787" s="16" t="s">
        <v>49</v>
      </c>
      <c r="D787" s="16" t="str">
        <f>VLOOKUP(E787,[1]Sheet3!A:B,2,0)</f>
        <v>冰箱</v>
      </c>
      <c r="E787" s="16" t="s">
        <v>41</v>
      </c>
      <c r="F787" s="16" t="s">
        <v>28</v>
      </c>
      <c r="G787" s="25" t="s">
        <v>5488</v>
      </c>
      <c r="H787" s="16" t="s">
        <v>5489</v>
      </c>
      <c r="I787" s="16"/>
      <c r="J787" s="26" t="s">
        <v>5486</v>
      </c>
      <c r="K787" s="27" t="s">
        <v>49</v>
      </c>
      <c r="L787" s="16"/>
      <c r="M787" s="26" t="s">
        <v>5487</v>
      </c>
      <c r="N787" s="23" t="s">
        <v>34</v>
      </c>
      <c r="O787" s="22"/>
    </row>
    <row r="788" ht="33" spans="1:15">
      <c r="A788" s="13">
        <v>787</v>
      </c>
      <c r="B788" s="14">
        <v>46017</v>
      </c>
      <c r="C788" s="16" t="s">
        <v>25</v>
      </c>
      <c r="D788" s="16" t="e">
        <f>VLOOKUP(E788,[1]Sheet3!A:B,2,0)</f>
        <v>#N/A</v>
      </c>
      <c r="E788" s="16" t="s">
        <v>630</v>
      </c>
      <c r="F788" s="16" t="s">
        <v>28</v>
      </c>
      <c r="G788" s="25" t="s">
        <v>5490</v>
      </c>
      <c r="H788" s="16" t="s">
        <v>5491</v>
      </c>
      <c r="I788" s="16"/>
      <c r="J788" s="26" t="s">
        <v>5492</v>
      </c>
      <c r="K788" s="27" t="s">
        <v>24</v>
      </c>
      <c r="L788" s="16"/>
      <c r="M788" s="26" t="s">
        <v>5493</v>
      </c>
      <c r="N788" s="23" t="s">
        <v>34</v>
      </c>
      <c r="O788" s="55" t="s">
        <v>280</v>
      </c>
    </row>
    <row r="789" spans="1:15">
      <c r="A789" s="13">
        <v>788</v>
      </c>
      <c r="B789" s="14">
        <v>46020</v>
      </c>
      <c r="C789" s="16" t="s">
        <v>68</v>
      </c>
      <c r="D789" s="16" t="str">
        <f>VLOOKUP(E789,[1]Sheet3!A:B,2,0)</f>
        <v>冰箱</v>
      </c>
      <c r="E789" s="16" t="s">
        <v>41</v>
      </c>
      <c r="F789" s="16" t="s">
        <v>28</v>
      </c>
      <c r="G789" s="25" t="s">
        <v>361</v>
      </c>
      <c r="H789" s="16" t="s">
        <v>5494</v>
      </c>
      <c r="I789" s="16"/>
      <c r="J789" s="26" t="s">
        <v>5495</v>
      </c>
      <c r="K789" s="34" t="s">
        <v>24</v>
      </c>
      <c r="L789" s="16"/>
      <c r="M789" s="26" t="s">
        <v>5496</v>
      </c>
      <c r="N789" s="50" t="s">
        <v>34</v>
      </c>
      <c r="O789" s="55" t="s">
        <v>364</v>
      </c>
    </row>
    <row r="790" ht="49.5" spans="1:15">
      <c r="A790" s="13">
        <v>789</v>
      </c>
      <c r="B790" s="14">
        <v>46021</v>
      </c>
      <c r="C790" s="16" t="s">
        <v>49</v>
      </c>
      <c r="D790" s="16" t="str">
        <f>VLOOKUP(E790,[1]Sheet3!A:B,2,0)</f>
        <v>洗衣机</v>
      </c>
      <c r="E790" s="16" t="s">
        <v>27</v>
      </c>
      <c r="F790" s="16" t="s">
        <v>28</v>
      </c>
      <c r="G790" s="25" t="s">
        <v>5497</v>
      </c>
      <c r="H790" s="16" t="s">
        <v>5498</v>
      </c>
      <c r="I790" s="16"/>
      <c r="J790" s="26" t="s">
        <v>5499</v>
      </c>
      <c r="K790" s="27" t="s">
        <v>49</v>
      </c>
      <c r="L790" s="16"/>
      <c r="M790" s="26" t="s">
        <v>5500</v>
      </c>
      <c r="N790" s="23" t="s">
        <v>34</v>
      </c>
      <c r="O790" s="22"/>
    </row>
    <row r="791" spans="1:15">
      <c r="A791" s="13">
        <v>790</v>
      </c>
      <c r="B791" s="14">
        <v>46021</v>
      </c>
      <c r="C791" s="16" t="s">
        <v>68</v>
      </c>
      <c r="D791" s="16" t="str">
        <f>VLOOKUP(E791,[1]Sheet3!A:B,2,0)</f>
        <v>工业技术</v>
      </c>
      <c r="E791" s="16" t="s">
        <v>165</v>
      </c>
      <c r="F791" s="16" t="s">
        <v>28</v>
      </c>
      <c r="G791" s="25" t="s">
        <v>5501</v>
      </c>
      <c r="H791" s="16" t="s">
        <v>5502</v>
      </c>
      <c r="I791" s="16"/>
      <c r="J791" s="26" t="s">
        <v>5503</v>
      </c>
      <c r="K791" s="27" t="s">
        <v>97</v>
      </c>
      <c r="L791" s="16"/>
      <c r="M791" s="26" t="s">
        <v>5504</v>
      </c>
      <c r="N791" s="23" t="s">
        <v>34</v>
      </c>
      <c r="O791" s="22"/>
    </row>
    <row r="792" spans="1:15">
      <c r="A792" s="13">
        <v>791</v>
      </c>
      <c r="B792" s="14">
        <v>46021</v>
      </c>
      <c r="C792" s="16" t="s">
        <v>25</v>
      </c>
      <c r="D792" s="16" t="s">
        <v>222</v>
      </c>
      <c r="E792" s="16" t="s">
        <v>5505</v>
      </c>
      <c r="F792" s="16" t="s">
        <v>28</v>
      </c>
      <c r="G792" s="25" t="s">
        <v>5506</v>
      </c>
      <c r="H792" s="16">
        <v>263066687</v>
      </c>
      <c r="I792" s="16"/>
      <c r="J792" s="26" t="s">
        <v>5507</v>
      </c>
      <c r="K792" s="27" t="s">
        <v>92</v>
      </c>
      <c r="L792" s="16"/>
      <c r="M792" s="26" t="s">
        <v>5508</v>
      </c>
      <c r="N792" s="23" t="s">
        <v>34</v>
      </c>
      <c r="O792" s="22"/>
    </row>
    <row r="793" spans="1:15">
      <c r="A793" s="13">
        <v>792</v>
      </c>
      <c r="B793" s="14">
        <v>46021</v>
      </c>
      <c r="C793" s="16" t="s">
        <v>49</v>
      </c>
      <c r="D793" s="16" t="str">
        <f>VLOOKUP(E793,[1]Sheet3!A:B,2,0)</f>
        <v>冰箱</v>
      </c>
      <c r="E793" s="16" t="s">
        <v>41</v>
      </c>
      <c r="F793" s="16" t="s">
        <v>28</v>
      </c>
      <c r="G793" s="25" t="s">
        <v>5509</v>
      </c>
      <c r="H793" s="16" t="s">
        <v>5510</v>
      </c>
      <c r="I793" s="16"/>
      <c r="J793" s="26" t="s">
        <v>5511</v>
      </c>
      <c r="K793" s="27" t="s">
        <v>49</v>
      </c>
      <c r="L793" s="16"/>
      <c r="M793" s="26" t="s">
        <v>5512</v>
      </c>
      <c r="N793" s="23" t="s">
        <v>34</v>
      </c>
      <c r="O793" s="22"/>
    </row>
    <row r="794" spans="1:15">
      <c r="A794" s="13">
        <v>793</v>
      </c>
      <c r="B794" s="14">
        <v>46021</v>
      </c>
      <c r="C794" s="16" t="s">
        <v>49</v>
      </c>
      <c r="D794" s="16" t="str">
        <f>VLOOKUP(E794,[1]Sheet3!A:B,2,0)</f>
        <v>洗衣机</v>
      </c>
      <c r="E794" s="16" t="s">
        <v>35</v>
      </c>
      <c r="F794" s="16" t="s">
        <v>28</v>
      </c>
      <c r="G794" s="25" t="s">
        <v>5513</v>
      </c>
      <c r="H794" s="16" t="s">
        <v>5514</v>
      </c>
      <c r="I794" s="16"/>
      <c r="J794" s="26" t="s">
        <v>5511</v>
      </c>
      <c r="K794" s="27" t="s">
        <v>49</v>
      </c>
      <c r="L794" s="16"/>
      <c r="M794" s="26" t="s">
        <v>5512</v>
      </c>
      <c r="N794" s="23" t="s">
        <v>34</v>
      </c>
      <c r="O794" s="22"/>
    </row>
    <row r="795" spans="1:15">
      <c r="A795" s="13">
        <v>794</v>
      </c>
      <c r="B795" s="14">
        <v>46022</v>
      </c>
      <c r="C795" s="16" t="s">
        <v>68</v>
      </c>
      <c r="D795" s="16" t="str">
        <f>VLOOKUP(E795,[1]Sheet3!A:B,2,0)</f>
        <v>冰箱</v>
      </c>
      <c r="E795" s="16" t="s">
        <v>41</v>
      </c>
      <c r="F795" s="16" t="s">
        <v>28</v>
      </c>
      <c r="G795" s="25" t="s">
        <v>5515</v>
      </c>
      <c r="H795" s="16" t="s">
        <v>5516</v>
      </c>
      <c r="I795" s="16"/>
      <c r="J795" s="26" t="s">
        <v>5517</v>
      </c>
      <c r="K795" s="27" t="s">
        <v>24</v>
      </c>
      <c r="L795" s="16"/>
      <c r="M795" s="26" t="s">
        <v>5518</v>
      </c>
      <c r="N795" s="23" t="s">
        <v>34</v>
      </c>
      <c r="O795" s="55" t="s">
        <v>380</v>
      </c>
    </row>
    <row r="796" spans="1:15">
      <c r="A796" s="13">
        <v>795</v>
      </c>
      <c r="B796" s="14">
        <v>46022</v>
      </c>
      <c r="C796" s="16" t="s">
        <v>49</v>
      </c>
      <c r="D796" s="16" t="str">
        <f>VLOOKUP(E796,[1]Sheet3!A:B,2,0)</f>
        <v>厨热</v>
      </c>
      <c r="E796" s="16" t="s">
        <v>411</v>
      </c>
      <c r="F796" s="16" t="s">
        <v>28</v>
      </c>
      <c r="G796" s="25" t="s">
        <v>5519</v>
      </c>
      <c r="H796" s="16" t="s">
        <v>5520</v>
      </c>
      <c r="I796" s="16"/>
      <c r="J796" s="26" t="s">
        <v>5521</v>
      </c>
      <c r="K796" s="27" t="s">
        <v>49</v>
      </c>
      <c r="L796" s="16"/>
      <c r="M796" s="26" t="s">
        <v>5522</v>
      </c>
      <c r="N796" s="23" t="s">
        <v>34</v>
      </c>
      <c r="O796" s="22"/>
    </row>
    <row r="797" spans="1:15">
      <c r="A797" s="13">
        <v>796</v>
      </c>
      <c r="B797" s="14">
        <v>46022</v>
      </c>
      <c r="C797" s="16" t="s">
        <v>68</v>
      </c>
      <c r="D797" s="16" t="str">
        <f>VLOOKUP(E797,[1]Sheet3!A:B,2,0)</f>
        <v>冰箱</v>
      </c>
      <c r="E797" s="16" t="s">
        <v>41</v>
      </c>
      <c r="F797" s="16" t="s">
        <v>28</v>
      </c>
      <c r="G797" s="25" t="s">
        <v>5523</v>
      </c>
      <c r="H797" s="16">
        <v>264824279</v>
      </c>
      <c r="I797" s="16"/>
      <c r="J797" s="26" t="s">
        <v>5517</v>
      </c>
      <c r="K797" s="27" t="s">
        <v>24</v>
      </c>
      <c r="L797" s="16"/>
      <c r="M797" s="26" t="s">
        <v>5524</v>
      </c>
      <c r="N797" s="23" t="s">
        <v>34</v>
      </c>
      <c r="O797" s="55" t="s">
        <v>380</v>
      </c>
    </row>
    <row r="798" spans="1:15">
      <c r="A798" s="13">
        <v>797</v>
      </c>
      <c r="B798" s="14">
        <v>46022</v>
      </c>
      <c r="C798" s="16" t="s">
        <v>68</v>
      </c>
      <c r="D798" s="16" t="str">
        <f>VLOOKUP(E798,[1]Sheet3!A:B,2,0)</f>
        <v>冰箱</v>
      </c>
      <c r="E798" s="16" t="s">
        <v>41</v>
      </c>
      <c r="F798" s="16" t="s">
        <v>28</v>
      </c>
      <c r="G798" s="25" t="s">
        <v>5525</v>
      </c>
      <c r="H798" s="16" t="s">
        <v>5526</v>
      </c>
      <c r="I798" s="16"/>
      <c r="J798" s="26" t="s">
        <v>5517</v>
      </c>
      <c r="K798" s="27" t="s">
        <v>24</v>
      </c>
      <c r="L798" s="16"/>
      <c r="M798" s="26" t="s">
        <v>5524</v>
      </c>
      <c r="N798" s="23" t="s">
        <v>34</v>
      </c>
      <c r="O798" s="55" t="s">
        <v>364</v>
      </c>
    </row>
    <row r="799" spans="1:15">
      <c r="A799" s="13">
        <v>798</v>
      </c>
      <c r="B799" s="14">
        <v>46305</v>
      </c>
      <c r="C799" s="16"/>
      <c r="D799" s="16" t="e">
        <f>VLOOKUP(E799,[1]Sheet3!A:B,2,0)</f>
        <v>#N/A</v>
      </c>
      <c r="E799" s="16"/>
      <c r="F799" s="26"/>
      <c r="G799" s="26"/>
      <c r="H799" s="26"/>
      <c r="I799" s="16"/>
      <c r="J799" s="26"/>
      <c r="K799" s="27"/>
      <c r="L799" s="16"/>
      <c r="M799" s="26"/>
      <c r="N799" s="23"/>
      <c r="O799" s="22"/>
    </row>
    <row r="800" spans="1:15">
      <c r="A800" s="13">
        <v>799</v>
      </c>
      <c r="B800" s="14"/>
      <c r="C800" s="16"/>
      <c r="D800" s="16" t="e">
        <f>VLOOKUP(E800,[1]Sheet3!A:B,2,0)</f>
        <v>#N/A</v>
      </c>
      <c r="E800" s="16"/>
      <c r="F800" s="26"/>
      <c r="G800" s="26"/>
      <c r="H800" s="26"/>
      <c r="I800" s="16"/>
      <c r="J800" s="26"/>
      <c r="K800" s="27"/>
      <c r="L800" s="16"/>
      <c r="M800" s="26"/>
      <c r="N800" s="23"/>
      <c r="O800" s="22"/>
    </row>
    <row r="801" spans="1:15">
      <c r="A801" s="13"/>
      <c r="B801" s="14"/>
      <c r="C801" s="16"/>
      <c r="D801" s="16"/>
      <c r="E801" s="16"/>
      <c r="F801" s="16"/>
      <c r="G801" s="25"/>
      <c r="H801" s="16"/>
      <c r="I801" s="16"/>
      <c r="J801" s="26"/>
      <c r="K801" s="27"/>
      <c r="L801" s="16"/>
      <c r="M801" s="26"/>
      <c r="N801" s="23"/>
      <c r="O801" s="22"/>
    </row>
    <row r="802" spans="1:15">
      <c r="H802" s="56"/>
    </row>
  </sheetData>
  <sheetProtection formatCells="0" insertHyperlinks="0" autoFilter="0"/>
  <autoFilter xmlns:etc="http://www.wps.cn/officeDocument/2017/etCustomData" ref="A1:N801" etc:filterBottomFollowUsedRange="0">
    <extLst/>
  </autoFilter>
  <mergeCells count="78">
    <mergeCell ref="J55:J56"/>
    <mergeCell ref="J64:J65"/>
    <mergeCell ref="J70:J74"/>
    <mergeCell ref="J252:J253"/>
    <mergeCell ref="J283:J284"/>
    <mergeCell ref="J295:J296"/>
    <mergeCell ref="J308:J309"/>
    <mergeCell ref="J326:J327"/>
    <mergeCell ref="J373:J374"/>
    <mergeCell ref="J400:J401"/>
    <mergeCell ref="J414:J415"/>
    <mergeCell ref="J487:J488"/>
    <mergeCell ref="J507:J509"/>
    <mergeCell ref="J583:J585"/>
    <mergeCell ref="J588:J594"/>
    <mergeCell ref="J600:J613"/>
    <mergeCell ref="J614:J617"/>
    <mergeCell ref="J620:J623"/>
    <mergeCell ref="J635:J637"/>
    <mergeCell ref="J641:J642"/>
    <mergeCell ref="J646:J647"/>
    <mergeCell ref="J658:J659"/>
    <mergeCell ref="J660:J662"/>
    <mergeCell ref="J713:J714"/>
    <mergeCell ref="J726:J728"/>
    <mergeCell ref="J733:J735"/>
    <mergeCell ref="J736:J738"/>
    <mergeCell ref="J739:J741"/>
    <mergeCell ref="J748:J749"/>
    <mergeCell ref="K55:K56"/>
    <mergeCell ref="K614:K617"/>
    <mergeCell ref="K620:K623"/>
    <mergeCell ref="K635:K637"/>
    <mergeCell ref="K646:K647"/>
    <mergeCell ref="K658:K659"/>
    <mergeCell ref="K660:K662"/>
    <mergeCell ref="K713:K714"/>
    <mergeCell ref="K726:K728"/>
    <mergeCell ref="K733:K735"/>
    <mergeCell ref="K736:K738"/>
    <mergeCell ref="K739:K741"/>
    <mergeCell ref="K748:K749"/>
    <mergeCell ref="M55:M56"/>
    <mergeCell ref="M400:M401"/>
    <mergeCell ref="M507:M509"/>
    <mergeCell ref="M583:M585"/>
    <mergeCell ref="M588:M594"/>
    <mergeCell ref="M600:M613"/>
    <mergeCell ref="M614:M617"/>
    <mergeCell ref="M620:M623"/>
    <mergeCell ref="M635:M637"/>
    <mergeCell ref="M641:M642"/>
    <mergeCell ref="M646:M647"/>
    <mergeCell ref="M648:M649"/>
    <mergeCell ref="M658:M659"/>
    <mergeCell ref="M660:M662"/>
    <mergeCell ref="M704:M706"/>
    <mergeCell ref="M713:M714"/>
    <mergeCell ref="M726:M728"/>
    <mergeCell ref="M733:M735"/>
    <mergeCell ref="M736:M738"/>
    <mergeCell ref="M739:M741"/>
    <mergeCell ref="M748:M749"/>
    <mergeCell ref="N583:N585"/>
    <mergeCell ref="N588:N594"/>
    <mergeCell ref="N600:N613"/>
    <mergeCell ref="N614:N617"/>
    <mergeCell ref="N635:N637"/>
    <mergeCell ref="N641:N642"/>
    <mergeCell ref="N646:N647"/>
    <mergeCell ref="N658:N659"/>
    <mergeCell ref="N660:N662"/>
    <mergeCell ref="N713:N714"/>
    <mergeCell ref="N726:N728"/>
    <mergeCell ref="N733:N735"/>
    <mergeCell ref="N736:N738"/>
    <mergeCell ref="N739:N741"/>
    <mergeCell ref="N748:N749"/>
  </mergeCells>
  <conditionalFormatting sqref="G588:G594">
    <cfRule type="expression" dxfId="1" priority="8">
      <formula>AND(SUMPRODUCT(IFERROR(1*(($G$588:$G$594&amp;"x")=(G588&amp;"x")),0))&gt;1,NOT(ISBLANK(G588)))</formula>
    </cfRule>
  </conditionalFormatting>
  <conditionalFormatting sqref="H2:H1048576">
    <cfRule type="duplicateValues" dxfId="2" priority="97"/>
  </conditionalFormatting>
  <dataValidations count="3">
    <dataValidation type="list" allowBlank="1" showInputMessage="1" showErrorMessage="1" sqref="N6 N8:N9 N12:N18 N22:N1048576">
      <formula1>"已闭环,未闭环"</formula1>
    </dataValidation>
    <dataValidation type="list" allowBlank="1" showInputMessage="1" showErrorMessage="1" sqref="C22:C1048576">
      <formula1>"删改单,退柜,查验,延船,其他"</formula1>
    </dataValidation>
    <dataValidation type="list" allowBlank="1" showInputMessage="1" showErrorMessage="1" sqref="F22:F798 F801:F1048576">
      <formula1>"进口,出口"</formula1>
    </dataValidation>
  </dataValidations>
  <pageMargins left="0.7" right="0.7" top="0.75" bottom="0.75" header="0.3" footer="0.3"/>
  <pageSetup paperSize="9" orientation="portrait"/>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��*g핯s*g핯s*g핯s*g핯s
</file>

<file path=customXml/item2.xml>��
</file>

<file path=customXml/item3.xml>��
</file>

<file path=customXml/item4.xml>��0S_�e*bsQ�
20^�S_�e*bsQ�FO�]�n��3u�bag�N��]_1�0s�9��]�c�O�QЏh�0�N�^�]�Q&�0S_�e*bsQ�
20^�S_�e*bsQ�FO�]�n��3u�bag�N��]_1�0s�9��]�c�O�QЏh�0�N�^�]�Q&�
</file>

<file path=customXml/itemProps1.xml><?xml version="1.0" encoding="utf-8"?>
<ds:datastoreItem xmlns:ds="http://schemas.openxmlformats.org/officeDocument/2006/customXml" ds:itemID="{D5662047-3127-477A-AC3A-1D340467FB41}">
  <ds:schemaRefs/>
</ds:datastoreItem>
</file>

<file path=customXml/itemProps2.xml><?xml version="1.0" encoding="utf-8"?>
<ds:datastoreItem xmlns:ds="http://schemas.openxmlformats.org/officeDocument/2006/customXml" ds:itemID="{06C82605-B75B-4693-9329-32AAD527C692}">
  <ds:schemaRefs/>
</ds:datastoreItem>
</file>

<file path=customXml/itemProps3.xml><?xml version="1.0" encoding="utf-8"?>
<ds:datastoreItem xmlns:ds="http://schemas.openxmlformats.org/officeDocument/2006/customXml" ds:itemID="{224D003E-15C9-4FFE-AB16-9E66474EAE4E}">
  <ds:schemaRefs/>
</ds:datastoreItem>
</file>

<file path=customXml/itemProps4.xml><?xml version="1.0" encoding="utf-8"?>
<ds:datastoreItem xmlns:ds="http://schemas.openxmlformats.org/officeDocument/2006/customXml" ds:itemID="{06A0048C-2381-489B-AA07-9611017176EA}">
  <ds:schemaRefs/>
</ds:datastoreItem>
</file>

<file path=docProps/app.xml><?xml version="1.0" encoding="utf-8"?>
<Properties xmlns="http://schemas.openxmlformats.org/officeDocument/2006/extended-properties" xmlns:vt="http://schemas.openxmlformats.org/officeDocument/2006/docPropsVTypes">
  <Application>WPS Office WWO_wpscloud_20260521192124-597ff31d3d</Application>
  <HeadingPairs>
    <vt:vector size="2" baseType="variant">
      <vt:variant>
        <vt:lpstr>工作表</vt:lpstr>
      </vt:variant>
      <vt:variant>
        <vt:i4>5</vt:i4>
      </vt:variant>
    </vt:vector>
  </HeadingPairs>
  <TitlesOfParts>
    <vt:vector size="5" baseType="lpstr">
      <vt:lpstr>2026 日报关情况</vt:lpstr>
      <vt:lpstr>2026年异常跟踪表</vt:lpstr>
      <vt:lpstr>Sheet3</vt:lpstr>
      <vt:lpstr>2025 日报关情况</vt:lpstr>
      <vt:lpstr>2025年异常跟踪表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bingqing tang</dc:creator>
  <cp:lastModifiedBy>水无痕</cp:lastModifiedBy>
  <dcterms:created xsi:type="dcterms:W3CDTF">2015-10-21T10:19:00Z</dcterms:created>
  <dcterms:modified xsi:type="dcterms:W3CDTF">2026-06-02T02:32:08Z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35D9FCA749E848B2B37A2A3421674D78_13</vt:lpwstr>
  </property>
  <property fmtid="{D5CDD505-2E9C-101B-9397-08002B2CF9AE}" pid="3" name="KSOProductBuildVer">
    <vt:lpwstr>2052-12.1.0.26895</vt:lpwstr>
  </property>
  <property fmtid="{D5CDD505-2E9C-101B-9397-08002B2CF9AE}" pid="4" name="KSOReadingLayout">
    <vt:bool>true</vt:bool>
  </property>
  <property fmtid="{D5CDD505-2E9C-101B-9397-08002B2CF9AE}" pid="5" name="CalculationRule">
    <vt:i4>0</vt:i4>
  </property>
</Properties>
</file>